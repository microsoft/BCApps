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-72" yWindow="4572" windowWidth="19296" windowHeight="5772" activeTab="1"/>
  </bookViews>
  <sheets>
    <sheet name="стр.1_Тит.л." sheetId="13" r:id="rId1"/>
    <sheet name="стр.2_Табл.1_2" sheetId="8" r:id="rId2"/>
    <sheet name="стр.3_Табл.3" sheetId="14" r:id="rId3"/>
    <sheet name="стр.4_Табл.4_5" sheetId="6" r:id="rId4"/>
    <sheet name="стр.5_Табл.6" sheetId="4" r:id="rId5"/>
    <sheet name="стр.6_Табл.7_8" sheetId="10" r:id="rId6"/>
    <sheet name="стр.7_Табл.9_10" sheetId="3" r:id="rId7"/>
    <sheet name="стр.8_Табл.11_12" sheetId="9" r:id="rId8"/>
  </sheets>
  <definedNames>
    <definedName name="AccountantName">стр.8_Табл.11_12!$AX$44</definedName>
    <definedName name="Address1" localSheetId="0">стр.1_Тит.л.!$H$37</definedName>
    <definedName name="Address1" localSheetId="2">стр.1_Тит.л.!$H$37</definedName>
    <definedName name="Address1">#REF!</definedName>
    <definedName name="Address2" localSheetId="0">стр.1_Тит.л.!$A$38</definedName>
    <definedName name="Address2" localSheetId="2">стр.1_Тит.л.!$A$38</definedName>
    <definedName name="Address2">#REF!</definedName>
    <definedName name="AmountOSI1">стр.7_Табл.9_10!$AB$33</definedName>
    <definedName name="AmountOSI2">стр.7_Табл.9_10!$AB$34</definedName>
    <definedName name="AmountOSI3">стр.7_Табл.9_10!$AB$35</definedName>
    <definedName name="AvarageList">стр.7_Табл.9_10!$A$12</definedName>
    <definedName name="AvarageListInv">стр.7_Табл.9_10!$H$12</definedName>
    <definedName name="AveragePayroll">стр.2_Табл.1_2!$CJ$9</definedName>
    <definedName name="AverageWoman">стр.2_Табл.1_2!$CJ$10</definedName>
    <definedName name="BaseSST">стр.2_Табл.1_2!$CJ$11</definedName>
    <definedName name="BaseTravm1">стр.7_Табл.9_10!$Y$15</definedName>
    <definedName name="BaseTravm2">стр.7_Табл.9_10!$Y$16</definedName>
    <definedName name="BAseTravm3">стр.7_Табл.9_10!$Y$17</definedName>
    <definedName name="ChargeAmount1">стр.2_Табл.1_2!$AH$27</definedName>
    <definedName name="ChargeAmount2">стр.2_Табл.1_2!$AH$28</definedName>
    <definedName name="ChargeAmount3">стр.2_Табл.1_2!$AH$29</definedName>
    <definedName name="ChargeAmountBeg">стр.2_Табл.1_2!$AH$25</definedName>
    <definedName name="DirectorName">стр.8_Табл.11_12!$AX$40</definedName>
    <definedName name="ExpendOSI1">стр.7_Табл.9_10!$CE$33</definedName>
    <definedName name="ExpendOSI2">стр.7_Табл.9_10!$CE$34</definedName>
    <definedName name="ExpendOSI3">стр.7_Табл.9_10!$CE$35</definedName>
    <definedName name="ExpendStartQuartOSI">стр.7_Табл.9_10!$CE$31</definedName>
    <definedName name="ExpensesFSI1">стр.2_Табл.1_2!$CK$27</definedName>
    <definedName name="ExpensesFSI2">стр.2_Табл.1_2!$CK$28</definedName>
    <definedName name="ExpensesFSI3">стр.2_Табл.1_2!$CK$29</definedName>
    <definedName name="ExpensesFSIBegin">стр.2_Табл.1_2!$CK$25</definedName>
    <definedName name="ExpensesTravm1">стр.7_Табл.9_10!$CE$33</definedName>
    <definedName name="ExpensesTravm2">стр.7_Табл.9_10!$CE$34</definedName>
    <definedName name="ExpensesTravm3">стр.7_Табл.9_10!$CE$35</definedName>
    <definedName name="ExpensesTravmBegin">стр.7_Табл.9_10!$CE$31</definedName>
    <definedName name="FSIRegNumber" localSheetId="0">стр.1_Тит.л.!$AQ$46</definedName>
    <definedName name="FSIRegNumber" localSheetId="2">стр.1_Тит.л.!$AQ$46</definedName>
    <definedName name="FSIRegNumber">#REF!</definedName>
    <definedName name="INN" localSheetId="0">стр.1_Тит.л.!$CB$30</definedName>
    <definedName name="INN" localSheetId="2">стр.1_Тит.л.!$CB$30</definedName>
    <definedName name="INN">#REF!</definedName>
    <definedName name="InvalidBaseTravm1">стр.7_Табл.9_10!$AO$15</definedName>
    <definedName name="InvalidBaseTravm2">стр.7_Табл.9_10!$AO$16</definedName>
    <definedName name="InvalidBaseTravm3">стр.7_Табл.9_10!$AO$17</definedName>
    <definedName name="KPP" localSheetId="0">стр.1_Тит.л.!$CQ$30</definedName>
    <definedName name="KPP" localSheetId="2">стр.1_Тит.л.!$CQ$30</definedName>
    <definedName name="KPP">#REF!</definedName>
    <definedName name="Month1">стр.2_Табл.1_2!$B$27</definedName>
    <definedName name="Month11">стр.2_Табл.1_2!$BH$27</definedName>
    <definedName name="Month2">стр.2_Табл.1_2!$B$28</definedName>
    <definedName name="Month21">стр.2_Табл.1_2!$BH$28</definedName>
    <definedName name="Month3">стр.2_Табл.1_2!$B$29</definedName>
    <definedName name="Month31">стр.2_Табл.1_2!$BH$29</definedName>
    <definedName name="NameCompany" localSheetId="0">стр.1_Тит.л.!$A$22</definedName>
    <definedName name="NameCompany" localSheetId="2">стр.1_Тит.л.!$A$22</definedName>
    <definedName name="NameCompany">#REF!</definedName>
    <definedName name="NotBaseTravm1">стр.7_Табл.9_10!$AX$15</definedName>
    <definedName name="NotBaseTravm2">стр.7_Табл.9_10!$AX$16</definedName>
    <definedName name="NotBaseTravm3">стр.7_Табл.9_10!$AX$17</definedName>
    <definedName name="OGRN" localSheetId="0">стр.1_Тит.л.!$CB$31</definedName>
    <definedName name="OGRN" localSheetId="2">стр.1_Тит.л.!$CB$31</definedName>
    <definedName name="OGRN">#REF!</definedName>
    <definedName name="OKDP" localSheetId="0">стр.1_Тит.л.!$CB$33</definedName>
    <definedName name="OKDP" localSheetId="2">стр.1_Тит.л.!$CB$33</definedName>
    <definedName name="OKDP">#REF!</definedName>
    <definedName name="OKFC" localSheetId="0">стр.1_Тит.л.!$CQ$34</definedName>
    <definedName name="OKFC" localSheetId="2">стр.1_Тит.л.!$CQ$34</definedName>
    <definedName name="OKFC">#REF!</definedName>
    <definedName name="OKONH" localSheetId="0">стр.1_Тит.л.!$CQ$32</definedName>
    <definedName name="OKONH" localSheetId="2">стр.1_Тит.л.!$CQ$32</definedName>
    <definedName name="OKONH">#REF!</definedName>
    <definedName name="OKOPF" localSheetId="0">стр.1_Тит.л.!$CB$34</definedName>
    <definedName name="OKOPF" localSheetId="2">стр.1_Тит.л.!$CB$34</definedName>
    <definedName name="OKOPF">#REF!</definedName>
    <definedName name="OKPO" localSheetId="0">стр.1_Тит.л.!$CB$29</definedName>
    <definedName name="OKPO" localSheetId="2">стр.1_Тит.л.!$CB$29</definedName>
    <definedName name="OKPO">#REF!</definedName>
    <definedName name="OKVED" localSheetId="0">стр.1_Тит.л.!$CB$32</definedName>
    <definedName name="OKVED" localSheetId="2">стр.1_Тит.л.!$CB$32</definedName>
    <definedName name="OKVED">#REF!</definedName>
    <definedName name="PayAmount1">стр.2_Табл.1_2!$CK$34</definedName>
    <definedName name="PayAmount2">стр.2_Табл.1_2!$CK$35</definedName>
    <definedName name="PayAmount3">стр.2_Табл.1_2!$CK$36</definedName>
    <definedName name="PayDate1">стр.2_Табл.1_2!$BG$34</definedName>
    <definedName name="PayDate2">стр.2_Табл.1_2!$BG$35</definedName>
    <definedName name="PayDate3">стр.2_Табл.1_2!$BG$36</definedName>
    <definedName name="PayDoc1">стр.2_Табл.1_2!$BV$34</definedName>
    <definedName name="PayDoc2">стр.2_Табл.1_2!$BV$35</definedName>
    <definedName name="PayDoc3">стр.2_Табл.1_2!$BV$36</definedName>
    <definedName name="PayTravm1">стр.7_Табл.9_10!$CE$40</definedName>
    <definedName name="PayTravm2">стр.7_Табл.9_10!$CE$41</definedName>
    <definedName name="PayTravm3">стр.7_Табл.9_10!$CE$42</definedName>
    <definedName name="PayTravmBegin">стр.7_Табл.9_10!$CE$37</definedName>
    <definedName name="PerfomerName">стр.8_Табл.11_12!$A$49</definedName>
    <definedName name="PeriodRep" localSheetId="0">стр.1_Тит.л.!$AJ$20</definedName>
    <definedName name="PeriodRep" localSheetId="2">стр.1_Тит.л.!$AJ$20</definedName>
    <definedName name="PeriodRep">#REF!</definedName>
    <definedName name="PrimaryActivity" localSheetId="0">стр.1_Тит.л.!$S$32</definedName>
    <definedName name="PrimaryActivity" localSheetId="2">стр.1_Тит.л.!$S$32</definedName>
    <definedName name="PrimaryActivity">#REF!</definedName>
    <definedName name="PropertyForm1" localSheetId="0">стр.1_Тит.л.!$P$35</definedName>
    <definedName name="PropertyForm1" localSheetId="2">стр.1_Тит.л.!$P$35</definedName>
    <definedName name="PropertyForm1">#REF!</definedName>
    <definedName name="PropertyForm2" localSheetId="0">стр.1_Тит.л.!$H$36</definedName>
    <definedName name="PropertyForm2" localSheetId="2">стр.1_Тит.л.!$H$36</definedName>
    <definedName name="PropertyForm2">#REF!</definedName>
    <definedName name="Range1" localSheetId="2">стр.3_Табл.3!$BH$58</definedName>
    <definedName name="Range1">#REF!</definedName>
    <definedName name="Range2" localSheetId="2">стр.3_Табл.3!$BH$59</definedName>
    <definedName name="Range2">#REF!</definedName>
    <definedName name="Range3" localSheetId="2">стр.3_Табл.3!$BH$60</definedName>
    <definedName name="Range3">#REF!</definedName>
    <definedName name="Range4" localSheetId="2">стр.3_Табл.3!$BH$61</definedName>
    <definedName name="Range4">#REF!</definedName>
    <definedName name="Range5" localSheetId="2">стр.3_Табл.3!$BH$62</definedName>
    <definedName name="Range5">#REF!</definedName>
    <definedName name="ReportDate" localSheetId="0">стр.1_Тит.л.!$U$49</definedName>
    <definedName name="ReportDate" localSheetId="2">стр.1_Тит.л.!$U$49</definedName>
    <definedName name="ReportDate">#REF!</definedName>
    <definedName name="SickListAmount1" localSheetId="2">стр.3_Табл.3!$BT$8</definedName>
    <definedName name="SickListAmount1">#REF!</definedName>
    <definedName name="SickListAmount10">стр.8_Табл.11_12!$CE$11</definedName>
    <definedName name="SickListAmount102">стр.8_Табл.11_12!$CE$12</definedName>
    <definedName name="SickListAmount11" localSheetId="2">стр.3_Табл.3!$BT$27</definedName>
    <definedName name="SickListAmount11">#REF!</definedName>
    <definedName name="SickListAmount12" localSheetId="2">стр.3_Табл.3!$BT$12</definedName>
    <definedName name="SickListAmount12">#REF!</definedName>
    <definedName name="SickListAmount2" localSheetId="2">стр.3_Табл.3!$BT$15</definedName>
    <definedName name="SickListAmount2">#REF!</definedName>
    <definedName name="SickListAmount22" localSheetId="2">стр.3_Табл.3!$BT$16</definedName>
    <definedName name="SickListAmount22">#REF!</definedName>
    <definedName name="SickListAmount3" localSheetId="2">стр.3_Табл.3!$BT$24</definedName>
    <definedName name="SickListAmount3">#REF!</definedName>
    <definedName name="SickListAmount4" localSheetId="2">стр.3_Табл.3!$BT$39</definedName>
    <definedName name="SickListAmount4">#REF!</definedName>
    <definedName name="SickListAmount5" localSheetId="2">стр.3_Табл.3!$BT$40</definedName>
    <definedName name="SickListAmount5">#REF!</definedName>
    <definedName name="SickListAmount6" localSheetId="2">стр.3_Табл.3!$BT$41</definedName>
    <definedName name="SickListAmount6">#REF!</definedName>
    <definedName name="SickListAmount7" localSheetId="2">стр.3_Табл.3!$BT$42</definedName>
    <definedName name="SickListAmount7">#REF!</definedName>
    <definedName name="SickListAmount8" localSheetId="2">стр.3_Табл.3!#REF!</definedName>
    <definedName name="SickListAmount8">#REF!</definedName>
    <definedName name="SickListAmount9">стр.8_Табл.11_12!$CE$8</definedName>
    <definedName name="SickListAmount92">стр.8_Табл.11_12!$CE$9</definedName>
    <definedName name="SickListDay1" localSheetId="2">стр.3_Табл.3!$BH$8</definedName>
    <definedName name="SickListDay1">#REF!</definedName>
    <definedName name="SickListDay10">стр.8_Табл.11_12!$BM$11</definedName>
    <definedName name="SickListDay102">стр.8_Табл.11_12!$BM$12</definedName>
    <definedName name="SickListDay11" localSheetId="2">стр.3_Табл.3!$BH$27</definedName>
    <definedName name="SickListDay11">#REF!</definedName>
    <definedName name="SickListDay12" localSheetId="2">стр.3_Табл.3!$BH$12</definedName>
    <definedName name="SickListDay12">#REF!</definedName>
    <definedName name="SickListDay2" localSheetId="2">стр.3_Табл.3!$BH$15</definedName>
    <definedName name="SickListDay2">#REF!</definedName>
    <definedName name="SickListDay22" localSheetId="2">стр.3_Табл.3!$BH$16</definedName>
    <definedName name="SickListDay22">#REF!</definedName>
    <definedName name="SickListDay3" localSheetId="2">стр.3_Табл.3!$BH$24</definedName>
    <definedName name="SickListDay3">#REF!</definedName>
    <definedName name="SickListDay4" localSheetId="2">стр.3_Табл.3!$BH$39</definedName>
    <definedName name="SickListDay4">#REF!</definedName>
    <definedName name="SickListDay5" localSheetId="2">стр.3_Табл.3!$BH$40</definedName>
    <definedName name="SickListDay5">#REF!</definedName>
    <definedName name="SickListDay6" localSheetId="2">стр.3_Табл.3!$BH$41</definedName>
    <definedName name="SickListDay6">#REF!</definedName>
    <definedName name="SickListDay7" localSheetId="2">стр.3_Табл.3!$BH$42</definedName>
    <definedName name="SickListDay7">#REF!</definedName>
    <definedName name="SickListDay8" localSheetId="2">стр.3_Табл.3!#REF!</definedName>
    <definedName name="SickListDay8">#REF!</definedName>
    <definedName name="SickListDay9">стр.8_Табл.11_12!$BM$8</definedName>
    <definedName name="SickListDay92">стр.8_Табл.11_12!$BM$9</definedName>
    <definedName name="SickListNum1" localSheetId="2">стр.3_Табл.3!$P$10</definedName>
    <definedName name="SickListNum1">#REF!</definedName>
    <definedName name="SickListNum12" localSheetId="2">стр.3_Табл.3!$U$13</definedName>
    <definedName name="SickListNum12">#REF!</definedName>
    <definedName name="SickListNum3">стр.3_Табл.3!$AC$25</definedName>
    <definedName name="SickListNum31">стр.3_Табл.3!$AC$28</definedName>
    <definedName name="StartQuartOSIAmount">стр.7_Табл.9_10!$AB$31</definedName>
    <definedName name="TarifTravm">стр.7_Табл.9_10!$BF$12</definedName>
    <definedName name="TaxBenefit">стр.2_Табл.1_2!$CJ$12</definedName>
    <definedName name="TotalBaseTravm">стр.7_Табл.9_10!$Y$13</definedName>
    <definedName name="TotalInvalidBaseTravm">стр.7_Табл.9_10!$AO$13</definedName>
    <definedName name="TotalNotBaseTravm">стр.7_Табл.9_10!$AX$13</definedName>
    <definedName name="Year" localSheetId="0">стр.1_Тит.л.!$BS$20</definedName>
    <definedName name="Year" localSheetId="2">стр.1_Тит.л.!$BS$20</definedName>
    <definedName name="Year">#REF!</definedName>
    <definedName name="_xlnm.Print_Area" localSheetId="0">стр.1_Тит.л.!$A$1:$DF$55</definedName>
    <definedName name="_xlnm.Print_Area" localSheetId="2">стр.3_Табл.3!$A$1:$DE$65</definedName>
    <definedName name="_xlnm.Print_Area" localSheetId="4">стр.5_Табл.6!$A$1:$DC$44</definedName>
    <definedName name="_xlnm.Print_Area" localSheetId="5">стр.6_Табл.7_8!$A$1:$FK$31</definedName>
    <definedName name="_xlnm.Print_Area" localSheetId="6">стр.7_Табл.9_10!$A$1:$DC$46</definedName>
  </definedNames>
  <calcPr calcId="144525" calcOnSave="0"/>
</workbook>
</file>

<file path=xl/calcChain.xml><?xml version="1.0" encoding="utf-8"?>
<calcChain xmlns="http://schemas.openxmlformats.org/spreadsheetml/2006/main">
  <c r="CE18" i="9" l="1"/>
  <c r="CQ12" i="3"/>
  <c r="CE32" i="3"/>
  <c r="CU29" i="3" s="1"/>
  <c r="CU44" i="3" s="1"/>
  <c r="CE38" i="3"/>
  <c r="CU36" i="3"/>
  <c r="B35" i="3"/>
  <c r="BE35" i="3" s="1"/>
  <c r="B34" i="3"/>
  <c r="BE34" i="3" s="1"/>
  <c r="B33" i="3"/>
  <c r="BE33" i="3" s="1"/>
  <c r="AB32" i="3"/>
  <c r="AR29" i="3" s="1"/>
  <c r="AR44" i="3" s="1"/>
  <c r="CK26" i="8"/>
  <c r="CY23" i="8" s="1"/>
  <c r="CK32" i="8"/>
  <c r="CY30" i="8" s="1"/>
  <c r="AH32" i="8"/>
  <c r="AW30" i="8" s="1"/>
  <c r="AH41" i="8"/>
  <c r="AW37" i="8" s="1"/>
  <c r="AH49" i="8"/>
  <c r="AW45" i="8" s="1"/>
  <c r="AH55" i="8"/>
  <c r="AW53" i="8" s="1"/>
  <c r="AH26" i="8"/>
  <c r="AW23" i="8" s="1"/>
  <c r="BT20" i="14"/>
  <c r="BT17" i="14"/>
  <c r="BT52" i="14"/>
  <c r="X22" i="14"/>
  <c r="X18" i="14" s="1"/>
  <c r="BH20" i="14"/>
  <c r="BH17" i="14" s="1"/>
  <c r="BT43" i="14"/>
  <c r="BT53" i="14" s="1"/>
  <c r="AW59" i="8" l="1"/>
  <c r="CY37" i="8"/>
</calcChain>
</file>

<file path=xl/sharedStrings.xml><?xml version="1.0" encoding="utf-8"?>
<sst xmlns="http://schemas.openxmlformats.org/spreadsheetml/2006/main" count="424" uniqueCount="243">
  <si>
    <t>Раздел I</t>
  </si>
  <si>
    <t>ДЛЯ СТРАХОВАТЕЛЕЙ-НАЛОГОПЛАТЕЛЬЩИКОВ,</t>
  </si>
  <si>
    <t>УПЛАЧИВАЮЩИХ ЕДИНЫЙ СОЦИАЛЬНЫЙ НАЛОГ</t>
  </si>
  <si>
    <t>Таблица 1</t>
  </si>
  <si>
    <t>Всего с начала года</t>
  </si>
  <si>
    <t>Код строк</t>
  </si>
  <si>
    <t>Наименование</t>
  </si>
  <si>
    <t>Среднесписочная численность работающих, чел.</t>
  </si>
  <si>
    <t>РАСЧЕТЫ ПО ЕДИНОМУ СОЦИАЛЬНОМУ НАЛОГУ</t>
  </si>
  <si>
    <t>Таблица 2</t>
  </si>
  <si>
    <t>Сумма</t>
  </si>
  <si>
    <t>За отчетный квартал (месяцы)</t>
  </si>
  <si>
    <t>Начислен единый социальный налог</t>
  </si>
  <si>
    <t>Всего (стр. 1 - 7)</t>
  </si>
  <si>
    <t>На начало квартала</t>
  </si>
  <si>
    <t>Задолженность за исполнительным органом Фонда на конец отчетного периода</t>
  </si>
  <si>
    <t>в том числе</t>
  </si>
  <si>
    <t>за счет превышения расходов</t>
  </si>
  <si>
    <t>Начислено по актам налоговых органов</t>
  </si>
  <si>
    <t>Задолженность за исполнительным органом Фонда на начало года</t>
  </si>
  <si>
    <t>Не принято к зачету расходов исполнительным органом Фонда</t>
  </si>
  <si>
    <t>Расходы на цели обязательного социального страхования</t>
  </si>
  <si>
    <t>Получено от исполнительного органа Фонда на банковский счет в возмещение произведенных расходов</t>
  </si>
  <si>
    <t>Перечислен единый социальный налог</t>
  </si>
  <si>
    <t>Всего (стр. 12, 15, 16)</t>
  </si>
  <si>
    <t>* Перечисления единого социального налога подтверждаются копиями платежных документов за отчетный квартал.</t>
  </si>
  <si>
    <t>Наименование статей</t>
  </si>
  <si>
    <t>Код
строк</t>
  </si>
  <si>
    <t>Количество дней, выплат пособий, путевок</t>
  </si>
  <si>
    <t>Расходы</t>
  </si>
  <si>
    <t>Всего</t>
  </si>
  <si>
    <t>в т.ч. выплаты сверх установленных норм лицам, пострадавшим от радиационных воздействий в случаях, установленных законодательством</t>
  </si>
  <si>
    <t>ВЫПЛАТА ПОСОБИЙ</t>
  </si>
  <si>
    <t>По временной нетрудоспособности</t>
  </si>
  <si>
    <t>(число случаев</t>
  </si>
  <si>
    <t>)</t>
  </si>
  <si>
    <t>По беременности и родам</t>
  </si>
  <si>
    <t>*</t>
  </si>
  <si>
    <t>При рождении ребенка</t>
  </si>
  <si>
    <t>Социальное пособие на погребение или возмещение стоимости гарантированного перечня услуг по погребению</t>
  </si>
  <si>
    <t>Единовременное пособие женщинам, вставшим на учет в медицинских учреждениях в ранние сроки беременности</t>
  </si>
  <si>
    <t>ОЗДОРОВЛЕНИЕ ДЕТЕЙ</t>
  </si>
  <si>
    <t>Утверждено ассигнований на 200</t>
  </si>
  <si>
    <t>год</t>
  </si>
  <si>
    <t xml:space="preserve"> (сумма)</t>
  </si>
  <si>
    <t>Детские оздоровительные лагеря</t>
  </si>
  <si>
    <t>Детские санатории</t>
  </si>
  <si>
    <t>Раздел II</t>
  </si>
  <si>
    <t>ПРИМЕНЯЮЩИХ СПЕЦИАЛЬНЫЕ РЕЖИМЫ НАЛОГООБЛОЖЕНИЯ</t>
  </si>
  <si>
    <t>Шифр *</t>
  </si>
  <si>
    <t>Таблица 4</t>
  </si>
  <si>
    <t>Среднесписочная численность работающих (чел.)</t>
  </si>
  <si>
    <t>Выплаты в пользу работников</t>
  </si>
  <si>
    <t>РАСЧЕТЫ ПО СРЕДСТВАМ ФОНДА СОЦИАЛЬНОГО СТРАХОВАНИЯ</t>
  </si>
  <si>
    <t>Таблица 5</t>
  </si>
  <si>
    <t>Всего (стр. 1, 2)</t>
  </si>
  <si>
    <t>Перечислено страхователем</t>
  </si>
  <si>
    <t>Всего (стр. 5 - 7)</t>
  </si>
  <si>
    <t>011 - единый налог, взимаемый в связи с применением упрощенной системы налогообложения;</t>
  </si>
  <si>
    <t>021 - единый налог на вмененный доход для отдельных видов деятельности;</t>
  </si>
  <si>
    <t>032 - единый сельскохозяйственный налог.</t>
  </si>
  <si>
    <t>РАСХОДЫ НА ЦЕЛИ ОБЯЗАТЕЛЬНОГО СОЦИАЛЬНОГО СТРАХОВАНИЯ</t>
  </si>
  <si>
    <t>С НАЧАЛА ГОДА</t>
  </si>
  <si>
    <t>Таблица 6</t>
  </si>
  <si>
    <t>Санаторные оздоровительные лагеря круглогодичного действия</t>
  </si>
  <si>
    <t>Остаток путевок на конец отчетного периода</t>
  </si>
  <si>
    <t>всего</t>
  </si>
  <si>
    <t>кол.</t>
  </si>
  <si>
    <t>сумма</t>
  </si>
  <si>
    <t>СВЕДЕНИЯ О ПУТЕВКАХ</t>
  </si>
  <si>
    <t>Таблица 7</t>
  </si>
  <si>
    <t>РАСШИФРОВКА ВЫПЛАТ, ПРОИЗВЕДЕННЫХ СВЕРХ УСТАНОВЛЕННЫХ НОРМ ЛИЦАМ,</t>
  </si>
  <si>
    <t>Таблица 8</t>
  </si>
  <si>
    <t>В том числе</t>
  </si>
  <si>
    <t>Чернобыльская АЭС</t>
  </si>
  <si>
    <t>ПО "Маяк"</t>
  </si>
  <si>
    <t>Семипалатинский полигон</t>
  </si>
  <si>
    <t>число получа-телей</t>
  </si>
  <si>
    <t>расходы (сумма)</t>
  </si>
  <si>
    <t>Раздел III</t>
  </si>
  <si>
    <t>ДЛЯ СТРАХОВАТЕЛЕЙ, УПЛАЧИВАЮЩИХ СТРАХОВЫЕ ВЗНОСЫ</t>
  </si>
  <si>
    <t>НА ОБЯЗАТЕЛЬНОЕ СОЦИАЛЬНОЕ СТРАХОВАНИЕ ОТ НЕСЧАСТНЫХ СЛУЧАЕВ</t>
  </si>
  <si>
    <t>НА ПРОИЗВОДСТВЕ И ПРОФЕССИОНАЛЬНЫХ ЗАБОЛЕВАНИЙ</t>
  </si>
  <si>
    <t>Таблица 9</t>
  </si>
  <si>
    <t>Размер страхового тарифа в соответствии с классом профессио-нального риска
(%)</t>
  </si>
  <si>
    <t>Надбавка к страховому тарифу</t>
  </si>
  <si>
    <t>Размер страхового тарифа с учетом скидки (надбавки) (%)
(заполняется с двумя десятич-ными знаками после запятой)</t>
  </si>
  <si>
    <t>на которые начисляются страховые взносы</t>
  </si>
  <si>
    <t>на которые не начи-сляются страхо-вые взносы</t>
  </si>
  <si>
    <t>дата установле-ния</t>
  </si>
  <si>
    <t>про-цент (%)</t>
  </si>
  <si>
    <t>Всего за отчетный период</t>
  </si>
  <si>
    <t xml:space="preserve">
всего</t>
  </si>
  <si>
    <t>РАСЧЕТЫ ПО СРЕДСТВАМ ОБЯЗАТЕЛЬНОГО СОЦИАЛЬНОГО</t>
  </si>
  <si>
    <t>СТРАХОВАНИЯ ОТ НЕСЧАСТНЫХ СЛУЧАЕВ НА ПРОИЗВОДСТВЕ</t>
  </si>
  <si>
    <t>И ПРОФЕССИОНАЛЬНЫХ ЗАБОЛЕВАНИЙ</t>
  </si>
  <si>
    <t>Таблица 10</t>
  </si>
  <si>
    <t>Начислено страховых взносов</t>
  </si>
  <si>
    <t>Получено от исполнительного органа Фонда на банковский счет</t>
  </si>
  <si>
    <t>Всего следует к платежу (стр. 1 - 6)</t>
  </si>
  <si>
    <t>Расходы по обязательному социальному страхованию</t>
  </si>
  <si>
    <t>Списано</t>
  </si>
  <si>
    <t>Всего (стр. 9 - 12)</t>
  </si>
  <si>
    <t>РАСХОДЫ ПО ОБЯЗАТЕЛЬНОМУ СОЦИАЛЬНОМУ</t>
  </si>
  <si>
    <t>СТРАХОВАНИЮ ОТ НЕСЧАСТНЫХ СЛУЧАЕВ НА ПРОИЗВОДСТВЕ</t>
  </si>
  <si>
    <t>И ПРОФЕССИОНАЛЬНЫХ ЗАБОЛЕВАНИЙ С НАЧАЛА ГОДА</t>
  </si>
  <si>
    <t>Таблица 11</t>
  </si>
  <si>
    <t>Количество дней</t>
  </si>
  <si>
    <t>Финансирование предупредительных мер по сокращению производственного травматизма и профзаболеваний</t>
  </si>
  <si>
    <t>ЧИСЛЕННОСТЬ ПОСТРАДАВШИХ (ЗАСТРАХОВАННЫХ)</t>
  </si>
  <si>
    <t>ПО СТРАХОВЫМ СЛУЧАЯМ, ПРОИЗОШЕДШИМ (ВПЕРВЫЕ УСТАНОВЛЕННЫМ)</t>
  </si>
  <si>
    <t>В ОТЧЕТНОМ ПЕРИОДЕ (ЧЕЛОВЕК)</t>
  </si>
  <si>
    <t>Таблица 12</t>
  </si>
  <si>
    <t>Численность пострадавших</t>
  </si>
  <si>
    <t>Наименование показателей</t>
  </si>
  <si>
    <t>По несчастным случаям</t>
  </si>
  <si>
    <t>в том числе со смертельным исходом</t>
  </si>
  <si>
    <t>По профессиональным заболеваниям</t>
  </si>
  <si>
    <t>ВСЕГО пострадавших (стр. 1, 3)</t>
  </si>
  <si>
    <t>в том числе пострадавших (застрахованных) по случаям, закончившимся только временной нетрудоспособностью</t>
  </si>
  <si>
    <t>М. П.</t>
  </si>
  <si>
    <t>"</t>
  </si>
  <si>
    <t xml:space="preserve"> г.</t>
  </si>
  <si>
    <t>Руководитель предприятия</t>
  </si>
  <si>
    <t>(подпись)</t>
  </si>
  <si>
    <t>(Ф.И.О.)</t>
  </si>
  <si>
    <t>Главный бухгалтер</t>
  </si>
  <si>
    <t>(фамилия, имя, отчество и телефон исполнителя)</t>
  </si>
  <si>
    <t>Оплата дополнительных выходных дней по уходу за детьми-инвалидами</t>
  </si>
  <si>
    <t>Изменения начисленного единого социального налога в соответствии с налоговой декларацией за прошлые годы</t>
  </si>
  <si>
    <t>Задолженность за страхователем на начало года</t>
  </si>
  <si>
    <t>Задолженность за страхователем на конец отчетного периода</t>
  </si>
  <si>
    <t>Получено от налогового органа на банковский счет страхователя возврат переплаты по единому социальному налогу</t>
  </si>
  <si>
    <t>за счет переплаты по единому социальному налогу</t>
  </si>
  <si>
    <t>в том числе: женщин</t>
  </si>
  <si>
    <t>в том числе:
женщин</t>
  </si>
  <si>
    <t>Получено от исполнительного органа Фонда на банковский счет для обеспечения выплат на цели социального страхования</t>
  </si>
  <si>
    <t>За отчетный квартал (месяцы) дата, № пл. поручения</t>
  </si>
  <si>
    <t>Начислено взносов по результатам проверок</t>
  </si>
  <si>
    <t>Начислено взносов страхователем за прошлые годы</t>
  </si>
  <si>
    <t>в том числе
недоимка</t>
  </si>
  <si>
    <t>За отчетный квартал (месяцы) дата, № платежного поручения *</t>
  </si>
  <si>
    <t>Х</t>
  </si>
  <si>
    <t>Остаток путевок на начало года</t>
  </si>
  <si>
    <t>Выдано путевок с начальными сроками отчетного периода</t>
  </si>
  <si>
    <t>Налоговая база за отчетный период для исчисления единого социального налога</t>
  </si>
  <si>
    <t>Суммы налоговых льгот</t>
  </si>
  <si>
    <t>), из них:</t>
  </si>
  <si>
    <t>По беременности и родам, из них:</t>
  </si>
  <si>
    <t>по совместительству не по основному месту работы</t>
  </si>
  <si>
    <t>по уходу за первым ребенком</t>
  </si>
  <si>
    <t>по уходу за вторым и последующими детьми</t>
  </si>
  <si>
    <t>Средняя заработная плата</t>
  </si>
  <si>
    <t>Количество получателей</t>
  </si>
  <si>
    <t>до</t>
  </si>
  <si>
    <t>свыше</t>
  </si>
  <si>
    <t>3 751 - 7 500 руб.</t>
  </si>
  <si>
    <t>3 750 руб.</t>
  </si>
  <si>
    <t>7 501 - 11 250 руб.</t>
  </si>
  <si>
    <r>
      <t>_____</t>
    </r>
    <r>
      <rPr>
        <sz val="8"/>
        <rFont val="Times New Roman"/>
        <family val="1"/>
        <charset val="204"/>
      </rPr>
      <t>*</t>
    </r>
  </si>
  <si>
    <t>количество дней, выплат пособий</t>
  </si>
  <si>
    <t>По уходу за ребенком до полутора лет, всего (стр. 4, 7)</t>
  </si>
  <si>
    <t>в том числе:
работающим гражданам, из них:</t>
  </si>
  <si>
    <t>ПОСТРАДАВШИМ ОТ РАДИАЦИОННЫХ ВОЗДЕЙСТВИЙ В СЛУЧАЯХ, УСТАНОВЛЕННЫХ ЗАКОНОДАТЕЛЬСТВОМ</t>
  </si>
  <si>
    <t>работа-ющих инва-лидов</t>
  </si>
  <si>
    <t>в т.ч. выплаты в пользу работаю-щих инвали-дов</t>
  </si>
  <si>
    <t>Скидка к страхо-вому тарифу
(%)</t>
  </si>
  <si>
    <t>занятых на работах с вредными и (или) опасными производ-ственными факторами</t>
  </si>
  <si>
    <t>Пособия по временной нетрудоспособности в связи
с несчастными случаями на производстве, из них:</t>
  </si>
  <si>
    <t>Оплата отпуска для санаторно-курортного лечения застрахованным (сверх ежегодного оплачиваемого отпуска, установленного законодательством РФ), из них:</t>
  </si>
  <si>
    <t>пострадавшим на другом предприятии</t>
  </si>
  <si>
    <t>Всего расходов (сумма стр. 1, 4, 7, 9, 10)</t>
  </si>
  <si>
    <t>Финансирование углубленных медицинских осмотров работников, занятых на работах с вредными и (или) опасными производственными факторами</t>
  </si>
  <si>
    <t>Возмещение командировочных расходов лицам, сопровождающим детей в санаторные оздоровительные лагеря круглогодичного действия, детские санатории и обратно</t>
  </si>
  <si>
    <t>Пособия по временной нетрудоспособности в связи
с профессиональными заболеваниями, из них:</t>
  </si>
  <si>
    <t>По уходу за ребенком до полутора лет *,
из них:</t>
  </si>
  <si>
    <t>подразделения особого риска</t>
  </si>
  <si>
    <t>иные случаи, установленные законодательством</t>
  </si>
  <si>
    <t>лицам, обучающимся по очной форме обучения *,
из них:</t>
  </si>
  <si>
    <r>
      <t>_____</t>
    </r>
    <r>
      <rPr>
        <sz val="8"/>
        <rFont val="Times New Roman"/>
        <family val="1"/>
        <charset val="204"/>
      </rPr>
      <t>*</t>
    </r>
    <r>
      <rPr>
        <sz val="8"/>
        <color indexed="9"/>
        <rFont val="Times New Roman"/>
        <family val="1"/>
        <charset val="204"/>
      </rPr>
      <t>_</t>
    </r>
    <r>
      <rPr>
        <sz val="8"/>
        <rFont val="Times New Roman"/>
        <family val="1"/>
        <charset val="204"/>
      </rPr>
      <t>Строки 7, 8, 9 заполняются страхователями - образовательными учреждениями начального профессионального, среднего профессионального и высшего профессионального образования и учреждениями послевузовского профессионального образования.</t>
    </r>
  </si>
  <si>
    <r>
      <t>ВСЕГО</t>
    </r>
    <r>
      <rPr>
        <sz val="9"/>
        <rFont val="Times New Roman"/>
        <family val="1"/>
        <charset val="204"/>
      </rPr>
      <t xml:space="preserve"> (стр. 1 - 3)</t>
    </r>
  </si>
  <si>
    <t>Виды путевок</t>
  </si>
  <si>
    <r>
      <t>ВСЕГО</t>
    </r>
    <r>
      <rPr>
        <sz val="9"/>
        <rFont val="Times New Roman"/>
        <family val="1"/>
        <charset val="204"/>
      </rPr>
      <t xml:space="preserve"> (стр. 1 - 3, 10)</t>
    </r>
  </si>
  <si>
    <t>Утверждена:</t>
  </si>
  <si>
    <t>Форма 4-ФСС РФ</t>
  </si>
  <si>
    <t>Постановлением Фонда</t>
  </si>
  <si>
    <t>Составляется и представляется ежеквартально нарастающим</t>
  </si>
  <si>
    <t>социального страхования</t>
  </si>
  <si>
    <t>итогом не позднее 15 числа месяца, следующего за</t>
  </si>
  <si>
    <t>Российской Федерации</t>
  </si>
  <si>
    <t>истекшим кварталом, в исполнительный орган Фонда по</t>
  </si>
  <si>
    <t>от 22.12.2004 № 111</t>
  </si>
  <si>
    <t>месту регистрации</t>
  </si>
  <si>
    <t>Заполняется в рублях и копейках</t>
  </si>
  <si>
    <t>РАСЧЕТНАЯ ВЕДОМОСТЬ</t>
  </si>
  <si>
    <t>ПО СРЕДСТВАМ ФОНДА СОЦИАЛЬНОГО СТРАХОВАНИЯ</t>
  </si>
  <si>
    <t>РОССИЙСКОЙ ФЕДЕРАЦИИ</t>
  </si>
  <si>
    <t xml:space="preserve">за </t>
  </si>
  <si>
    <t>Полное наименование организации (обособленного подразделения)/Ф.И.О. физического лица</t>
  </si>
  <si>
    <t>Коды</t>
  </si>
  <si>
    <t>по ОКПО</t>
  </si>
  <si>
    <t>Идентификационный номер налогоплательщика</t>
  </si>
  <si>
    <t>ИНН/КПП</t>
  </si>
  <si>
    <t>/</t>
  </si>
  <si>
    <t>Основной государственный регистрационный номер</t>
  </si>
  <si>
    <t>ОГРН</t>
  </si>
  <si>
    <t>Вид деятельности</t>
  </si>
  <si>
    <t>по ОКВЭД/ОКОНХ</t>
  </si>
  <si>
    <t>по ОКДП</t>
  </si>
  <si>
    <t>Организационно-правовая форма, форма</t>
  </si>
  <si>
    <t>собственности</t>
  </si>
  <si>
    <t>по ОКОПФ/ОКФС</t>
  </si>
  <si>
    <t>Адрес</t>
  </si>
  <si>
    <t>Регистрационный номер (код) страхователя</t>
  </si>
  <si>
    <t>Дата представления</t>
  </si>
  <si>
    <t>Дата проведения камеральной проверки</t>
  </si>
  <si>
    <t>(заполняется сотрудником Фонда)</t>
  </si>
  <si>
    <t>Дата принятия</t>
  </si>
  <si>
    <t>Дата направления требования</t>
  </si>
  <si>
    <t>РАСХОДЫ НА ЦЕЛИ ОБЯЗАТЕЛЬНОГО СОЦИАЛЬНОГО СТРАХОВАНИЯ С НАЧАЛА ГОДА</t>
  </si>
  <si>
    <t>Таблица 3</t>
  </si>
  <si>
    <t>в том числе:</t>
  </si>
  <si>
    <t>лицам, обучающимся по очной форме обучения **</t>
  </si>
  <si>
    <t>(количество получателей</t>
  </si>
  <si>
    <t>Оплата дополнительных выходных дней по уходу за
детьми-инвалидами</t>
  </si>
  <si>
    <t>Возмещение командировочных расходов лицам, сопровождающим детей в санаторные оздоровительные лагеря круглогодичного действия и обратно</t>
  </si>
  <si>
    <r>
      <t>____</t>
    </r>
    <r>
      <rPr>
        <sz val="8"/>
        <rFont val="Times New Roman"/>
        <family val="1"/>
        <charset val="204"/>
      </rPr>
      <t>**</t>
    </r>
    <r>
      <rPr>
        <sz val="8"/>
        <color indexed="9"/>
        <rFont val="Times New Roman"/>
        <family val="1"/>
        <charset val="204"/>
      </rPr>
      <t>_</t>
    </r>
    <r>
      <rPr>
        <sz val="8"/>
        <rFont val="Times New Roman"/>
        <family val="1"/>
        <charset val="204"/>
      </rPr>
      <t>Cтроки 9, 10, 11 заполняются страхователями - образовательными учреждениями начального профессионального, среднего профессионального и высшего профессионального образования и учреждениями послевузовского профессионального образования.</t>
    </r>
  </si>
  <si>
    <t>в т.ч. выплаты сверх установленных норм лицам, пострадавшим
от радиационных воздействий в случаях, установленных законодательством</t>
  </si>
  <si>
    <t>По уходу за ребенком до полутора лет</t>
  </si>
  <si>
    <t>), всего (стр. 6, 9)</t>
  </si>
  <si>
    <t>работающим гражданам,*</t>
  </si>
  <si>
    <t>(в ред. от 13 апреля 2009 г.)</t>
  </si>
  <si>
    <t>ИТОГО (стр. 1, 3, 5, 12 - 15)</t>
  </si>
  <si>
    <t>11 251 - 18 000 руб.</t>
  </si>
  <si>
    <t>18 000 руб.</t>
  </si>
  <si>
    <t>ИТОГО (стр. 17 - 21)</t>
  </si>
  <si>
    <t>ВСЕГО РАСХОДОВ (стр. 16, 22)</t>
  </si>
  <si>
    <t>ИТОГО (стр. 1, 3, 5, 8 - 11)</t>
  </si>
  <si>
    <t>ИТОГО (стр. 13 - 17)</t>
  </si>
  <si>
    <t>ВСЕГО РАСХОДОВ (стр. 12, 18)</t>
  </si>
  <si>
    <t>Приобретено путевок</t>
  </si>
  <si>
    <t>гр. 3+5-7</t>
  </si>
  <si>
    <t>гр. 4+6-8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</si>
</sst>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8"/>
      <color indexed="9"/>
      <name val="Times New Roman"/>
      <family val="1"/>
      <charset val="204"/>
    </font>
    <font>
      <sz val="8"/>
      <name val="Arial Cyr"/>
      <charset val="204"/>
    </font>
    <font>
      <sz val="7.5"/>
      <name val="Times New Roman"/>
      <family val="1"/>
      <charset val="204"/>
    </font>
    <font>
      <b/>
      <sz val="12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Border="1"/>
    <xf numFmtId="0" fontId="2" fillId="0" borderId="9" xfId="0" applyFont="1" applyBorder="1"/>
    <xf numFmtId="49" fontId="2" fillId="0" borderId="0" xfId="0" applyNumberFormat="1" applyFont="1"/>
    <xf numFmtId="0" fontId="4" fillId="0" borderId="5" xfId="0" applyFont="1" applyBorder="1"/>
    <xf numFmtId="0" fontId="4" fillId="0" borderId="6" xfId="0" applyFont="1" applyBorder="1"/>
    <xf numFmtId="49" fontId="1" fillId="0" borderId="0" xfId="0" applyNumberFormat="1" applyFont="1"/>
    <xf numFmtId="0" fontId="4" fillId="0" borderId="2" xfId="0" applyFont="1" applyBorder="1"/>
    <xf numFmtId="0" fontId="4" fillId="0" borderId="8" xfId="0" applyFont="1" applyBorder="1"/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4" fillId="0" borderId="1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1" fillId="0" borderId="11" xfId="0" applyFont="1" applyBorder="1"/>
    <xf numFmtId="0" fontId="1" fillId="0" borderId="4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4" fillId="0" borderId="11" xfId="0" applyFont="1" applyBorder="1"/>
    <xf numFmtId="0" fontId="4" fillId="0" borderId="7" xfId="0" applyFont="1" applyBorder="1"/>
    <xf numFmtId="0" fontId="4" fillId="0" borderId="2" xfId="0" applyFont="1" applyBorder="1" applyAlignment="1">
      <alignment vertical="center" wrapText="1"/>
    </xf>
    <xf numFmtId="0" fontId="4" fillId="0" borderId="9" xfId="0" applyFont="1" applyBorder="1"/>
    <xf numFmtId="0" fontId="4" fillId="0" borderId="4" xfId="0" applyFont="1" applyBorder="1" applyAlignment="1"/>
    <xf numFmtId="0" fontId="1" fillId="0" borderId="10" xfId="0" applyFont="1" applyBorder="1"/>
    <xf numFmtId="0" fontId="6" fillId="0" borderId="0" xfId="0" applyFont="1" applyAlignment="1">
      <alignment vertical="center"/>
    </xf>
    <xf numFmtId="0" fontId="1" fillId="0" borderId="3" xfId="0" applyFont="1" applyBorder="1" applyAlignment="1"/>
    <xf numFmtId="0" fontId="1" fillId="0" borderId="2" xfId="0" applyFont="1" applyBorder="1" applyAlignment="1"/>
    <xf numFmtId="0" fontId="1" fillId="0" borderId="4" xfId="0" applyFont="1" applyBorder="1" applyAlignment="1"/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Alignment="1"/>
    <xf numFmtId="0" fontId="4" fillId="0" borderId="0" xfId="0" applyFont="1" applyBorder="1" applyAlignment="1"/>
    <xf numFmtId="0" fontId="4" fillId="0" borderId="3" xfId="0" applyFont="1" applyBorder="1" applyAlignment="1"/>
    <xf numFmtId="0" fontId="4" fillId="0" borderId="1" xfId="0" applyFont="1" applyBorder="1"/>
    <xf numFmtId="0" fontId="4" fillId="0" borderId="10" xfId="0" applyFont="1" applyBorder="1"/>
    <xf numFmtId="0" fontId="1" fillId="0" borderId="0" xfId="0" applyFont="1" applyAlignment="1">
      <alignment vertical="center"/>
    </xf>
    <xf numFmtId="0" fontId="4" fillId="0" borderId="2" xfId="0" applyFont="1" applyBorder="1" applyAlignment="1"/>
    <xf numFmtId="0" fontId="8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3" xfId="0" applyFont="1" applyBorder="1" applyAlignment="1">
      <alignment horizontal="left" indent="1"/>
    </xf>
    <xf numFmtId="0" fontId="4" fillId="0" borderId="4" xfId="0" applyFont="1" applyBorder="1" applyAlignment="1">
      <alignment horizontal="left" indent="1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2" xfId="0" applyFont="1" applyBorder="1"/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/>
    <xf numFmtId="0" fontId="6" fillId="0" borderId="0" xfId="0" applyFont="1" applyAlignment="1">
      <alignment horizontal="justify" vertical="top" wrapText="1"/>
    </xf>
    <xf numFmtId="0" fontId="0" fillId="0" borderId="0" xfId="0"/>
    <xf numFmtId="0" fontId="4" fillId="0" borderId="12" xfId="0" applyFont="1" applyBorder="1" applyAlignment="1">
      <alignment horizontal="center"/>
    </xf>
    <xf numFmtId="0" fontId="4" fillId="0" borderId="0" xfId="0" applyFont="1" applyBorder="1"/>
    <xf numFmtId="0" fontId="4" fillId="0" borderId="10" xfId="0" applyFont="1" applyBorder="1"/>
    <xf numFmtId="49" fontId="4" fillId="0" borderId="1" xfId="0" applyNumberFormat="1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wrapText="1" indent="2"/>
    </xf>
    <xf numFmtId="0" fontId="1" fillId="0" borderId="3" xfId="0" applyFont="1" applyBorder="1" applyAlignment="1">
      <alignment horizontal="left" indent="2"/>
    </xf>
    <xf numFmtId="0" fontId="1" fillId="0" borderId="4" xfId="0" applyFont="1" applyBorder="1" applyAlignment="1">
      <alignment horizontal="left" indent="2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/>
    <xf numFmtId="0" fontId="1" fillId="0" borderId="0" xfId="0" applyFont="1" applyBorder="1"/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/>
    <xf numFmtId="0" fontId="1" fillId="0" borderId="3" xfId="0" applyFont="1" applyBorder="1"/>
    <xf numFmtId="0" fontId="1" fillId="0" borderId="3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4" fillId="0" borderId="12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5" fillId="0" borderId="3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 indent="2"/>
    </xf>
    <xf numFmtId="0" fontId="4" fillId="0" borderId="4" xfId="0" applyFont="1" applyBorder="1" applyAlignment="1">
      <alignment horizontal="left" wrapText="1" indent="2"/>
    </xf>
    <xf numFmtId="0" fontId="2" fillId="0" borderId="0" xfId="0" applyFont="1" applyAlignment="1">
      <alignment horizontal="justify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9" fontId="4" fillId="0" borderId="5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/>
    <xf numFmtId="49" fontId="4" fillId="0" borderId="3" xfId="0" applyNumberFormat="1" applyFont="1" applyBorder="1" applyAlignment="1"/>
    <xf numFmtId="49" fontId="4" fillId="0" borderId="4" xfId="0" applyNumberFormat="1" applyFont="1" applyBorder="1" applyAlignment="1"/>
    <xf numFmtId="0" fontId="4" fillId="0" borderId="2" xfId="0" applyFont="1" applyBorder="1" applyAlignment="1">
      <alignment wrapText="1"/>
    </xf>
    <xf numFmtId="0" fontId="4" fillId="0" borderId="15" xfId="0" applyFont="1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wrapText="1" indent="2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55"/>
  <sheetViews>
    <sheetView zoomScaleNormal="100" workbookViewId="0">
      <selection activeCell="AC7" sqref="AC7"/>
    </sheetView>
  </sheetViews>
  <sheetFormatPr defaultColWidth="0.77734375" defaultRowHeight="13.2" x14ac:dyDescent="0.25"/>
  <cols>
    <col min="1" max="16384" width="0.77734375" style="1"/>
  </cols>
  <sheetData>
    <row r="1" spans="1:107" x14ac:dyDescent="0.25">
      <c r="I1" s="85" t="s">
        <v>183</v>
      </c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BE1" s="59"/>
      <c r="BF1" s="59"/>
      <c r="BG1" s="85" t="s">
        <v>184</v>
      </c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</row>
    <row r="2" spans="1:107" s="2" customFormat="1" ht="10.199999999999999" x14ac:dyDescent="0.2">
      <c r="I2" s="72" t="s">
        <v>185</v>
      </c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BG2" s="2" t="s">
        <v>186</v>
      </c>
    </row>
    <row r="3" spans="1:107" s="2" customFormat="1" ht="10.199999999999999" x14ac:dyDescent="0.2">
      <c r="I3" s="72" t="s">
        <v>187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BG3" s="2" t="s">
        <v>188</v>
      </c>
    </row>
    <row r="4" spans="1:107" s="2" customFormat="1" ht="10.199999999999999" x14ac:dyDescent="0.2">
      <c r="I4" s="72" t="s">
        <v>189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BG4" s="2" t="s">
        <v>190</v>
      </c>
    </row>
    <row r="5" spans="1:107" s="2" customFormat="1" ht="10.199999999999999" x14ac:dyDescent="0.2">
      <c r="I5" s="72" t="s">
        <v>191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BG5" s="2" t="s">
        <v>192</v>
      </c>
    </row>
    <row r="6" spans="1:107" s="2" customFormat="1" ht="12.75" customHeight="1" x14ac:dyDescent="0.2">
      <c r="H6" s="70"/>
      <c r="I6" s="71" t="s">
        <v>231</v>
      </c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0"/>
      <c r="BG6" s="2" t="s">
        <v>193</v>
      </c>
    </row>
    <row r="7" spans="1:107" x14ac:dyDescent="0.25"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</row>
    <row r="8" spans="1:107" x14ac:dyDescent="0.25"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BB8" s="59"/>
      <c r="BC8" s="59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</row>
    <row r="9" spans="1:107" s="2" customFormat="1" ht="10.199999999999999" x14ac:dyDescent="0.2"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</row>
    <row r="10" spans="1:107" s="2" customFormat="1" ht="10.199999999999999" x14ac:dyDescent="0.2"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</row>
    <row r="16" spans="1:107" ht="15.6" x14ac:dyDescent="0.3">
      <c r="A16" s="84" t="s">
        <v>194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</row>
    <row r="17" spans="1:107" ht="15.6" x14ac:dyDescent="0.3">
      <c r="A17" s="84" t="s">
        <v>195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</row>
    <row r="18" spans="1:107" ht="15.6" x14ac:dyDescent="0.3">
      <c r="A18" s="84" t="s">
        <v>196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</row>
    <row r="19" spans="1:107" ht="28.5" customHeight="1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</row>
    <row r="20" spans="1:107" x14ac:dyDescent="0.25">
      <c r="AI20" s="12" t="s">
        <v>197</v>
      </c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86">
        <v>200</v>
      </c>
      <c r="BP20" s="86"/>
      <c r="BQ20" s="86"/>
      <c r="BR20" s="86"/>
      <c r="BS20" s="73"/>
      <c r="BT20" s="73"/>
      <c r="BU20" s="73"/>
      <c r="BV20" s="1" t="s">
        <v>122</v>
      </c>
    </row>
    <row r="22" spans="1:107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</row>
    <row r="23" spans="1:107" s="2" customFormat="1" ht="10.199999999999999" x14ac:dyDescent="0.2">
      <c r="A23" s="83" t="s">
        <v>198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</row>
    <row r="27" spans="1:107" x14ac:dyDescent="0.25">
      <c r="CB27" s="85" t="s">
        <v>199</v>
      </c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</row>
    <row r="28" spans="1:107" ht="7.5" customHeight="1" x14ac:dyDescent="0.25"/>
    <row r="29" spans="1:107" x14ac:dyDescent="0.25">
      <c r="BF29" s="1" t="s">
        <v>200</v>
      </c>
      <c r="CB29" s="76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5"/>
    </row>
    <row r="30" spans="1:107" x14ac:dyDescent="0.25">
      <c r="A30" s="1" t="s">
        <v>201</v>
      </c>
      <c r="BF30" s="1" t="s">
        <v>202</v>
      </c>
      <c r="CB30" s="76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 t="s">
        <v>203</v>
      </c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5"/>
    </row>
    <row r="31" spans="1:107" x14ac:dyDescent="0.25">
      <c r="A31" s="1" t="s">
        <v>204</v>
      </c>
      <c r="BF31" s="1" t="s">
        <v>205</v>
      </c>
      <c r="CB31" s="76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5"/>
    </row>
    <row r="32" spans="1:107" x14ac:dyDescent="0.25">
      <c r="A32" s="1" t="s">
        <v>206</v>
      </c>
      <c r="R32" s="8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BF32" s="1" t="s">
        <v>207</v>
      </c>
      <c r="CB32" s="76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 t="s">
        <v>203</v>
      </c>
      <c r="CP32" s="74"/>
      <c r="CQ32" s="74"/>
      <c r="CR32" s="74"/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C32" s="75"/>
    </row>
    <row r="33" spans="1:107" x14ac:dyDescent="0.25">
      <c r="BF33" s="1" t="s">
        <v>208</v>
      </c>
      <c r="CB33" s="76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5"/>
    </row>
    <row r="34" spans="1:107" x14ac:dyDescent="0.25">
      <c r="A34" s="1" t="s">
        <v>209</v>
      </c>
      <c r="CB34" s="81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 t="s">
        <v>203</v>
      </c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9"/>
    </row>
    <row r="35" spans="1:107" x14ac:dyDescent="0.25">
      <c r="A35" s="1" t="s">
        <v>210</v>
      </c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BF35" s="1" t="s">
        <v>211</v>
      </c>
      <c r="CB35" s="82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80"/>
    </row>
    <row r="36" spans="1:107" x14ac:dyDescent="0.25"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</row>
    <row r="37" spans="1:107" x14ac:dyDescent="0.25">
      <c r="A37" s="1" t="s">
        <v>212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</row>
    <row r="38" spans="1:107" x14ac:dyDescent="0.2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</row>
    <row r="46" spans="1:107" x14ac:dyDescent="0.25">
      <c r="A46" s="1" t="s">
        <v>213</v>
      </c>
      <c r="AP46" s="20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61"/>
      <c r="BE46" s="61"/>
      <c r="BF46" s="61"/>
      <c r="BG46" s="61"/>
      <c r="BH46" s="61"/>
      <c r="BI46" s="61"/>
    </row>
    <row r="49" spans="1:110" x14ac:dyDescent="0.25">
      <c r="A49" s="1" t="s">
        <v>214</v>
      </c>
      <c r="T49" s="8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BE49" s="1" t="s">
        <v>215</v>
      </c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</row>
    <row r="50" spans="1:110" s="2" customFormat="1" ht="10.199999999999999" x14ac:dyDescent="0.2">
      <c r="BE50" s="72" t="s">
        <v>216</v>
      </c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2"/>
      <c r="BT50" s="72"/>
      <c r="BU50" s="72"/>
      <c r="BV50" s="72"/>
      <c r="BW50" s="72"/>
      <c r="BX50" s="72"/>
      <c r="BY50" s="72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</row>
    <row r="53" spans="1:110" x14ac:dyDescent="0.25">
      <c r="A53" s="1" t="s">
        <v>217</v>
      </c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BE53" s="1" t="s">
        <v>218</v>
      </c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/>
      <c r="CZ53" s="73"/>
      <c r="DA53" s="73"/>
      <c r="DB53" s="73"/>
      <c r="DC53" s="73"/>
      <c r="DD53" s="73"/>
      <c r="DE53" s="73"/>
      <c r="DF53" s="73"/>
    </row>
    <row r="54" spans="1:110" s="2" customFormat="1" ht="10.199999999999999" x14ac:dyDescent="0.2">
      <c r="A54" s="72" t="s">
        <v>216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BE54" s="72" t="s">
        <v>216</v>
      </c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</row>
    <row r="55" spans="1:110" ht="3" customHeight="1" x14ac:dyDescent="0.25"/>
  </sheetData>
  <mergeCells count="41">
    <mergeCell ref="BG1:DC1"/>
    <mergeCell ref="BO20:BR20"/>
    <mergeCell ref="BS20:BU20"/>
    <mergeCell ref="A22:DC22"/>
    <mergeCell ref="I1:AE1"/>
    <mergeCell ref="I2:AE2"/>
    <mergeCell ref="I3:AE3"/>
    <mergeCell ref="I4:AE4"/>
    <mergeCell ref="I5:AE5"/>
    <mergeCell ref="A18:DC18"/>
    <mergeCell ref="A16:DC16"/>
    <mergeCell ref="A17:DC17"/>
    <mergeCell ref="AJ20:BN20"/>
    <mergeCell ref="CB29:DC29"/>
    <mergeCell ref="CB27:DC27"/>
    <mergeCell ref="BE50:DF50"/>
    <mergeCell ref="CQ34:DC35"/>
    <mergeCell ref="P35:AW35"/>
    <mergeCell ref="CB34:CN35"/>
    <mergeCell ref="A23:DC23"/>
    <mergeCell ref="S32:AW32"/>
    <mergeCell ref="CO34:CP35"/>
    <mergeCell ref="H36:AW36"/>
    <mergeCell ref="U49:AM49"/>
    <mergeCell ref="CQ49:DF49"/>
    <mergeCell ref="I6:AE6"/>
    <mergeCell ref="A54:AH54"/>
    <mergeCell ref="BE54:DF54"/>
    <mergeCell ref="P53:AH53"/>
    <mergeCell ref="CH53:DF53"/>
    <mergeCell ref="CQ32:DC32"/>
    <mergeCell ref="AQ46:BC46"/>
    <mergeCell ref="CO30:CP30"/>
    <mergeCell ref="CB30:CN30"/>
    <mergeCell ref="CQ30:DC30"/>
    <mergeCell ref="CB31:DC31"/>
    <mergeCell ref="CB32:CN32"/>
    <mergeCell ref="CO32:CP32"/>
    <mergeCell ref="A38:CA38"/>
    <mergeCell ref="CB33:DC33"/>
    <mergeCell ref="H37:AW37"/>
  </mergeCells>
  <phoneticPr fontId="7" type="noConversion"/>
  <pageMargins left="0.78740157480314965" right="0.19685039370078741" top="0.59055118110236227" bottom="0.31496062992125984" header="0.19685039370078741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3"/>
  <sheetViews>
    <sheetView tabSelected="1" zoomScaleNormal="100" workbookViewId="0">
      <selection activeCell="DK14" sqref="DK14"/>
    </sheetView>
  </sheetViews>
  <sheetFormatPr defaultColWidth="0.77734375" defaultRowHeight="13.2" x14ac:dyDescent="0.25"/>
  <cols>
    <col min="1" max="16384" width="0.77734375" style="1"/>
  </cols>
  <sheetData>
    <row r="1" spans="1:110" ht="12" customHeight="1" x14ac:dyDescent="0.25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</row>
    <row r="2" spans="1:110" ht="12" customHeight="1" x14ac:dyDescent="0.25">
      <c r="A2" s="119" t="s">
        <v>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</row>
    <row r="3" spans="1:110" ht="12" customHeight="1" x14ac:dyDescent="0.25">
      <c r="A3" s="119" t="s">
        <v>2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</row>
    <row r="4" spans="1:110" ht="7.5" customHeight="1" x14ac:dyDescent="0.25"/>
    <row r="5" spans="1:110" s="14" customFormat="1" ht="12" x14ac:dyDescent="0.25">
      <c r="DF5" s="44" t="s">
        <v>3</v>
      </c>
    </row>
    <row r="6" spans="1:110" s="14" customFormat="1" ht="2.25" customHeight="1" x14ac:dyDescent="0.25">
      <c r="DF6" s="15"/>
    </row>
    <row r="7" spans="1:110" s="14" customFormat="1" ht="12" x14ac:dyDescent="0.25">
      <c r="A7" s="93" t="s">
        <v>6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5"/>
      <c r="BW7" s="93" t="s">
        <v>5</v>
      </c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5"/>
      <c r="CJ7" s="93" t="s">
        <v>4</v>
      </c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5"/>
    </row>
    <row r="8" spans="1:110" s="14" customFormat="1" ht="12" x14ac:dyDescent="0.25">
      <c r="A8" s="93">
        <v>1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5"/>
      <c r="BW8" s="93">
        <v>2</v>
      </c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5"/>
      <c r="CJ8" s="93">
        <v>3</v>
      </c>
      <c r="CK8" s="94"/>
      <c r="CL8" s="94"/>
      <c r="CM8" s="94"/>
      <c r="CN8" s="94"/>
      <c r="CO8" s="94"/>
      <c r="CP8" s="94"/>
      <c r="CQ8" s="94"/>
      <c r="CR8" s="94"/>
      <c r="CS8" s="94"/>
      <c r="CT8" s="94"/>
      <c r="CU8" s="94"/>
      <c r="CV8" s="94"/>
      <c r="CW8" s="94"/>
      <c r="CX8" s="94"/>
      <c r="CY8" s="94"/>
      <c r="CZ8" s="94"/>
      <c r="DA8" s="94"/>
      <c r="DB8" s="94"/>
      <c r="DC8" s="94"/>
      <c r="DD8" s="94"/>
      <c r="DE8" s="94"/>
      <c r="DF8" s="95"/>
    </row>
    <row r="9" spans="1:110" s="14" customFormat="1" ht="12" x14ac:dyDescent="0.25">
      <c r="A9" s="17"/>
      <c r="B9" s="91" t="s">
        <v>7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2"/>
      <c r="BW9" s="93">
        <v>1</v>
      </c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5"/>
      <c r="CJ9" s="93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4"/>
      <c r="DF9" s="95"/>
    </row>
    <row r="10" spans="1:110" s="14" customFormat="1" ht="12" x14ac:dyDescent="0.25">
      <c r="A10" s="17"/>
      <c r="B10" s="122" t="s">
        <v>134</v>
      </c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3"/>
      <c r="BW10" s="93">
        <v>2</v>
      </c>
      <c r="BX10" s="94"/>
      <c r="BY10" s="94"/>
      <c r="BZ10" s="94"/>
      <c r="CA10" s="94"/>
      <c r="CB10" s="94"/>
      <c r="CC10" s="94"/>
      <c r="CD10" s="94"/>
      <c r="CE10" s="94"/>
      <c r="CF10" s="94"/>
      <c r="CG10" s="94"/>
      <c r="CH10" s="94"/>
      <c r="CI10" s="95"/>
      <c r="CJ10" s="93"/>
      <c r="CK10" s="94"/>
      <c r="CL10" s="94"/>
      <c r="CM10" s="94"/>
      <c r="CN10" s="94"/>
      <c r="CO10" s="94"/>
      <c r="CP10" s="94"/>
      <c r="CQ10" s="94"/>
      <c r="CR10" s="94"/>
      <c r="CS10" s="94"/>
      <c r="CT10" s="94"/>
      <c r="CU10" s="94"/>
      <c r="CV10" s="94"/>
      <c r="CW10" s="94"/>
      <c r="CX10" s="94"/>
      <c r="CY10" s="94"/>
      <c r="CZ10" s="94"/>
      <c r="DA10" s="94"/>
      <c r="DB10" s="94"/>
      <c r="DC10" s="94"/>
      <c r="DD10" s="94"/>
      <c r="DE10" s="94"/>
      <c r="DF10" s="95"/>
    </row>
    <row r="11" spans="1:110" s="14" customFormat="1" ht="12" x14ac:dyDescent="0.25">
      <c r="A11" s="17"/>
      <c r="B11" s="91" t="s">
        <v>145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2"/>
      <c r="BW11" s="93">
        <v>3</v>
      </c>
      <c r="BX11" s="94"/>
      <c r="BY11" s="94"/>
      <c r="BZ11" s="94"/>
      <c r="CA11" s="94"/>
      <c r="CB11" s="94"/>
      <c r="CC11" s="94"/>
      <c r="CD11" s="94"/>
      <c r="CE11" s="94"/>
      <c r="CF11" s="94"/>
      <c r="CG11" s="94"/>
      <c r="CH11" s="94"/>
      <c r="CI11" s="95"/>
      <c r="CJ11" s="93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5"/>
    </row>
    <row r="12" spans="1:110" s="14" customFormat="1" ht="12" x14ac:dyDescent="0.25">
      <c r="A12" s="17"/>
      <c r="B12" s="91" t="s">
        <v>146</v>
      </c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2"/>
      <c r="BW12" s="93">
        <v>4</v>
      </c>
      <c r="BX12" s="94"/>
      <c r="BY12" s="94"/>
      <c r="BZ12" s="94"/>
      <c r="CA12" s="94"/>
      <c r="CB12" s="94"/>
      <c r="CC12" s="94"/>
      <c r="CD12" s="94"/>
      <c r="CE12" s="94"/>
      <c r="CF12" s="94"/>
      <c r="CG12" s="94"/>
      <c r="CH12" s="94"/>
      <c r="CI12" s="95"/>
      <c r="CJ12" s="93"/>
      <c r="CK12" s="94"/>
      <c r="CL12" s="94"/>
      <c r="CM12" s="94"/>
      <c r="CN12" s="94"/>
      <c r="CO12" s="94"/>
      <c r="CP12" s="94"/>
      <c r="CQ12" s="94"/>
      <c r="CR12" s="94"/>
      <c r="CS12" s="94"/>
      <c r="CT12" s="94"/>
      <c r="CU12" s="94"/>
      <c r="CV12" s="94"/>
      <c r="CW12" s="94"/>
      <c r="CX12" s="94"/>
      <c r="CY12" s="94"/>
      <c r="CZ12" s="94"/>
      <c r="DA12" s="94"/>
      <c r="DB12" s="94"/>
      <c r="DC12" s="94"/>
      <c r="DD12" s="94"/>
      <c r="DE12" s="94"/>
      <c r="DF12" s="95"/>
    </row>
    <row r="13" spans="1:110" ht="18.75" customHeight="1" x14ac:dyDescent="0.25"/>
    <row r="14" spans="1:110" ht="12" customHeight="1" x14ac:dyDescent="0.25">
      <c r="A14" s="119" t="s">
        <v>8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9"/>
    </row>
    <row r="15" spans="1:110" s="14" customFormat="1" ht="12" x14ac:dyDescent="0.25">
      <c r="DF15" s="44" t="s">
        <v>9</v>
      </c>
    </row>
    <row r="16" spans="1:110" s="14" customFormat="1" ht="2.25" customHeight="1" x14ac:dyDescent="0.25">
      <c r="DF16" s="15"/>
    </row>
    <row r="17" spans="1:110" s="14" customFormat="1" ht="25.5" customHeight="1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3" t="s">
        <v>5</v>
      </c>
      <c r="AR17" s="114"/>
      <c r="AS17" s="114"/>
      <c r="AT17" s="114"/>
      <c r="AU17" s="114"/>
      <c r="AV17" s="115"/>
      <c r="AW17" s="116" t="s">
        <v>10</v>
      </c>
      <c r="AX17" s="117"/>
      <c r="AY17" s="117"/>
      <c r="AZ17" s="117"/>
      <c r="BA17" s="117"/>
      <c r="BB17" s="117"/>
      <c r="BC17" s="117"/>
      <c r="BD17" s="118"/>
      <c r="BG17" s="113"/>
      <c r="BH17" s="114"/>
      <c r="BI17" s="114"/>
      <c r="BJ17" s="114"/>
      <c r="BK17" s="114"/>
      <c r="BL17" s="114"/>
      <c r="BM17" s="114"/>
      <c r="BN17" s="114"/>
      <c r="BO17" s="114"/>
      <c r="BP17" s="114"/>
      <c r="BQ17" s="114"/>
      <c r="BR17" s="114"/>
      <c r="BS17" s="114"/>
      <c r="BT17" s="114"/>
      <c r="BU17" s="114"/>
      <c r="BV17" s="114"/>
      <c r="BW17" s="114"/>
      <c r="BX17" s="114"/>
      <c r="BY17" s="114"/>
      <c r="BZ17" s="114"/>
      <c r="CA17" s="114"/>
      <c r="CB17" s="114"/>
      <c r="CC17" s="114"/>
      <c r="CD17" s="114"/>
      <c r="CE17" s="114"/>
      <c r="CF17" s="114"/>
      <c r="CG17" s="114"/>
      <c r="CH17" s="114"/>
      <c r="CI17" s="114"/>
      <c r="CJ17" s="114"/>
      <c r="CK17" s="114"/>
      <c r="CL17" s="114"/>
      <c r="CM17" s="114"/>
      <c r="CN17" s="114"/>
      <c r="CO17" s="114"/>
      <c r="CP17" s="114"/>
      <c r="CQ17" s="114"/>
      <c r="CR17" s="115"/>
      <c r="CS17" s="113" t="s">
        <v>5</v>
      </c>
      <c r="CT17" s="114"/>
      <c r="CU17" s="114"/>
      <c r="CV17" s="114"/>
      <c r="CW17" s="114"/>
      <c r="CX17" s="115"/>
      <c r="CY17" s="116" t="s">
        <v>10</v>
      </c>
      <c r="CZ17" s="117"/>
      <c r="DA17" s="117"/>
      <c r="DB17" s="117"/>
      <c r="DC17" s="117"/>
      <c r="DD17" s="117"/>
      <c r="DE17" s="117"/>
      <c r="DF17" s="118"/>
    </row>
    <row r="18" spans="1:110" s="14" customFormat="1" ht="12" x14ac:dyDescent="0.25">
      <c r="A18" s="93">
        <v>1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4">
        <v>2</v>
      </c>
      <c r="AR18" s="94"/>
      <c r="AS18" s="94"/>
      <c r="AT18" s="94"/>
      <c r="AU18" s="94"/>
      <c r="AV18" s="95"/>
      <c r="AW18" s="93">
        <v>3</v>
      </c>
      <c r="AX18" s="94"/>
      <c r="AY18" s="94"/>
      <c r="AZ18" s="94"/>
      <c r="BA18" s="94"/>
      <c r="BB18" s="94"/>
      <c r="BC18" s="94"/>
      <c r="BD18" s="95"/>
      <c r="BG18" s="93">
        <v>1</v>
      </c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94"/>
      <c r="CL18" s="94"/>
      <c r="CM18" s="94"/>
      <c r="CN18" s="94"/>
      <c r="CO18" s="94"/>
      <c r="CP18" s="94"/>
      <c r="CQ18" s="94"/>
      <c r="CR18" s="95"/>
      <c r="CS18" s="94">
        <v>2</v>
      </c>
      <c r="CT18" s="94"/>
      <c r="CU18" s="94"/>
      <c r="CV18" s="94"/>
      <c r="CW18" s="94"/>
      <c r="CX18" s="95"/>
      <c r="CY18" s="93">
        <v>3</v>
      </c>
      <c r="CZ18" s="94"/>
      <c r="DA18" s="94"/>
      <c r="DB18" s="94"/>
      <c r="DC18" s="94"/>
      <c r="DD18" s="94"/>
      <c r="DE18" s="94"/>
      <c r="DF18" s="95"/>
    </row>
    <row r="19" spans="1:110" s="14" customFormat="1" ht="23.25" customHeight="1" x14ac:dyDescent="0.25">
      <c r="A19" s="30"/>
      <c r="B19" s="96" t="s">
        <v>130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102">
        <v>1</v>
      </c>
      <c r="AR19" s="103"/>
      <c r="AS19" s="103"/>
      <c r="AT19" s="103"/>
      <c r="AU19" s="103"/>
      <c r="AV19" s="104"/>
      <c r="AW19" s="120"/>
      <c r="AX19" s="83"/>
      <c r="AY19" s="83"/>
      <c r="AZ19" s="83"/>
      <c r="BA19" s="83"/>
      <c r="BB19" s="83"/>
      <c r="BC19" s="83"/>
      <c r="BD19" s="121"/>
      <c r="BG19" s="28"/>
      <c r="BH19" s="111" t="s">
        <v>19</v>
      </c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  <c r="CE19" s="111"/>
      <c r="CF19" s="111"/>
      <c r="CG19" s="111"/>
      <c r="CH19" s="111"/>
      <c r="CI19" s="111"/>
      <c r="CJ19" s="111"/>
      <c r="CK19" s="111"/>
      <c r="CL19" s="111"/>
      <c r="CM19" s="111"/>
      <c r="CN19" s="111"/>
      <c r="CO19" s="111"/>
      <c r="CP19" s="111"/>
      <c r="CQ19" s="111"/>
      <c r="CR19" s="112"/>
      <c r="CS19" s="131">
        <v>12</v>
      </c>
      <c r="CT19" s="132"/>
      <c r="CU19" s="132"/>
      <c r="CV19" s="132"/>
      <c r="CW19" s="132"/>
      <c r="CX19" s="133"/>
      <c r="CY19" s="89"/>
      <c r="CZ19" s="90"/>
      <c r="DA19" s="90"/>
      <c r="DB19" s="90"/>
      <c r="DC19" s="90"/>
      <c r="DD19" s="90"/>
      <c r="DE19" s="90"/>
      <c r="DF19" s="124"/>
    </row>
    <row r="20" spans="1:110" s="14" customFormat="1" ht="12" customHeight="1" x14ac:dyDescent="0.25">
      <c r="A20" s="30"/>
      <c r="B20" s="96" t="s">
        <v>129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102">
        <v>2</v>
      </c>
      <c r="AR20" s="103"/>
      <c r="AS20" s="103"/>
      <c r="AT20" s="103"/>
      <c r="AU20" s="103"/>
      <c r="AV20" s="104"/>
      <c r="AW20" s="120"/>
      <c r="AX20" s="83"/>
      <c r="AY20" s="83"/>
      <c r="AZ20" s="83"/>
      <c r="BA20" s="83"/>
      <c r="BB20" s="83"/>
      <c r="BC20" s="83"/>
      <c r="BD20" s="121"/>
      <c r="BG20" s="25"/>
      <c r="BH20" s="135" t="s">
        <v>16</v>
      </c>
      <c r="BI20" s="135"/>
      <c r="BJ20" s="135"/>
      <c r="BK20" s="135"/>
      <c r="BL20" s="135"/>
      <c r="BM20" s="136"/>
      <c r="BN20" s="31"/>
      <c r="BO20" s="111" t="s">
        <v>17</v>
      </c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2"/>
      <c r="CS20" s="131">
        <v>13</v>
      </c>
      <c r="CT20" s="132"/>
      <c r="CU20" s="132"/>
      <c r="CV20" s="132"/>
      <c r="CW20" s="132"/>
      <c r="CX20" s="133"/>
      <c r="CY20" s="89"/>
      <c r="CZ20" s="90"/>
      <c r="DA20" s="90"/>
      <c r="DB20" s="90"/>
      <c r="DC20" s="90"/>
      <c r="DD20" s="90"/>
      <c r="DE20" s="90"/>
      <c r="DF20" s="124"/>
    </row>
    <row r="21" spans="1:110" s="14" customFormat="1" ht="12" customHeight="1" x14ac:dyDescent="0.25">
      <c r="A21" s="32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9"/>
      <c r="AQ21" s="105"/>
      <c r="AR21" s="106"/>
      <c r="AS21" s="106"/>
      <c r="AT21" s="106"/>
      <c r="AU21" s="106"/>
      <c r="AV21" s="107"/>
      <c r="AW21" s="141"/>
      <c r="AX21" s="142"/>
      <c r="AY21" s="142"/>
      <c r="AZ21" s="142"/>
      <c r="BA21" s="142"/>
      <c r="BB21" s="142"/>
      <c r="BC21" s="142"/>
      <c r="BD21" s="143"/>
      <c r="BG21" s="29"/>
      <c r="BH21" s="137"/>
      <c r="BI21" s="137"/>
      <c r="BJ21" s="137"/>
      <c r="BK21" s="137"/>
      <c r="BL21" s="137"/>
      <c r="BM21" s="138"/>
      <c r="BN21" s="38"/>
      <c r="BO21" s="96" t="s">
        <v>133</v>
      </c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7"/>
      <c r="CS21" s="147">
        <v>14</v>
      </c>
      <c r="CT21" s="148"/>
      <c r="CU21" s="148"/>
      <c r="CV21" s="148"/>
      <c r="CW21" s="148"/>
      <c r="CX21" s="149"/>
      <c r="CY21" s="120"/>
      <c r="CZ21" s="83"/>
      <c r="DA21" s="83"/>
      <c r="DB21" s="83"/>
      <c r="DC21" s="83"/>
      <c r="DD21" s="83"/>
      <c r="DE21" s="83"/>
      <c r="DF21" s="121"/>
    </row>
    <row r="22" spans="1:110" s="14" customFormat="1" ht="12" customHeight="1" x14ac:dyDescent="0.25">
      <c r="A22" s="33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8"/>
      <c r="AR22" s="109"/>
      <c r="AS22" s="109"/>
      <c r="AT22" s="109"/>
      <c r="AU22" s="109"/>
      <c r="AV22" s="110"/>
      <c r="AW22" s="144"/>
      <c r="AX22" s="145"/>
      <c r="AY22" s="145"/>
      <c r="AZ22" s="145"/>
      <c r="BA22" s="145"/>
      <c r="BB22" s="145"/>
      <c r="BC22" s="145"/>
      <c r="BD22" s="146"/>
      <c r="BG22" s="26"/>
      <c r="BH22" s="139"/>
      <c r="BI22" s="139"/>
      <c r="BJ22" s="139"/>
      <c r="BK22" s="139"/>
      <c r="BL22" s="139"/>
      <c r="BM22" s="140"/>
      <c r="BN22" s="4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1"/>
      <c r="CS22" s="150"/>
      <c r="CT22" s="151"/>
      <c r="CU22" s="151"/>
      <c r="CV22" s="151"/>
      <c r="CW22" s="151"/>
      <c r="CX22" s="152"/>
      <c r="CY22" s="144"/>
      <c r="CZ22" s="145"/>
      <c r="DA22" s="145"/>
      <c r="DB22" s="145"/>
      <c r="DC22" s="145"/>
      <c r="DD22" s="145"/>
      <c r="DE22" s="145"/>
      <c r="DF22" s="146"/>
    </row>
    <row r="23" spans="1:110" s="14" customFormat="1" ht="12" customHeight="1" x14ac:dyDescent="0.25">
      <c r="A23" s="30"/>
      <c r="B23" s="96" t="s">
        <v>12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102">
        <v>3</v>
      </c>
      <c r="AR23" s="103"/>
      <c r="AS23" s="103"/>
      <c r="AT23" s="103"/>
      <c r="AU23" s="103"/>
      <c r="AV23" s="104"/>
      <c r="AW23" s="120">
        <f>ChargeAmountBeg+AH26</f>
        <v>0</v>
      </c>
      <c r="AX23" s="83"/>
      <c r="AY23" s="83"/>
      <c r="AZ23" s="83"/>
      <c r="BA23" s="83"/>
      <c r="BB23" s="83"/>
      <c r="BC23" s="83"/>
      <c r="BD23" s="121"/>
      <c r="BG23" s="25"/>
      <c r="BH23" s="126" t="s">
        <v>21</v>
      </c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126"/>
      <c r="CP23" s="126"/>
      <c r="CQ23" s="126"/>
      <c r="CR23" s="127"/>
      <c r="CS23" s="102">
        <v>15</v>
      </c>
      <c r="CT23" s="103"/>
      <c r="CU23" s="103"/>
      <c r="CV23" s="103"/>
      <c r="CW23" s="103"/>
      <c r="CX23" s="104"/>
      <c r="CY23" s="120">
        <f>ExpensesFSIBegin+CK26</f>
        <v>0</v>
      </c>
      <c r="CZ23" s="83"/>
      <c r="DA23" s="83"/>
      <c r="DB23" s="83"/>
      <c r="DC23" s="83"/>
      <c r="DD23" s="83"/>
      <c r="DE23" s="83"/>
      <c r="DF23" s="121"/>
    </row>
    <row r="24" spans="1:110" s="14" customFormat="1" ht="12" x14ac:dyDescent="0.25">
      <c r="A24" s="26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5"/>
      <c r="AR24" s="106"/>
      <c r="AS24" s="106"/>
      <c r="AT24" s="106"/>
      <c r="AU24" s="106"/>
      <c r="AV24" s="107"/>
      <c r="AW24" s="141"/>
      <c r="AX24" s="142"/>
      <c r="AY24" s="142"/>
      <c r="AZ24" s="142"/>
      <c r="BA24" s="142"/>
      <c r="BB24" s="142"/>
      <c r="BC24" s="142"/>
      <c r="BD24" s="143"/>
      <c r="BG24" s="26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  <c r="CJ24" s="128"/>
      <c r="CK24" s="128"/>
      <c r="CL24" s="128"/>
      <c r="CM24" s="128"/>
      <c r="CN24" s="128"/>
      <c r="CO24" s="128"/>
      <c r="CP24" s="128"/>
      <c r="CQ24" s="128"/>
      <c r="CR24" s="129"/>
      <c r="CS24" s="105"/>
      <c r="CT24" s="106"/>
      <c r="CU24" s="106"/>
      <c r="CV24" s="106"/>
      <c r="CW24" s="106"/>
      <c r="CX24" s="107"/>
      <c r="CY24" s="141"/>
      <c r="CZ24" s="142"/>
      <c r="DA24" s="142"/>
      <c r="DB24" s="142"/>
      <c r="DC24" s="142"/>
      <c r="DD24" s="142"/>
      <c r="DE24" s="142"/>
      <c r="DF24" s="143"/>
    </row>
    <row r="25" spans="1:110" s="14" customFormat="1" ht="12" customHeight="1" x14ac:dyDescent="0.25">
      <c r="A25" s="25"/>
      <c r="B25" s="111" t="s">
        <v>14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2"/>
      <c r="AH25" s="89"/>
      <c r="AI25" s="90"/>
      <c r="AJ25" s="90"/>
      <c r="AK25" s="90"/>
      <c r="AL25" s="90"/>
      <c r="AM25" s="90"/>
      <c r="AN25" s="90"/>
      <c r="AO25" s="90"/>
      <c r="AP25" s="90"/>
      <c r="AQ25" s="105"/>
      <c r="AR25" s="106"/>
      <c r="AS25" s="106"/>
      <c r="AT25" s="106"/>
      <c r="AU25" s="106"/>
      <c r="AV25" s="107"/>
      <c r="AW25" s="141"/>
      <c r="AX25" s="142"/>
      <c r="AY25" s="142"/>
      <c r="AZ25" s="142"/>
      <c r="BA25" s="142"/>
      <c r="BB25" s="142"/>
      <c r="BC25" s="142"/>
      <c r="BD25" s="143"/>
      <c r="BG25" s="25"/>
      <c r="BH25" s="111" t="s">
        <v>14</v>
      </c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1"/>
      <c r="CA25" s="111"/>
      <c r="CB25" s="111"/>
      <c r="CC25" s="111"/>
      <c r="CD25" s="111"/>
      <c r="CE25" s="111"/>
      <c r="CF25" s="111"/>
      <c r="CG25" s="111"/>
      <c r="CH25" s="111"/>
      <c r="CI25" s="111"/>
      <c r="CJ25" s="112"/>
      <c r="CK25" s="89"/>
      <c r="CL25" s="90"/>
      <c r="CM25" s="90"/>
      <c r="CN25" s="90"/>
      <c r="CO25" s="90"/>
      <c r="CP25" s="90"/>
      <c r="CQ25" s="90"/>
      <c r="CR25" s="124"/>
      <c r="CS25" s="105"/>
      <c r="CT25" s="106"/>
      <c r="CU25" s="106"/>
      <c r="CV25" s="106"/>
      <c r="CW25" s="106"/>
      <c r="CX25" s="107"/>
      <c r="CY25" s="141"/>
      <c r="CZ25" s="142"/>
      <c r="DA25" s="142"/>
      <c r="DB25" s="142"/>
      <c r="DC25" s="142"/>
      <c r="DD25" s="142"/>
      <c r="DE25" s="142"/>
      <c r="DF25" s="143"/>
    </row>
    <row r="26" spans="1:110" s="14" customFormat="1" ht="12" x14ac:dyDescent="0.25">
      <c r="A26" s="28"/>
      <c r="B26" s="111" t="s">
        <v>11</v>
      </c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2"/>
      <c r="AH26" s="89">
        <f>ChargeAmount1+ChargeAmount2+ChargeAmount3</f>
        <v>0</v>
      </c>
      <c r="AI26" s="90"/>
      <c r="AJ26" s="90"/>
      <c r="AK26" s="90"/>
      <c r="AL26" s="90"/>
      <c r="AM26" s="90"/>
      <c r="AN26" s="90"/>
      <c r="AO26" s="90"/>
      <c r="AP26" s="90"/>
      <c r="AQ26" s="105"/>
      <c r="AR26" s="106"/>
      <c r="AS26" s="106"/>
      <c r="AT26" s="106"/>
      <c r="AU26" s="106"/>
      <c r="AV26" s="107"/>
      <c r="AW26" s="141"/>
      <c r="AX26" s="142"/>
      <c r="AY26" s="142"/>
      <c r="AZ26" s="142"/>
      <c r="BA26" s="142"/>
      <c r="BB26" s="142"/>
      <c r="BC26" s="142"/>
      <c r="BD26" s="143"/>
      <c r="BG26" s="28"/>
      <c r="BH26" s="111" t="s">
        <v>11</v>
      </c>
      <c r="BI26" s="111"/>
      <c r="BJ26" s="111"/>
      <c r="BK26" s="111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C26" s="111"/>
      <c r="CD26" s="111"/>
      <c r="CE26" s="111"/>
      <c r="CF26" s="111"/>
      <c r="CG26" s="111"/>
      <c r="CH26" s="111"/>
      <c r="CI26" s="111"/>
      <c r="CJ26" s="112"/>
      <c r="CK26" s="89">
        <f>ExpensesFSI1+ExpensesFSI2+ExpensesFSI3</f>
        <v>0</v>
      </c>
      <c r="CL26" s="90"/>
      <c r="CM26" s="90"/>
      <c r="CN26" s="90"/>
      <c r="CO26" s="90"/>
      <c r="CP26" s="90"/>
      <c r="CQ26" s="90"/>
      <c r="CR26" s="124"/>
      <c r="CS26" s="105"/>
      <c r="CT26" s="106"/>
      <c r="CU26" s="106"/>
      <c r="CV26" s="106"/>
      <c r="CW26" s="106"/>
      <c r="CX26" s="107"/>
      <c r="CY26" s="141"/>
      <c r="CZ26" s="142"/>
      <c r="DA26" s="142"/>
      <c r="DB26" s="142"/>
      <c r="DC26" s="142"/>
      <c r="DD26" s="142"/>
      <c r="DE26" s="142"/>
      <c r="DF26" s="143"/>
    </row>
    <row r="27" spans="1:110" s="14" customFormat="1" ht="12" customHeight="1" x14ac:dyDescent="0.25">
      <c r="A27" s="28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8"/>
      <c r="AH27" s="89"/>
      <c r="AI27" s="90"/>
      <c r="AJ27" s="90"/>
      <c r="AK27" s="90"/>
      <c r="AL27" s="90"/>
      <c r="AM27" s="90"/>
      <c r="AN27" s="90"/>
      <c r="AO27" s="90"/>
      <c r="AP27" s="90"/>
      <c r="AQ27" s="105"/>
      <c r="AR27" s="106"/>
      <c r="AS27" s="106"/>
      <c r="AT27" s="106"/>
      <c r="AU27" s="106"/>
      <c r="AV27" s="107"/>
      <c r="AW27" s="141"/>
      <c r="AX27" s="142"/>
      <c r="AY27" s="142"/>
      <c r="AZ27" s="142"/>
      <c r="BA27" s="142"/>
      <c r="BB27" s="142"/>
      <c r="BC27" s="142"/>
      <c r="BD27" s="143"/>
      <c r="BG27" s="28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8"/>
      <c r="CK27" s="89"/>
      <c r="CL27" s="90"/>
      <c r="CM27" s="90"/>
      <c r="CN27" s="90"/>
      <c r="CO27" s="90"/>
      <c r="CP27" s="90"/>
      <c r="CQ27" s="90"/>
      <c r="CR27" s="90"/>
      <c r="CS27" s="105"/>
      <c r="CT27" s="106"/>
      <c r="CU27" s="106"/>
      <c r="CV27" s="106"/>
      <c r="CW27" s="106"/>
      <c r="CX27" s="107"/>
      <c r="CY27" s="141"/>
      <c r="CZ27" s="142"/>
      <c r="DA27" s="142"/>
      <c r="DB27" s="142"/>
      <c r="DC27" s="142"/>
      <c r="DD27" s="142"/>
      <c r="DE27" s="142"/>
      <c r="DF27" s="143"/>
    </row>
    <row r="28" spans="1:110" s="14" customFormat="1" ht="12" x14ac:dyDescent="0.25">
      <c r="A28" s="28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8"/>
      <c r="AH28" s="89"/>
      <c r="AI28" s="90"/>
      <c r="AJ28" s="90"/>
      <c r="AK28" s="90"/>
      <c r="AL28" s="90"/>
      <c r="AM28" s="90"/>
      <c r="AN28" s="90"/>
      <c r="AO28" s="90"/>
      <c r="AP28" s="124"/>
      <c r="AQ28" s="105"/>
      <c r="AR28" s="106"/>
      <c r="AS28" s="106"/>
      <c r="AT28" s="106"/>
      <c r="AU28" s="106"/>
      <c r="AV28" s="107"/>
      <c r="AW28" s="141"/>
      <c r="AX28" s="142"/>
      <c r="AY28" s="142"/>
      <c r="AZ28" s="142"/>
      <c r="BA28" s="142"/>
      <c r="BB28" s="142"/>
      <c r="BC28" s="142"/>
      <c r="BD28" s="143"/>
      <c r="BG28" s="28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8"/>
      <c r="CK28" s="89"/>
      <c r="CL28" s="90"/>
      <c r="CM28" s="90"/>
      <c r="CN28" s="90"/>
      <c r="CO28" s="90"/>
      <c r="CP28" s="90"/>
      <c r="CQ28" s="90"/>
      <c r="CR28" s="90"/>
      <c r="CS28" s="105"/>
      <c r="CT28" s="106"/>
      <c r="CU28" s="106"/>
      <c r="CV28" s="106"/>
      <c r="CW28" s="106"/>
      <c r="CX28" s="107"/>
      <c r="CY28" s="141"/>
      <c r="CZ28" s="142"/>
      <c r="DA28" s="142"/>
      <c r="DB28" s="142"/>
      <c r="DC28" s="142"/>
      <c r="DD28" s="142"/>
      <c r="DE28" s="142"/>
      <c r="DF28" s="143"/>
    </row>
    <row r="29" spans="1:110" s="14" customFormat="1" ht="12" x14ac:dyDescent="0.25">
      <c r="A29" s="28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8"/>
      <c r="AH29" s="89"/>
      <c r="AI29" s="90"/>
      <c r="AJ29" s="90"/>
      <c r="AK29" s="90"/>
      <c r="AL29" s="90"/>
      <c r="AM29" s="90"/>
      <c r="AN29" s="90"/>
      <c r="AO29" s="90"/>
      <c r="AP29" s="90"/>
      <c r="AQ29" s="108"/>
      <c r="AR29" s="109"/>
      <c r="AS29" s="109"/>
      <c r="AT29" s="109"/>
      <c r="AU29" s="109"/>
      <c r="AV29" s="110"/>
      <c r="AW29" s="144"/>
      <c r="AX29" s="145"/>
      <c r="AY29" s="145"/>
      <c r="AZ29" s="145"/>
      <c r="BA29" s="145"/>
      <c r="BB29" s="145"/>
      <c r="BC29" s="145"/>
      <c r="BD29" s="146"/>
      <c r="BG29" s="28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8"/>
      <c r="CK29" s="89"/>
      <c r="CL29" s="90"/>
      <c r="CM29" s="90"/>
      <c r="CN29" s="90"/>
      <c r="CO29" s="90"/>
      <c r="CP29" s="90"/>
      <c r="CQ29" s="90"/>
      <c r="CR29" s="90"/>
      <c r="CS29" s="108"/>
      <c r="CT29" s="109"/>
      <c r="CU29" s="109"/>
      <c r="CV29" s="109"/>
      <c r="CW29" s="109"/>
      <c r="CX29" s="110"/>
      <c r="CY29" s="144"/>
      <c r="CZ29" s="145"/>
      <c r="DA29" s="145"/>
      <c r="DB29" s="145"/>
      <c r="DC29" s="145"/>
      <c r="DD29" s="145"/>
      <c r="DE29" s="145"/>
      <c r="DF29" s="146"/>
    </row>
    <row r="30" spans="1:110" s="14" customFormat="1" ht="12" customHeight="1" x14ac:dyDescent="0.25">
      <c r="A30" s="16"/>
      <c r="B30" s="125" t="s">
        <v>18</v>
      </c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02">
        <v>4</v>
      </c>
      <c r="AR30" s="103"/>
      <c r="AS30" s="103"/>
      <c r="AT30" s="103"/>
      <c r="AU30" s="103"/>
      <c r="AV30" s="104"/>
      <c r="AW30" s="120">
        <f>AH31+AH32</f>
        <v>0</v>
      </c>
      <c r="AX30" s="83"/>
      <c r="AY30" s="83"/>
      <c r="AZ30" s="83"/>
      <c r="BA30" s="83"/>
      <c r="BB30" s="83"/>
      <c r="BC30" s="83"/>
      <c r="BD30" s="121"/>
      <c r="BG30" s="28"/>
      <c r="BH30" s="111" t="s">
        <v>23</v>
      </c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1"/>
      <c r="BZ30" s="111"/>
      <c r="CA30" s="111"/>
      <c r="CB30" s="111"/>
      <c r="CC30" s="111"/>
      <c r="CD30" s="111"/>
      <c r="CE30" s="111"/>
      <c r="CF30" s="111"/>
      <c r="CG30" s="111"/>
      <c r="CH30" s="111"/>
      <c r="CI30" s="111"/>
      <c r="CJ30" s="111"/>
      <c r="CK30" s="111"/>
      <c r="CL30" s="111"/>
      <c r="CM30" s="111"/>
      <c r="CN30" s="111"/>
      <c r="CO30" s="111"/>
      <c r="CP30" s="111"/>
      <c r="CQ30" s="111"/>
      <c r="CR30" s="112"/>
      <c r="CS30" s="102">
        <v>16</v>
      </c>
      <c r="CT30" s="103"/>
      <c r="CU30" s="103"/>
      <c r="CV30" s="103"/>
      <c r="CW30" s="103"/>
      <c r="CX30" s="104"/>
      <c r="CY30" s="120">
        <f>CK31+CK32</f>
        <v>0</v>
      </c>
      <c r="CZ30" s="83"/>
      <c r="DA30" s="83"/>
      <c r="DB30" s="83"/>
      <c r="DC30" s="83"/>
      <c r="DD30" s="83"/>
      <c r="DE30" s="83"/>
      <c r="DF30" s="121"/>
    </row>
    <row r="31" spans="1:110" s="14" customFormat="1" ht="12" x14ac:dyDescent="0.25">
      <c r="A31" s="25"/>
      <c r="B31" s="111" t="s">
        <v>14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2"/>
      <c r="AH31" s="89"/>
      <c r="AI31" s="90"/>
      <c r="AJ31" s="90"/>
      <c r="AK31" s="90"/>
      <c r="AL31" s="90"/>
      <c r="AM31" s="90"/>
      <c r="AN31" s="90"/>
      <c r="AO31" s="90"/>
      <c r="AP31" s="90"/>
      <c r="AQ31" s="105"/>
      <c r="AR31" s="106"/>
      <c r="AS31" s="106"/>
      <c r="AT31" s="106"/>
      <c r="AU31" s="106"/>
      <c r="AV31" s="107"/>
      <c r="AW31" s="141"/>
      <c r="AX31" s="142"/>
      <c r="AY31" s="142"/>
      <c r="AZ31" s="142"/>
      <c r="BA31" s="142"/>
      <c r="BB31" s="142"/>
      <c r="BC31" s="142"/>
      <c r="BD31" s="143"/>
      <c r="BG31" s="25"/>
      <c r="BH31" s="87" t="s">
        <v>14</v>
      </c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8"/>
      <c r="CK31" s="89"/>
      <c r="CL31" s="90"/>
      <c r="CM31" s="90"/>
      <c r="CN31" s="90"/>
      <c r="CO31" s="90"/>
      <c r="CP31" s="90"/>
      <c r="CQ31" s="90"/>
      <c r="CR31" s="90"/>
      <c r="CS31" s="105"/>
      <c r="CT31" s="106"/>
      <c r="CU31" s="106"/>
      <c r="CV31" s="106"/>
      <c r="CW31" s="106"/>
      <c r="CX31" s="107"/>
      <c r="CY31" s="141"/>
      <c r="CZ31" s="142"/>
      <c r="DA31" s="142"/>
      <c r="DB31" s="142"/>
      <c r="DC31" s="142"/>
      <c r="DD31" s="142"/>
      <c r="DE31" s="142"/>
      <c r="DF31" s="143"/>
    </row>
    <row r="32" spans="1:110" s="14" customFormat="1" ht="12" x14ac:dyDescent="0.25">
      <c r="A32" s="25"/>
      <c r="B32" s="126" t="s">
        <v>11</v>
      </c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7"/>
      <c r="AH32" s="120">
        <f>AH34+AH35+AH36</f>
        <v>0</v>
      </c>
      <c r="AI32" s="83"/>
      <c r="AJ32" s="83"/>
      <c r="AK32" s="83"/>
      <c r="AL32" s="83"/>
      <c r="AM32" s="83"/>
      <c r="AN32" s="83"/>
      <c r="AO32" s="83"/>
      <c r="AP32" s="83"/>
      <c r="AQ32" s="105"/>
      <c r="AR32" s="106"/>
      <c r="AS32" s="106"/>
      <c r="AT32" s="106"/>
      <c r="AU32" s="106"/>
      <c r="AV32" s="107"/>
      <c r="AW32" s="141"/>
      <c r="AX32" s="142"/>
      <c r="AY32" s="142"/>
      <c r="AZ32" s="142"/>
      <c r="BA32" s="142"/>
      <c r="BB32" s="142"/>
      <c r="BC32" s="142"/>
      <c r="BD32" s="143"/>
      <c r="BG32" s="25"/>
      <c r="BH32" s="126" t="s">
        <v>141</v>
      </c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0">
        <f>PayAmount1+PayAmount2+PayAmount3</f>
        <v>0</v>
      </c>
      <c r="CL32" s="83"/>
      <c r="CM32" s="83"/>
      <c r="CN32" s="83"/>
      <c r="CO32" s="83"/>
      <c r="CP32" s="83"/>
      <c r="CQ32" s="83"/>
      <c r="CR32" s="121"/>
      <c r="CS32" s="105"/>
      <c r="CT32" s="106"/>
      <c r="CU32" s="106"/>
      <c r="CV32" s="106"/>
      <c r="CW32" s="106"/>
      <c r="CX32" s="107"/>
      <c r="CY32" s="141"/>
      <c r="CZ32" s="142"/>
      <c r="DA32" s="142"/>
      <c r="DB32" s="142"/>
      <c r="DC32" s="142"/>
      <c r="DD32" s="142"/>
      <c r="DE32" s="142"/>
      <c r="DF32" s="143"/>
    </row>
    <row r="33" spans="1:110" s="14" customFormat="1" ht="12" x14ac:dyDescent="0.25">
      <c r="A33" s="26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9"/>
      <c r="AH33" s="144"/>
      <c r="AI33" s="145"/>
      <c r="AJ33" s="145"/>
      <c r="AK33" s="145"/>
      <c r="AL33" s="145"/>
      <c r="AM33" s="145"/>
      <c r="AN33" s="145"/>
      <c r="AO33" s="145"/>
      <c r="AP33" s="145"/>
      <c r="AQ33" s="105"/>
      <c r="AR33" s="106"/>
      <c r="AS33" s="106"/>
      <c r="AT33" s="106"/>
      <c r="AU33" s="106"/>
      <c r="AV33" s="107"/>
      <c r="AW33" s="141"/>
      <c r="AX33" s="142"/>
      <c r="AY33" s="142"/>
      <c r="AZ33" s="142"/>
      <c r="BA33" s="142"/>
      <c r="BB33" s="142"/>
      <c r="BC33" s="142"/>
      <c r="BD33" s="143"/>
      <c r="BG33" s="29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8"/>
      <c r="CD33" s="158"/>
      <c r="CE33" s="158"/>
      <c r="CF33" s="158"/>
      <c r="CG33" s="158"/>
      <c r="CH33" s="158"/>
      <c r="CI33" s="158"/>
      <c r="CJ33" s="158"/>
      <c r="CK33" s="141"/>
      <c r="CL33" s="142"/>
      <c r="CM33" s="142"/>
      <c r="CN33" s="142"/>
      <c r="CO33" s="142"/>
      <c r="CP33" s="142"/>
      <c r="CQ33" s="142"/>
      <c r="CR33" s="143"/>
      <c r="CS33" s="105"/>
      <c r="CT33" s="106"/>
      <c r="CU33" s="106"/>
      <c r="CV33" s="106"/>
      <c r="CW33" s="106"/>
      <c r="CX33" s="107"/>
      <c r="CY33" s="141"/>
      <c r="CZ33" s="142"/>
      <c r="DA33" s="142"/>
      <c r="DB33" s="142"/>
      <c r="DC33" s="142"/>
      <c r="DD33" s="142"/>
      <c r="DE33" s="142"/>
      <c r="DF33" s="143"/>
    </row>
    <row r="34" spans="1:110" s="14" customFormat="1" ht="12" x14ac:dyDescent="0.25">
      <c r="A34" s="28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8"/>
      <c r="AH34" s="89"/>
      <c r="AI34" s="90"/>
      <c r="AJ34" s="90"/>
      <c r="AK34" s="90"/>
      <c r="AL34" s="90"/>
      <c r="AM34" s="90"/>
      <c r="AN34" s="90"/>
      <c r="AO34" s="90"/>
      <c r="AP34" s="90"/>
      <c r="AQ34" s="105"/>
      <c r="AR34" s="106"/>
      <c r="AS34" s="106"/>
      <c r="AT34" s="106"/>
      <c r="AU34" s="106"/>
      <c r="AV34" s="107"/>
      <c r="AW34" s="141"/>
      <c r="AX34" s="142"/>
      <c r="AY34" s="142"/>
      <c r="AZ34" s="142"/>
      <c r="BA34" s="142"/>
      <c r="BB34" s="142"/>
      <c r="BC34" s="142"/>
      <c r="BD34" s="143"/>
      <c r="BG34" s="153"/>
      <c r="BH34" s="154"/>
      <c r="BI34" s="154"/>
      <c r="BJ34" s="154"/>
      <c r="BK34" s="154"/>
      <c r="BL34" s="154"/>
      <c r="BM34" s="154"/>
      <c r="BN34" s="154"/>
      <c r="BO34" s="154"/>
      <c r="BP34" s="154"/>
      <c r="BQ34" s="154"/>
      <c r="BR34" s="154"/>
      <c r="BS34" s="154"/>
      <c r="BT34" s="154"/>
      <c r="BU34" s="155"/>
      <c r="BV34" s="153"/>
      <c r="BW34" s="154"/>
      <c r="BX34" s="154"/>
      <c r="BY34" s="154"/>
      <c r="BZ34" s="154"/>
      <c r="CA34" s="154"/>
      <c r="CB34" s="154"/>
      <c r="CC34" s="154"/>
      <c r="CD34" s="154"/>
      <c r="CE34" s="154"/>
      <c r="CF34" s="154"/>
      <c r="CG34" s="154"/>
      <c r="CH34" s="154"/>
      <c r="CI34" s="154"/>
      <c r="CJ34" s="155"/>
      <c r="CK34" s="156"/>
      <c r="CL34" s="157"/>
      <c r="CM34" s="157"/>
      <c r="CN34" s="157"/>
      <c r="CO34" s="157"/>
      <c r="CP34" s="157"/>
      <c r="CQ34" s="157"/>
      <c r="CR34" s="157"/>
      <c r="CS34" s="105"/>
      <c r="CT34" s="106"/>
      <c r="CU34" s="106"/>
      <c r="CV34" s="106"/>
      <c r="CW34" s="106"/>
      <c r="CX34" s="107"/>
      <c r="CY34" s="141"/>
      <c r="CZ34" s="142"/>
      <c r="DA34" s="142"/>
      <c r="DB34" s="142"/>
      <c r="DC34" s="142"/>
      <c r="DD34" s="142"/>
      <c r="DE34" s="142"/>
      <c r="DF34" s="143"/>
    </row>
    <row r="35" spans="1:110" s="14" customFormat="1" ht="12" x14ac:dyDescent="0.25">
      <c r="A35" s="28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8"/>
      <c r="AH35" s="89"/>
      <c r="AI35" s="90"/>
      <c r="AJ35" s="90"/>
      <c r="AK35" s="90"/>
      <c r="AL35" s="90"/>
      <c r="AM35" s="90"/>
      <c r="AN35" s="90"/>
      <c r="AO35" s="90"/>
      <c r="AP35" s="90"/>
      <c r="AQ35" s="105"/>
      <c r="AR35" s="106"/>
      <c r="AS35" s="106"/>
      <c r="AT35" s="106"/>
      <c r="AU35" s="106"/>
      <c r="AV35" s="107"/>
      <c r="AW35" s="141"/>
      <c r="AX35" s="142"/>
      <c r="AY35" s="142"/>
      <c r="AZ35" s="142"/>
      <c r="BA35" s="142"/>
      <c r="BB35" s="142"/>
      <c r="BC35" s="142"/>
      <c r="BD35" s="143"/>
      <c r="BG35" s="153"/>
      <c r="BH35" s="154"/>
      <c r="BI35" s="154"/>
      <c r="BJ35" s="154"/>
      <c r="BK35" s="154"/>
      <c r="BL35" s="154"/>
      <c r="BM35" s="154"/>
      <c r="BN35" s="154"/>
      <c r="BO35" s="154"/>
      <c r="BP35" s="154"/>
      <c r="BQ35" s="154"/>
      <c r="BR35" s="154"/>
      <c r="BS35" s="154"/>
      <c r="BT35" s="154"/>
      <c r="BU35" s="155"/>
      <c r="BV35" s="153"/>
      <c r="BW35" s="154"/>
      <c r="BX35" s="154"/>
      <c r="BY35" s="154"/>
      <c r="BZ35" s="154"/>
      <c r="CA35" s="154"/>
      <c r="CB35" s="154"/>
      <c r="CC35" s="154"/>
      <c r="CD35" s="154"/>
      <c r="CE35" s="154"/>
      <c r="CF35" s="154"/>
      <c r="CG35" s="154"/>
      <c r="CH35" s="154"/>
      <c r="CI35" s="154"/>
      <c r="CJ35" s="155"/>
      <c r="CK35" s="156"/>
      <c r="CL35" s="157"/>
      <c r="CM35" s="157"/>
      <c r="CN35" s="157"/>
      <c r="CO35" s="157"/>
      <c r="CP35" s="157"/>
      <c r="CQ35" s="157"/>
      <c r="CR35" s="157"/>
      <c r="CS35" s="105"/>
      <c r="CT35" s="106"/>
      <c r="CU35" s="106"/>
      <c r="CV35" s="106"/>
      <c r="CW35" s="106"/>
      <c r="CX35" s="107"/>
      <c r="CY35" s="141"/>
      <c r="CZ35" s="142"/>
      <c r="DA35" s="142"/>
      <c r="DB35" s="142"/>
      <c r="DC35" s="142"/>
      <c r="DD35" s="142"/>
      <c r="DE35" s="142"/>
      <c r="DF35" s="143"/>
    </row>
    <row r="36" spans="1:110" s="14" customFormat="1" ht="12" x14ac:dyDescent="0.25">
      <c r="A36" s="28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8"/>
      <c r="AH36" s="89"/>
      <c r="AI36" s="90"/>
      <c r="AJ36" s="90"/>
      <c r="AK36" s="90"/>
      <c r="AL36" s="90"/>
      <c r="AM36" s="90"/>
      <c r="AN36" s="90"/>
      <c r="AO36" s="90"/>
      <c r="AP36" s="90"/>
      <c r="AQ36" s="108"/>
      <c r="AR36" s="109"/>
      <c r="AS36" s="109"/>
      <c r="AT36" s="109"/>
      <c r="AU36" s="109"/>
      <c r="AV36" s="110"/>
      <c r="AW36" s="144"/>
      <c r="AX36" s="145"/>
      <c r="AY36" s="145"/>
      <c r="AZ36" s="145"/>
      <c r="BA36" s="145"/>
      <c r="BB36" s="145"/>
      <c r="BC36" s="145"/>
      <c r="BD36" s="146"/>
      <c r="BG36" s="153"/>
      <c r="BH36" s="154"/>
      <c r="BI36" s="154"/>
      <c r="BJ36" s="154"/>
      <c r="BK36" s="154"/>
      <c r="BL36" s="154"/>
      <c r="BM36" s="154"/>
      <c r="BN36" s="154"/>
      <c r="BO36" s="154"/>
      <c r="BP36" s="154"/>
      <c r="BQ36" s="154"/>
      <c r="BR36" s="154"/>
      <c r="BS36" s="154"/>
      <c r="BT36" s="154"/>
      <c r="BU36" s="155"/>
      <c r="BV36" s="153"/>
      <c r="BW36" s="154"/>
      <c r="BX36" s="154"/>
      <c r="BY36" s="154"/>
      <c r="BZ36" s="154"/>
      <c r="CA36" s="154"/>
      <c r="CB36" s="154"/>
      <c r="CC36" s="154"/>
      <c r="CD36" s="154"/>
      <c r="CE36" s="154"/>
      <c r="CF36" s="154"/>
      <c r="CG36" s="154"/>
      <c r="CH36" s="154"/>
      <c r="CI36" s="154"/>
      <c r="CJ36" s="155"/>
      <c r="CK36" s="156"/>
      <c r="CL36" s="157"/>
      <c r="CM36" s="157"/>
      <c r="CN36" s="157"/>
      <c r="CO36" s="157"/>
      <c r="CP36" s="157"/>
      <c r="CQ36" s="157"/>
      <c r="CR36" s="157"/>
      <c r="CS36" s="108"/>
      <c r="CT36" s="109"/>
      <c r="CU36" s="109"/>
      <c r="CV36" s="109"/>
      <c r="CW36" s="109"/>
      <c r="CX36" s="110"/>
      <c r="CY36" s="144"/>
      <c r="CZ36" s="145"/>
      <c r="DA36" s="145"/>
      <c r="DB36" s="145"/>
      <c r="DC36" s="145"/>
      <c r="DD36" s="145"/>
      <c r="DE36" s="145"/>
      <c r="DF36" s="146"/>
    </row>
    <row r="37" spans="1:110" s="14" customFormat="1" ht="12" x14ac:dyDescent="0.25">
      <c r="A37" s="25"/>
      <c r="B37" s="96" t="s">
        <v>20</v>
      </c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7"/>
      <c r="AQ37" s="102">
        <v>5</v>
      </c>
      <c r="AR37" s="103"/>
      <c r="AS37" s="103"/>
      <c r="AT37" s="103"/>
      <c r="AU37" s="103"/>
      <c r="AV37" s="104"/>
      <c r="AW37" s="120">
        <f>AH39+AH41</f>
        <v>0</v>
      </c>
      <c r="AX37" s="83"/>
      <c r="AY37" s="83"/>
      <c r="AZ37" s="83"/>
      <c r="BA37" s="83"/>
      <c r="BB37" s="83"/>
      <c r="BC37" s="83"/>
      <c r="BD37" s="121"/>
      <c r="BG37" s="25"/>
      <c r="BH37" s="126" t="s">
        <v>24</v>
      </c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7"/>
      <c r="CS37" s="102">
        <v>17</v>
      </c>
      <c r="CT37" s="103"/>
      <c r="CU37" s="103"/>
      <c r="CV37" s="103"/>
      <c r="CW37" s="103"/>
      <c r="CX37" s="104"/>
      <c r="CY37" s="120">
        <f>CY19+CY23+CY30</f>
        <v>0</v>
      </c>
      <c r="CZ37" s="83"/>
      <c r="DA37" s="83"/>
      <c r="DB37" s="83"/>
      <c r="DC37" s="83"/>
      <c r="DD37" s="83"/>
      <c r="DE37" s="83"/>
      <c r="DF37" s="121"/>
    </row>
    <row r="38" spans="1:110" s="14" customFormat="1" ht="12" x14ac:dyDescent="0.25">
      <c r="A38" s="33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1"/>
      <c r="AQ38" s="105"/>
      <c r="AR38" s="106"/>
      <c r="AS38" s="106"/>
      <c r="AT38" s="106"/>
      <c r="AU38" s="106"/>
      <c r="AV38" s="107"/>
      <c r="AW38" s="141"/>
      <c r="AX38" s="142"/>
      <c r="AY38" s="142"/>
      <c r="AZ38" s="142"/>
      <c r="BA38" s="142"/>
      <c r="BB38" s="142"/>
      <c r="BC38" s="142"/>
      <c r="BD38" s="143"/>
      <c r="BG38" s="26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  <c r="CF38" s="128"/>
      <c r="CG38" s="128"/>
      <c r="CH38" s="128"/>
      <c r="CI38" s="128"/>
      <c r="CJ38" s="128"/>
      <c r="CK38" s="128"/>
      <c r="CL38" s="128"/>
      <c r="CM38" s="128"/>
      <c r="CN38" s="128"/>
      <c r="CO38" s="128"/>
      <c r="CP38" s="128"/>
      <c r="CQ38" s="128"/>
      <c r="CR38" s="129"/>
      <c r="CS38" s="108"/>
      <c r="CT38" s="109"/>
      <c r="CU38" s="109"/>
      <c r="CV38" s="109"/>
      <c r="CW38" s="109"/>
      <c r="CX38" s="110"/>
      <c r="CY38" s="144"/>
      <c r="CZ38" s="145"/>
      <c r="DA38" s="145"/>
      <c r="DB38" s="145"/>
      <c r="DC38" s="145"/>
      <c r="DD38" s="145"/>
      <c r="DE38" s="145"/>
      <c r="DF38" s="146"/>
    </row>
    <row r="39" spans="1:110" s="14" customFormat="1" ht="12" x14ac:dyDescent="0.25">
      <c r="A39" s="25"/>
      <c r="B39" s="126" t="s">
        <v>14</v>
      </c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7"/>
      <c r="AH39" s="102"/>
      <c r="AI39" s="103"/>
      <c r="AJ39" s="103"/>
      <c r="AK39" s="103"/>
      <c r="AL39" s="103"/>
      <c r="AM39" s="103"/>
      <c r="AN39" s="103"/>
      <c r="AO39" s="103"/>
      <c r="AP39" s="104"/>
      <c r="AQ39" s="105"/>
      <c r="AR39" s="106"/>
      <c r="AS39" s="106"/>
      <c r="AT39" s="106"/>
      <c r="AU39" s="106"/>
      <c r="AV39" s="107"/>
      <c r="AW39" s="141"/>
      <c r="AX39" s="142"/>
      <c r="AY39" s="142"/>
      <c r="AZ39" s="142"/>
      <c r="BA39" s="142"/>
      <c r="BB39" s="142"/>
      <c r="BC39" s="142"/>
      <c r="BD39" s="143"/>
      <c r="BG39" s="25"/>
      <c r="BH39" s="126" t="s">
        <v>131</v>
      </c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7"/>
      <c r="CS39" s="102">
        <v>18</v>
      </c>
      <c r="CT39" s="103"/>
      <c r="CU39" s="103"/>
      <c r="CV39" s="103"/>
      <c r="CW39" s="103"/>
      <c r="CX39" s="104"/>
      <c r="CY39" s="120"/>
      <c r="CZ39" s="83"/>
      <c r="DA39" s="83"/>
      <c r="DB39" s="83"/>
      <c r="DC39" s="83"/>
      <c r="DD39" s="83"/>
      <c r="DE39" s="83"/>
      <c r="DF39" s="121"/>
    </row>
    <row r="40" spans="1:110" s="14" customFormat="1" ht="12" x14ac:dyDescent="0.25">
      <c r="A40" s="26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9"/>
      <c r="AH40" s="108"/>
      <c r="AI40" s="109"/>
      <c r="AJ40" s="109"/>
      <c r="AK40" s="109"/>
      <c r="AL40" s="109"/>
      <c r="AM40" s="109"/>
      <c r="AN40" s="109"/>
      <c r="AO40" s="109"/>
      <c r="AP40" s="110"/>
      <c r="AQ40" s="105"/>
      <c r="AR40" s="106"/>
      <c r="AS40" s="106"/>
      <c r="AT40" s="106"/>
      <c r="AU40" s="106"/>
      <c r="AV40" s="107"/>
      <c r="AW40" s="141"/>
      <c r="AX40" s="142"/>
      <c r="AY40" s="142"/>
      <c r="AZ40" s="142"/>
      <c r="BA40" s="142"/>
      <c r="BB40" s="142"/>
      <c r="BC40" s="142"/>
      <c r="BD40" s="143"/>
      <c r="BG40" s="26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28"/>
      <c r="CB40" s="128"/>
      <c r="CC40" s="128"/>
      <c r="CD40" s="128"/>
      <c r="CE40" s="128"/>
      <c r="CF40" s="128"/>
      <c r="CG40" s="128"/>
      <c r="CH40" s="128"/>
      <c r="CI40" s="128"/>
      <c r="CJ40" s="128"/>
      <c r="CK40" s="128"/>
      <c r="CL40" s="128"/>
      <c r="CM40" s="128"/>
      <c r="CN40" s="128"/>
      <c r="CO40" s="128"/>
      <c r="CP40" s="128"/>
      <c r="CQ40" s="128"/>
      <c r="CR40" s="129"/>
      <c r="CS40" s="108"/>
      <c r="CT40" s="109"/>
      <c r="CU40" s="109"/>
      <c r="CV40" s="109"/>
      <c r="CW40" s="109"/>
      <c r="CX40" s="110"/>
      <c r="CY40" s="144"/>
      <c r="CZ40" s="145"/>
      <c r="DA40" s="145"/>
      <c r="DB40" s="145"/>
      <c r="DC40" s="145"/>
      <c r="DD40" s="145"/>
      <c r="DE40" s="145"/>
      <c r="DF40" s="146"/>
    </row>
    <row r="41" spans="1:110" s="14" customFormat="1" ht="12" x14ac:dyDescent="0.25">
      <c r="A41" s="28"/>
      <c r="B41" s="111" t="s">
        <v>11</v>
      </c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2"/>
      <c r="AH41" s="93">
        <f>AH42+AH43+AH44</f>
        <v>0</v>
      </c>
      <c r="AI41" s="94"/>
      <c r="AJ41" s="94"/>
      <c r="AK41" s="94"/>
      <c r="AL41" s="94"/>
      <c r="AM41" s="94"/>
      <c r="AN41" s="94"/>
      <c r="AO41" s="94"/>
      <c r="AP41" s="95"/>
      <c r="AQ41" s="105"/>
      <c r="AR41" s="106"/>
      <c r="AS41" s="106"/>
      <c r="AT41" s="106"/>
      <c r="AU41" s="106"/>
      <c r="AV41" s="107"/>
      <c r="AW41" s="141"/>
      <c r="AX41" s="142"/>
      <c r="AY41" s="142"/>
      <c r="AZ41" s="142"/>
      <c r="BA41" s="142"/>
      <c r="BB41" s="142"/>
      <c r="BC41" s="142"/>
      <c r="BD41" s="143"/>
      <c r="BG41" s="130" t="s">
        <v>25</v>
      </c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  <c r="BY41" s="130"/>
      <c r="BZ41" s="130"/>
      <c r="CA41" s="130"/>
      <c r="CB41" s="130"/>
      <c r="CC41" s="130"/>
      <c r="CD41" s="130"/>
      <c r="CE41" s="130"/>
      <c r="CF41" s="130"/>
      <c r="CG41" s="130"/>
      <c r="CH41" s="130"/>
      <c r="CI41" s="130"/>
      <c r="CJ41" s="130"/>
      <c r="CK41" s="130"/>
      <c r="CL41" s="130"/>
      <c r="CM41" s="130"/>
      <c r="CN41" s="130"/>
      <c r="CO41" s="130"/>
      <c r="CP41" s="130"/>
      <c r="CQ41" s="130"/>
      <c r="CR41" s="130"/>
      <c r="CS41" s="130"/>
      <c r="CT41" s="130"/>
      <c r="CU41" s="130"/>
      <c r="CV41" s="130"/>
      <c r="CW41" s="130"/>
      <c r="CX41" s="130"/>
      <c r="CY41" s="130"/>
      <c r="CZ41" s="130"/>
      <c r="DA41" s="130"/>
      <c r="DB41" s="130"/>
      <c r="DC41" s="130"/>
      <c r="DD41" s="130"/>
      <c r="DE41" s="130"/>
      <c r="DF41" s="130"/>
    </row>
    <row r="42" spans="1:110" s="14" customFormat="1" ht="12" customHeight="1" x14ac:dyDescent="0.25">
      <c r="A42" s="28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8"/>
      <c r="AH42" s="93"/>
      <c r="AI42" s="94"/>
      <c r="AJ42" s="94"/>
      <c r="AK42" s="94"/>
      <c r="AL42" s="94"/>
      <c r="AM42" s="94"/>
      <c r="AN42" s="94"/>
      <c r="AO42" s="94"/>
      <c r="AP42" s="94"/>
      <c r="AQ42" s="105"/>
      <c r="AR42" s="106"/>
      <c r="AS42" s="106"/>
      <c r="AT42" s="106"/>
      <c r="AU42" s="106"/>
      <c r="AV42" s="107"/>
      <c r="AW42" s="141"/>
      <c r="AX42" s="142"/>
      <c r="AY42" s="142"/>
      <c r="AZ42" s="142"/>
      <c r="BA42" s="142"/>
      <c r="BB42" s="142"/>
      <c r="BC42" s="142"/>
      <c r="BD42" s="143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0"/>
      <c r="CD42" s="130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</row>
    <row r="43" spans="1:110" s="14" customFormat="1" ht="12" x14ac:dyDescent="0.25">
      <c r="A43" s="28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8"/>
      <c r="AH43" s="93"/>
      <c r="AI43" s="94"/>
      <c r="AJ43" s="94"/>
      <c r="AK43" s="94"/>
      <c r="AL43" s="94"/>
      <c r="AM43" s="94"/>
      <c r="AN43" s="94"/>
      <c r="AO43" s="94"/>
      <c r="AP43" s="94"/>
      <c r="AQ43" s="105"/>
      <c r="AR43" s="106"/>
      <c r="AS43" s="106"/>
      <c r="AT43" s="106"/>
      <c r="AU43" s="106"/>
      <c r="AV43" s="107"/>
      <c r="AW43" s="141"/>
      <c r="AX43" s="142"/>
      <c r="AY43" s="142"/>
      <c r="AZ43" s="142"/>
      <c r="BA43" s="142"/>
      <c r="BB43" s="142"/>
      <c r="BC43" s="142"/>
      <c r="BD43" s="143"/>
    </row>
    <row r="44" spans="1:110" s="14" customFormat="1" ht="12" x14ac:dyDescent="0.25">
      <c r="A44" s="28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8"/>
      <c r="AH44" s="93"/>
      <c r="AI44" s="94"/>
      <c r="AJ44" s="94"/>
      <c r="AK44" s="94"/>
      <c r="AL44" s="94"/>
      <c r="AM44" s="94"/>
      <c r="AN44" s="94"/>
      <c r="AO44" s="94"/>
      <c r="AP44" s="94"/>
      <c r="AQ44" s="108"/>
      <c r="AR44" s="109"/>
      <c r="AS44" s="109"/>
      <c r="AT44" s="109"/>
      <c r="AU44" s="109"/>
      <c r="AV44" s="110"/>
      <c r="AW44" s="144"/>
      <c r="AX44" s="145"/>
      <c r="AY44" s="145"/>
      <c r="AZ44" s="145"/>
      <c r="BA44" s="145"/>
      <c r="BB44" s="145"/>
      <c r="BC44" s="145"/>
      <c r="BD44" s="146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</row>
    <row r="45" spans="1:110" s="14" customFormat="1" ht="12" x14ac:dyDescent="0.25">
      <c r="A45" s="25"/>
      <c r="B45" s="96" t="s">
        <v>22</v>
      </c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7"/>
      <c r="AQ45" s="102">
        <v>6</v>
      </c>
      <c r="AR45" s="103"/>
      <c r="AS45" s="103"/>
      <c r="AT45" s="103"/>
      <c r="AU45" s="103"/>
      <c r="AV45" s="104"/>
      <c r="AW45" s="120">
        <f>AH48+AH49</f>
        <v>0</v>
      </c>
      <c r="AX45" s="83"/>
      <c r="AY45" s="83"/>
      <c r="AZ45" s="83"/>
      <c r="BA45" s="83"/>
      <c r="BB45" s="83"/>
      <c r="BC45" s="83"/>
      <c r="BD45" s="121"/>
    </row>
    <row r="46" spans="1:110" s="14" customFormat="1" ht="12" x14ac:dyDescent="0.25">
      <c r="A46" s="29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9"/>
      <c r="AQ46" s="105"/>
      <c r="AR46" s="106"/>
      <c r="AS46" s="106"/>
      <c r="AT46" s="106"/>
      <c r="AU46" s="106"/>
      <c r="AV46" s="107"/>
      <c r="AW46" s="141"/>
      <c r="AX46" s="142"/>
      <c r="AY46" s="142"/>
      <c r="AZ46" s="142"/>
      <c r="BA46" s="142"/>
      <c r="BB46" s="142"/>
      <c r="BC46" s="142"/>
      <c r="BD46" s="143"/>
    </row>
    <row r="47" spans="1:110" s="14" customFormat="1" ht="12" x14ac:dyDescent="0.25">
      <c r="A47" s="33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1"/>
      <c r="AQ47" s="105"/>
      <c r="AR47" s="106"/>
      <c r="AS47" s="106"/>
      <c r="AT47" s="106"/>
      <c r="AU47" s="106"/>
      <c r="AV47" s="107"/>
      <c r="AW47" s="141"/>
      <c r="AX47" s="142"/>
      <c r="AY47" s="142"/>
      <c r="AZ47" s="142"/>
      <c r="BA47" s="142"/>
      <c r="BB47" s="142"/>
      <c r="BC47" s="142"/>
      <c r="BD47" s="143"/>
    </row>
    <row r="48" spans="1:110" s="14" customFormat="1" ht="11.25" customHeight="1" x14ac:dyDescent="0.25">
      <c r="A48" s="25"/>
      <c r="B48" s="111" t="s">
        <v>14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2"/>
      <c r="AH48" s="93"/>
      <c r="AI48" s="94"/>
      <c r="AJ48" s="94"/>
      <c r="AK48" s="94"/>
      <c r="AL48" s="94"/>
      <c r="AM48" s="94"/>
      <c r="AN48" s="94"/>
      <c r="AO48" s="94"/>
      <c r="AP48" s="95"/>
      <c r="AQ48" s="105"/>
      <c r="AR48" s="106"/>
      <c r="AS48" s="106"/>
      <c r="AT48" s="106"/>
      <c r="AU48" s="106"/>
      <c r="AV48" s="107"/>
      <c r="AW48" s="141"/>
      <c r="AX48" s="142"/>
      <c r="AY48" s="142"/>
      <c r="AZ48" s="142"/>
      <c r="BA48" s="142"/>
      <c r="BB48" s="142"/>
      <c r="BC48" s="142"/>
      <c r="BD48" s="143"/>
    </row>
    <row r="49" spans="1:56" s="14" customFormat="1" ht="11.25" customHeight="1" x14ac:dyDescent="0.25">
      <c r="A49" s="28"/>
      <c r="B49" s="111" t="s">
        <v>11</v>
      </c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2"/>
      <c r="AH49" s="93">
        <f>AH50+AH51+AH52</f>
        <v>0</v>
      </c>
      <c r="AI49" s="94"/>
      <c r="AJ49" s="94"/>
      <c r="AK49" s="94"/>
      <c r="AL49" s="94"/>
      <c r="AM49" s="94"/>
      <c r="AN49" s="94"/>
      <c r="AO49" s="94"/>
      <c r="AP49" s="95"/>
      <c r="AQ49" s="105"/>
      <c r="AR49" s="106"/>
      <c r="AS49" s="106"/>
      <c r="AT49" s="106"/>
      <c r="AU49" s="106"/>
      <c r="AV49" s="107"/>
      <c r="AW49" s="141"/>
      <c r="AX49" s="142"/>
      <c r="AY49" s="142"/>
      <c r="AZ49" s="142"/>
      <c r="BA49" s="142"/>
      <c r="BB49" s="142"/>
      <c r="BC49" s="142"/>
      <c r="BD49" s="143"/>
    </row>
    <row r="50" spans="1:56" s="14" customFormat="1" ht="12" x14ac:dyDescent="0.25">
      <c r="A50" s="28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8"/>
      <c r="AH50" s="93"/>
      <c r="AI50" s="94"/>
      <c r="AJ50" s="94"/>
      <c r="AK50" s="94"/>
      <c r="AL50" s="94"/>
      <c r="AM50" s="94"/>
      <c r="AN50" s="94"/>
      <c r="AO50" s="94"/>
      <c r="AP50" s="95"/>
      <c r="AQ50" s="105"/>
      <c r="AR50" s="106"/>
      <c r="AS50" s="106"/>
      <c r="AT50" s="106"/>
      <c r="AU50" s="106"/>
      <c r="AV50" s="107"/>
      <c r="AW50" s="141"/>
      <c r="AX50" s="142"/>
      <c r="AY50" s="142"/>
      <c r="AZ50" s="142"/>
      <c r="BA50" s="142"/>
      <c r="BB50" s="142"/>
      <c r="BC50" s="142"/>
      <c r="BD50" s="143"/>
    </row>
    <row r="51" spans="1:56" s="14" customFormat="1" ht="11.25" customHeight="1" x14ac:dyDescent="0.25">
      <c r="A51" s="28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8"/>
      <c r="AH51" s="93"/>
      <c r="AI51" s="94"/>
      <c r="AJ51" s="94"/>
      <c r="AK51" s="94"/>
      <c r="AL51" s="94"/>
      <c r="AM51" s="94"/>
      <c r="AN51" s="94"/>
      <c r="AO51" s="94"/>
      <c r="AP51" s="95"/>
      <c r="AQ51" s="105"/>
      <c r="AR51" s="106"/>
      <c r="AS51" s="106"/>
      <c r="AT51" s="106"/>
      <c r="AU51" s="106"/>
      <c r="AV51" s="107"/>
      <c r="AW51" s="141"/>
      <c r="AX51" s="142"/>
      <c r="AY51" s="142"/>
      <c r="AZ51" s="142"/>
      <c r="BA51" s="142"/>
      <c r="BB51" s="142"/>
      <c r="BC51" s="142"/>
      <c r="BD51" s="143"/>
    </row>
    <row r="52" spans="1:56" s="14" customFormat="1" ht="11.25" customHeight="1" x14ac:dyDescent="0.25">
      <c r="A52" s="28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8"/>
      <c r="AH52" s="93"/>
      <c r="AI52" s="94"/>
      <c r="AJ52" s="94"/>
      <c r="AK52" s="94"/>
      <c r="AL52" s="94"/>
      <c r="AM52" s="94"/>
      <c r="AN52" s="94"/>
      <c r="AO52" s="94"/>
      <c r="AP52" s="95"/>
      <c r="AQ52" s="108"/>
      <c r="AR52" s="109"/>
      <c r="AS52" s="109"/>
      <c r="AT52" s="109"/>
      <c r="AU52" s="109"/>
      <c r="AV52" s="110"/>
      <c r="AW52" s="144"/>
      <c r="AX52" s="145"/>
      <c r="AY52" s="145"/>
      <c r="AZ52" s="145"/>
      <c r="BA52" s="145"/>
      <c r="BB52" s="145"/>
      <c r="BC52" s="145"/>
      <c r="BD52" s="146"/>
    </row>
    <row r="53" spans="1:56" s="14" customFormat="1" ht="36" customHeight="1" x14ac:dyDescent="0.25">
      <c r="A53" s="16"/>
      <c r="B53" s="125" t="s">
        <v>132</v>
      </c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02">
        <v>7</v>
      </c>
      <c r="AR53" s="103"/>
      <c r="AS53" s="103"/>
      <c r="AT53" s="103"/>
      <c r="AU53" s="103"/>
      <c r="AV53" s="104"/>
      <c r="AW53" s="120">
        <f>AH54+AH55</f>
        <v>0</v>
      </c>
      <c r="AX53" s="83"/>
      <c r="AY53" s="83"/>
      <c r="AZ53" s="83"/>
      <c r="BA53" s="83"/>
      <c r="BB53" s="83"/>
      <c r="BC53" s="83"/>
      <c r="BD53" s="121"/>
    </row>
    <row r="54" spans="1:56" s="14" customFormat="1" ht="12" x14ac:dyDescent="0.25">
      <c r="A54" s="28"/>
      <c r="B54" s="88" t="s">
        <v>14</v>
      </c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93"/>
      <c r="AI54" s="94"/>
      <c r="AJ54" s="94"/>
      <c r="AK54" s="94"/>
      <c r="AL54" s="94"/>
      <c r="AM54" s="94"/>
      <c r="AN54" s="94"/>
      <c r="AO54" s="94"/>
      <c r="AP54" s="95"/>
      <c r="AQ54" s="105"/>
      <c r="AR54" s="106"/>
      <c r="AS54" s="106"/>
      <c r="AT54" s="106"/>
      <c r="AU54" s="106"/>
      <c r="AV54" s="107"/>
      <c r="AW54" s="141"/>
      <c r="AX54" s="142"/>
      <c r="AY54" s="142"/>
      <c r="AZ54" s="142"/>
      <c r="BA54" s="142"/>
      <c r="BB54" s="142"/>
      <c r="BC54" s="142"/>
      <c r="BD54" s="143"/>
    </row>
    <row r="55" spans="1:56" s="14" customFormat="1" ht="12" x14ac:dyDescent="0.25">
      <c r="A55" s="28"/>
      <c r="B55" s="112" t="s">
        <v>11</v>
      </c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93">
        <f>AH56+AH57+AH58</f>
        <v>0</v>
      </c>
      <c r="AI55" s="94"/>
      <c r="AJ55" s="94"/>
      <c r="AK55" s="94"/>
      <c r="AL55" s="94"/>
      <c r="AM55" s="94"/>
      <c r="AN55" s="94"/>
      <c r="AO55" s="94"/>
      <c r="AP55" s="95"/>
      <c r="AQ55" s="105"/>
      <c r="AR55" s="106"/>
      <c r="AS55" s="106"/>
      <c r="AT55" s="106"/>
      <c r="AU55" s="106"/>
      <c r="AV55" s="107"/>
      <c r="AW55" s="141"/>
      <c r="AX55" s="142"/>
      <c r="AY55" s="142"/>
      <c r="AZ55" s="142"/>
      <c r="BA55" s="142"/>
      <c r="BB55" s="142"/>
      <c r="BC55" s="142"/>
      <c r="BD55" s="143"/>
    </row>
    <row r="56" spans="1:56" s="14" customFormat="1" ht="12" x14ac:dyDescent="0.25">
      <c r="A56" s="28"/>
      <c r="B56" s="88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93"/>
      <c r="AI56" s="94"/>
      <c r="AJ56" s="94"/>
      <c r="AK56" s="94"/>
      <c r="AL56" s="94"/>
      <c r="AM56" s="94"/>
      <c r="AN56" s="94"/>
      <c r="AO56" s="94"/>
      <c r="AP56" s="95"/>
      <c r="AQ56" s="105"/>
      <c r="AR56" s="106"/>
      <c r="AS56" s="106"/>
      <c r="AT56" s="106"/>
      <c r="AU56" s="106"/>
      <c r="AV56" s="107"/>
      <c r="AW56" s="141"/>
      <c r="AX56" s="142"/>
      <c r="AY56" s="142"/>
      <c r="AZ56" s="142"/>
      <c r="BA56" s="142"/>
      <c r="BB56" s="142"/>
      <c r="BC56" s="142"/>
      <c r="BD56" s="143"/>
    </row>
    <row r="57" spans="1:56" s="14" customFormat="1" ht="12" x14ac:dyDescent="0.25">
      <c r="A57" s="28"/>
      <c r="B57" s="88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93"/>
      <c r="AI57" s="94"/>
      <c r="AJ57" s="94"/>
      <c r="AK57" s="94"/>
      <c r="AL57" s="94"/>
      <c r="AM57" s="94"/>
      <c r="AN57" s="94"/>
      <c r="AO57" s="94"/>
      <c r="AP57" s="95"/>
      <c r="AQ57" s="105"/>
      <c r="AR57" s="106"/>
      <c r="AS57" s="106"/>
      <c r="AT57" s="106"/>
      <c r="AU57" s="106"/>
      <c r="AV57" s="107"/>
      <c r="AW57" s="141"/>
      <c r="AX57" s="142"/>
      <c r="AY57" s="142"/>
      <c r="AZ57" s="142"/>
      <c r="BA57" s="142"/>
      <c r="BB57" s="142"/>
      <c r="BC57" s="142"/>
      <c r="BD57" s="143"/>
    </row>
    <row r="58" spans="1:56" s="14" customFormat="1" ht="11.25" customHeight="1" x14ac:dyDescent="0.25">
      <c r="A58" s="28"/>
      <c r="B58" s="88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93"/>
      <c r="AI58" s="94"/>
      <c r="AJ58" s="94"/>
      <c r="AK58" s="94"/>
      <c r="AL58" s="94"/>
      <c r="AM58" s="94"/>
      <c r="AN58" s="94"/>
      <c r="AO58" s="94"/>
      <c r="AP58" s="95"/>
      <c r="AQ58" s="108"/>
      <c r="AR58" s="109"/>
      <c r="AS58" s="109"/>
      <c r="AT58" s="109"/>
      <c r="AU58" s="109"/>
      <c r="AV58" s="110"/>
      <c r="AW58" s="144"/>
      <c r="AX58" s="145"/>
      <c r="AY58" s="145"/>
      <c r="AZ58" s="145"/>
      <c r="BA58" s="145"/>
      <c r="BB58" s="145"/>
      <c r="BC58" s="145"/>
      <c r="BD58" s="146"/>
    </row>
    <row r="59" spans="1:56" s="14" customFormat="1" ht="12" x14ac:dyDescent="0.25">
      <c r="A59" s="28"/>
      <c r="B59" s="87" t="s">
        <v>13</v>
      </c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8"/>
      <c r="AQ59" s="93">
        <v>8</v>
      </c>
      <c r="AR59" s="94"/>
      <c r="AS59" s="94"/>
      <c r="AT59" s="94"/>
      <c r="AU59" s="94"/>
      <c r="AV59" s="95"/>
      <c r="AW59" s="89">
        <f>AW19+AW20+AW23+AW30+AW37+AW45+AW53</f>
        <v>0</v>
      </c>
      <c r="AX59" s="90"/>
      <c r="AY59" s="90"/>
      <c r="AZ59" s="90"/>
      <c r="BA59" s="90"/>
      <c r="BB59" s="90"/>
      <c r="BC59" s="90"/>
      <c r="BD59" s="124"/>
    </row>
    <row r="60" spans="1:56" s="14" customFormat="1" ht="24" customHeight="1" x14ac:dyDescent="0.25">
      <c r="A60" s="28"/>
      <c r="B60" s="111" t="s">
        <v>15</v>
      </c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2"/>
      <c r="AQ60" s="93">
        <v>9</v>
      </c>
      <c r="AR60" s="94"/>
      <c r="AS60" s="94"/>
      <c r="AT60" s="94"/>
      <c r="AU60" s="94"/>
      <c r="AV60" s="95"/>
      <c r="AW60" s="89"/>
      <c r="AX60" s="90"/>
      <c r="AY60" s="90"/>
      <c r="AZ60" s="90"/>
      <c r="BA60" s="90"/>
      <c r="BB60" s="90"/>
      <c r="BC60" s="90"/>
      <c r="BD60" s="124"/>
    </row>
    <row r="61" spans="1:56" s="14" customFormat="1" ht="12" x14ac:dyDescent="0.25">
      <c r="A61" s="25"/>
      <c r="B61" s="135" t="s">
        <v>16</v>
      </c>
      <c r="C61" s="135"/>
      <c r="D61" s="135"/>
      <c r="E61" s="135"/>
      <c r="F61" s="135"/>
      <c r="G61" s="136"/>
      <c r="H61" s="34"/>
      <c r="I61" s="111" t="s">
        <v>17</v>
      </c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2"/>
      <c r="AQ61" s="93">
        <v>10</v>
      </c>
      <c r="AR61" s="94"/>
      <c r="AS61" s="94"/>
      <c r="AT61" s="94"/>
      <c r="AU61" s="94"/>
      <c r="AV61" s="95"/>
      <c r="AW61" s="144"/>
      <c r="AX61" s="145"/>
      <c r="AY61" s="145"/>
      <c r="AZ61" s="145"/>
      <c r="BA61" s="145"/>
      <c r="BB61" s="145"/>
      <c r="BC61" s="145"/>
      <c r="BD61" s="146"/>
    </row>
    <row r="62" spans="1:56" s="14" customFormat="1" ht="12" x14ac:dyDescent="0.25">
      <c r="A62" s="29"/>
      <c r="B62" s="137"/>
      <c r="C62" s="137"/>
      <c r="D62" s="137"/>
      <c r="E62" s="137"/>
      <c r="F62" s="137"/>
      <c r="G62" s="138"/>
      <c r="H62" s="37"/>
      <c r="I62" s="96" t="s">
        <v>133</v>
      </c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7"/>
      <c r="AQ62" s="102">
        <v>11</v>
      </c>
      <c r="AR62" s="103"/>
      <c r="AS62" s="103"/>
      <c r="AT62" s="103"/>
      <c r="AU62" s="103"/>
      <c r="AV62" s="104"/>
      <c r="AW62" s="120"/>
      <c r="AX62" s="83"/>
      <c r="AY62" s="83"/>
      <c r="AZ62" s="83"/>
      <c r="BA62" s="83"/>
      <c r="BB62" s="83"/>
      <c r="BC62" s="83"/>
      <c r="BD62" s="121"/>
    </row>
    <row r="63" spans="1:56" s="14" customFormat="1" ht="12" x14ac:dyDescent="0.25">
      <c r="A63" s="26"/>
      <c r="B63" s="139"/>
      <c r="C63" s="139"/>
      <c r="D63" s="139"/>
      <c r="E63" s="139"/>
      <c r="F63" s="139"/>
      <c r="G63" s="140"/>
      <c r="H63" s="39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1"/>
      <c r="AQ63" s="108"/>
      <c r="AR63" s="109"/>
      <c r="AS63" s="109"/>
      <c r="AT63" s="109"/>
      <c r="AU63" s="109"/>
      <c r="AV63" s="110"/>
      <c r="AW63" s="144"/>
      <c r="AX63" s="145"/>
      <c r="AY63" s="145"/>
      <c r="AZ63" s="145"/>
      <c r="BA63" s="145"/>
      <c r="BB63" s="145"/>
      <c r="BC63" s="145"/>
      <c r="BD63" s="146"/>
    </row>
  </sheetData>
  <mergeCells count="164">
    <mergeCell ref="B57:AG57"/>
    <mergeCell ref="AH57:AP57"/>
    <mergeCell ref="AW53:BD58"/>
    <mergeCell ref="B53:AP53"/>
    <mergeCell ref="AQ53:AV58"/>
    <mergeCell ref="B54:AG54"/>
    <mergeCell ref="AH54:AP54"/>
    <mergeCell ref="B55:AG55"/>
    <mergeCell ref="AH55:AP55"/>
    <mergeCell ref="CY37:DF38"/>
    <mergeCell ref="B44:AG44"/>
    <mergeCell ref="B56:AG56"/>
    <mergeCell ref="B51:AG51"/>
    <mergeCell ref="AH51:AP51"/>
    <mergeCell ref="AQ45:AV52"/>
    <mergeCell ref="B49:AG49"/>
    <mergeCell ref="AH49:AP49"/>
    <mergeCell ref="B50:AG50"/>
    <mergeCell ref="AQ37:AV44"/>
    <mergeCell ref="B42:AG42"/>
    <mergeCell ref="AH42:AP42"/>
    <mergeCell ref="AH35:AP35"/>
    <mergeCell ref="AH36:AP36"/>
    <mergeCell ref="AH31:AP31"/>
    <mergeCell ref="CY30:DF36"/>
    <mergeCell ref="BH32:CJ33"/>
    <mergeCell ref="CK34:CR34"/>
    <mergeCell ref="BV35:CJ35"/>
    <mergeCell ref="CS30:CX36"/>
    <mergeCell ref="CK32:CR33"/>
    <mergeCell ref="BG34:BU34"/>
    <mergeCell ref="BG36:BU36"/>
    <mergeCell ref="BG35:BU35"/>
    <mergeCell ref="CK36:CR36"/>
    <mergeCell ref="CY39:DF40"/>
    <mergeCell ref="B43:AG43"/>
    <mergeCell ref="AH43:AP43"/>
    <mergeCell ref="BH39:CR40"/>
    <mergeCell ref="CS39:CX40"/>
    <mergeCell ref="AH39:AP40"/>
    <mergeCell ref="B39:AG40"/>
    <mergeCell ref="CS37:CX38"/>
    <mergeCell ref="BV34:CJ34"/>
    <mergeCell ref="BH31:CJ31"/>
    <mergeCell ref="BH30:CR30"/>
    <mergeCell ref="CK31:CR31"/>
    <mergeCell ref="AW23:BD29"/>
    <mergeCell ref="CK35:CR35"/>
    <mergeCell ref="BV36:CJ36"/>
    <mergeCell ref="AQ30:AV36"/>
    <mergeCell ref="B32:AG33"/>
    <mergeCell ref="AH32:AP33"/>
    <mergeCell ref="B31:AG31"/>
    <mergeCell ref="B52:AG52"/>
    <mergeCell ref="AH56:AP56"/>
    <mergeCell ref="CY19:DF19"/>
    <mergeCell ref="AW20:BD22"/>
    <mergeCell ref="BH20:BM22"/>
    <mergeCell ref="BO20:CR20"/>
    <mergeCell ref="CS20:CX20"/>
    <mergeCell ref="CY20:DF20"/>
    <mergeCell ref="BO21:CR22"/>
    <mergeCell ref="CS21:CX22"/>
    <mergeCell ref="CY21:DF22"/>
    <mergeCell ref="CY23:DF29"/>
    <mergeCell ref="BH26:CJ26"/>
    <mergeCell ref="CK26:CR26"/>
    <mergeCell ref="BH29:CJ29"/>
    <mergeCell ref="CK29:CR29"/>
    <mergeCell ref="BH25:CJ25"/>
    <mergeCell ref="CK25:CR25"/>
    <mergeCell ref="BH27:CJ27"/>
    <mergeCell ref="CK27:CR27"/>
    <mergeCell ref="BH28:CJ28"/>
    <mergeCell ref="B36:AG36"/>
    <mergeCell ref="CK28:CR28"/>
    <mergeCell ref="AW30:BD36"/>
    <mergeCell ref="AW59:BD59"/>
    <mergeCell ref="B60:AP60"/>
    <mergeCell ref="AQ60:AV60"/>
    <mergeCell ref="AW60:BD60"/>
    <mergeCell ref="B58:AG58"/>
    <mergeCell ref="AH58:AP58"/>
    <mergeCell ref="B59:AP59"/>
    <mergeCell ref="AQ59:AV59"/>
    <mergeCell ref="B61:G63"/>
    <mergeCell ref="I61:AP61"/>
    <mergeCell ref="AQ61:AV61"/>
    <mergeCell ref="AW61:BD61"/>
    <mergeCell ref="I62:AP63"/>
    <mergeCell ref="AQ62:AV63"/>
    <mergeCell ref="AW62:BD63"/>
    <mergeCell ref="AH29:AP29"/>
    <mergeCell ref="AH52:AP52"/>
    <mergeCell ref="B45:AP47"/>
    <mergeCell ref="AH28:AP28"/>
    <mergeCell ref="B30:AP30"/>
    <mergeCell ref="B35:AG35"/>
    <mergeCell ref="B37:AP38"/>
    <mergeCell ref="A1:DF1"/>
    <mergeCell ref="AH50:AP50"/>
    <mergeCell ref="BH23:CR24"/>
    <mergeCell ref="CS23:CX29"/>
    <mergeCell ref="B26:AG26"/>
    <mergeCell ref="AH26:AP26"/>
    <mergeCell ref="B28:AG28"/>
    <mergeCell ref="AH44:AP44"/>
    <mergeCell ref="BG41:DF42"/>
    <mergeCell ref="CS19:CX19"/>
    <mergeCell ref="BH37:CR38"/>
    <mergeCell ref="B41:AG41"/>
    <mergeCell ref="AH41:AP41"/>
    <mergeCell ref="AW45:BD52"/>
    <mergeCell ref="AW37:BD44"/>
    <mergeCell ref="B48:AG48"/>
    <mergeCell ref="AH48:AP48"/>
    <mergeCell ref="B9:BV9"/>
    <mergeCell ref="CJ8:DF8"/>
    <mergeCell ref="BW9:CI9"/>
    <mergeCell ref="CJ9:DF9"/>
    <mergeCell ref="BW10:CI10"/>
    <mergeCell ref="A2:DF2"/>
    <mergeCell ref="AQ19:AV19"/>
    <mergeCell ref="A18:AP18"/>
    <mergeCell ref="AW19:BD19"/>
    <mergeCell ref="A7:BV7"/>
    <mergeCell ref="B11:BV11"/>
    <mergeCell ref="BW11:CI11"/>
    <mergeCell ref="CJ11:DF11"/>
    <mergeCell ref="CJ10:DF10"/>
    <mergeCell ref="A3:DF3"/>
    <mergeCell ref="A8:BV8"/>
    <mergeCell ref="CJ7:DF7"/>
    <mergeCell ref="BW7:CI7"/>
    <mergeCell ref="BW8:CI8"/>
    <mergeCell ref="B10:BV10"/>
    <mergeCell ref="CS18:CX18"/>
    <mergeCell ref="CY18:DF18"/>
    <mergeCell ref="A14:DF14"/>
    <mergeCell ref="A17:AP17"/>
    <mergeCell ref="B34:AG34"/>
    <mergeCell ref="AH34:AP34"/>
    <mergeCell ref="B12:BV12"/>
    <mergeCell ref="BW12:CI12"/>
    <mergeCell ref="B20:AP22"/>
    <mergeCell ref="AQ20:AV22"/>
    <mergeCell ref="B27:AG27"/>
    <mergeCell ref="AH27:AP27"/>
    <mergeCell ref="B23:AP24"/>
    <mergeCell ref="B19:AP19"/>
    <mergeCell ref="AQ23:AV29"/>
    <mergeCell ref="BH19:CR19"/>
    <mergeCell ref="CJ12:DF12"/>
    <mergeCell ref="CS17:CX17"/>
    <mergeCell ref="CY17:DF17"/>
    <mergeCell ref="AQ17:AV17"/>
    <mergeCell ref="AQ18:AV18"/>
    <mergeCell ref="AW18:BD18"/>
    <mergeCell ref="BG18:CR18"/>
    <mergeCell ref="AW17:BD17"/>
    <mergeCell ref="BG17:CR17"/>
    <mergeCell ref="B25:AG25"/>
    <mergeCell ref="AH25:AP25"/>
    <mergeCell ref="B29:AG29"/>
  </mergeCells>
  <phoneticPr fontId="7" type="noConversion"/>
  <pageMargins left="0.78740157480314965" right="0.19685039370078741" top="0.51181102362204722" bottom="0.31496062992125984" header="0.19685039370078741" footer="0.1968503937007874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65"/>
  <sheetViews>
    <sheetView topLeftCell="A37" zoomScaleNormal="100" workbookViewId="0">
      <selection activeCell="BT50" sqref="BT50:CL50"/>
    </sheetView>
  </sheetViews>
  <sheetFormatPr defaultColWidth="0.77734375" defaultRowHeight="13.2" x14ac:dyDescent="0.25"/>
  <cols>
    <col min="1" max="16384" width="0.77734375" style="1"/>
  </cols>
  <sheetData>
    <row r="1" spans="1:109" ht="3" customHeight="1" x14ac:dyDescent="0.25"/>
    <row r="2" spans="1:109" x14ac:dyDescent="0.25">
      <c r="A2" s="189" t="s">
        <v>219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  <c r="CI2" s="168"/>
      <c r="CJ2" s="168"/>
      <c r="CK2" s="168"/>
      <c r="CL2" s="168"/>
      <c r="CM2" s="168"/>
      <c r="CN2" s="168"/>
      <c r="CO2" s="168"/>
      <c r="CP2" s="168"/>
      <c r="CQ2" s="168"/>
      <c r="CR2" s="168"/>
      <c r="CS2" s="168"/>
      <c r="CT2" s="168"/>
      <c r="CU2" s="168"/>
      <c r="CV2" s="168"/>
      <c r="CW2" s="168"/>
      <c r="CX2" s="168"/>
      <c r="CY2" s="168"/>
      <c r="CZ2" s="168"/>
      <c r="DA2" s="168"/>
      <c r="DB2" s="168"/>
      <c r="DC2" s="168"/>
      <c r="DD2" s="168"/>
      <c r="DE2" s="168"/>
    </row>
    <row r="3" spans="1:109" x14ac:dyDescent="0.25">
      <c r="DE3" s="44" t="s">
        <v>220</v>
      </c>
    </row>
    <row r="4" spans="1:109" ht="2.25" customHeight="1" x14ac:dyDescent="0.25"/>
    <row r="5" spans="1:109" ht="12" customHeight="1" x14ac:dyDescent="0.25">
      <c r="A5" s="183" t="s">
        <v>26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5"/>
      <c r="BA5" s="190" t="s">
        <v>27</v>
      </c>
      <c r="BB5" s="191"/>
      <c r="BC5" s="191"/>
      <c r="BD5" s="191"/>
      <c r="BE5" s="191"/>
      <c r="BF5" s="191"/>
      <c r="BG5" s="192"/>
      <c r="BH5" s="190" t="s">
        <v>28</v>
      </c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2"/>
      <c r="BT5" s="116" t="s">
        <v>29</v>
      </c>
      <c r="BU5" s="117"/>
      <c r="BV5" s="117"/>
      <c r="BW5" s="117"/>
      <c r="BX5" s="117"/>
      <c r="BY5" s="117"/>
      <c r="BZ5" s="117"/>
      <c r="CA5" s="117"/>
      <c r="CB5" s="117"/>
      <c r="CC5" s="117"/>
      <c r="CD5" s="117"/>
      <c r="CE5" s="117"/>
      <c r="CF5" s="117"/>
      <c r="CG5" s="117"/>
      <c r="CH5" s="117"/>
      <c r="CI5" s="117"/>
      <c r="CJ5" s="117"/>
      <c r="CK5" s="117"/>
      <c r="CL5" s="117"/>
      <c r="CM5" s="117"/>
      <c r="CN5" s="117"/>
      <c r="CO5" s="117"/>
      <c r="CP5" s="117"/>
      <c r="CQ5" s="117"/>
      <c r="CR5" s="117"/>
      <c r="CS5" s="117"/>
      <c r="CT5" s="117"/>
      <c r="CU5" s="117"/>
      <c r="CV5" s="117"/>
      <c r="CW5" s="117"/>
      <c r="CX5" s="117"/>
      <c r="CY5" s="117"/>
      <c r="CZ5" s="117"/>
      <c r="DA5" s="117"/>
      <c r="DB5" s="117"/>
      <c r="DC5" s="117"/>
      <c r="DD5" s="117"/>
      <c r="DE5" s="118"/>
    </row>
    <row r="6" spans="1:109" ht="75.75" customHeight="1" x14ac:dyDescent="0.25">
      <c r="A6" s="186"/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8"/>
      <c r="BA6" s="193"/>
      <c r="BB6" s="194"/>
      <c r="BC6" s="194"/>
      <c r="BD6" s="194"/>
      <c r="BE6" s="194"/>
      <c r="BF6" s="194"/>
      <c r="BG6" s="195"/>
      <c r="BH6" s="193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5"/>
      <c r="BT6" s="160" t="s">
        <v>66</v>
      </c>
      <c r="BU6" s="161"/>
      <c r="BV6" s="161"/>
      <c r="BW6" s="161"/>
      <c r="BX6" s="161"/>
      <c r="BY6" s="161"/>
      <c r="BZ6" s="161"/>
      <c r="CA6" s="161"/>
      <c r="CB6" s="161"/>
      <c r="CC6" s="161"/>
      <c r="CD6" s="161"/>
      <c r="CE6" s="161"/>
      <c r="CF6" s="161"/>
      <c r="CG6" s="161"/>
      <c r="CH6" s="161"/>
      <c r="CI6" s="161"/>
      <c r="CJ6" s="161"/>
      <c r="CK6" s="161"/>
      <c r="CL6" s="162"/>
      <c r="CM6" s="176" t="s">
        <v>227</v>
      </c>
      <c r="CN6" s="177"/>
      <c r="CO6" s="177"/>
      <c r="CP6" s="177"/>
      <c r="CQ6" s="177"/>
      <c r="CR6" s="177"/>
      <c r="CS6" s="177"/>
      <c r="CT6" s="177"/>
      <c r="CU6" s="177"/>
      <c r="CV6" s="177"/>
      <c r="CW6" s="177"/>
      <c r="CX6" s="177"/>
      <c r="CY6" s="177"/>
      <c r="CZ6" s="177"/>
      <c r="DA6" s="177"/>
      <c r="DB6" s="177"/>
      <c r="DC6" s="177"/>
      <c r="DD6" s="177"/>
      <c r="DE6" s="178"/>
    </row>
    <row r="7" spans="1:109" x14ac:dyDescent="0.25">
      <c r="A7" s="179">
        <v>1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1"/>
      <c r="BA7" s="179">
        <v>2</v>
      </c>
      <c r="BB7" s="180"/>
      <c r="BC7" s="180"/>
      <c r="BD7" s="180"/>
      <c r="BE7" s="180"/>
      <c r="BF7" s="180"/>
      <c r="BG7" s="181"/>
      <c r="BH7" s="179">
        <v>3</v>
      </c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1"/>
      <c r="BT7" s="179">
        <v>4</v>
      </c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1"/>
      <c r="CM7" s="179">
        <v>5</v>
      </c>
      <c r="CN7" s="180"/>
      <c r="CO7" s="180"/>
      <c r="CP7" s="180"/>
      <c r="CQ7" s="180"/>
      <c r="CR7" s="180"/>
      <c r="CS7" s="180"/>
      <c r="CT7" s="180"/>
      <c r="CU7" s="180"/>
      <c r="CV7" s="180"/>
      <c r="CW7" s="180"/>
      <c r="CX7" s="180"/>
      <c r="CY7" s="180"/>
      <c r="CZ7" s="180"/>
      <c r="DA7" s="180"/>
      <c r="DB7" s="180"/>
      <c r="DC7" s="180"/>
      <c r="DD7" s="180"/>
      <c r="DE7" s="181"/>
    </row>
    <row r="8" spans="1:109" ht="12.75" customHeight="1" x14ac:dyDescent="0.25">
      <c r="A8" s="102" t="s">
        <v>32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4"/>
      <c r="BA8" s="102">
        <v>1</v>
      </c>
      <c r="BB8" s="103"/>
      <c r="BC8" s="103"/>
      <c r="BD8" s="103"/>
      <c r="BE8" s="103"/>
      <c r="BF8" s="103"/>
      <c r="BG8" s="104"/>
      <c r="BH8" s="102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4"/>
      <c r="BT8" s="102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4"/>
      <c r="CM8" s="102"/>
      <c r="CN8" s="103"/>
      <c r="CO8" s="103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3"/>
      <c r="DA8" s="103"/>
      <c r="DB8" s="103"/>
      <c r="DC8" s="103"/>
      <c r="DD8" s="103"/>
      <c r="DE8" s="104"/>
    </row>
    <row r="9" spans="1:109" ht="11.25" customHeight="1" x14ac:dyDescent="0.25">
      <c r="A9" s="29"/>
      <c r="B9" s="62" t="s">
        <v>33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48"/>
      <c r="BA9" s="105"/>
      <c r="BB9" s="106"/>
      <c r="BC9" s="106"/>
      <c r="BD9" s="106"/>
      <c r="BE9" s="106"/>
      <c r="BF9" s="106"/>
      <c r="BG9" s="107"/>
      <c r="BH9" s="105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7"/>
      <c r="BT9" s="105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7"/>
      <c r="CM9" s="105"/>
      <c r="CN9" s="106"/>
      <c r="CO9" s="106"/>
      <c r="CP9" s="106"/>
      <c r="CQ9" s="106"/>
      <c r="CR9" s="106"/>
      <c r="CS9" s="106"/>
      <c r="CT9" s="106"/>
      <c r="CU9" s="106"/>
      <c r="CV9" s="106"/>
      <c r="CW9" s="106"/>
      <c r="CX9" s="106"/>
      <c r="CY9" s="106"/>
      <c r="CZ9" s="106"/>
      <c r="DA9" s="106"/>
      <c r="DB9" s="106"/>
      <c r="DC9" s="106"/>
      <c r="DD9" s="106"/>
      <c r="DE9" s="107"/>
    </row>
    <row r="10" spans="1:109" ht="11.25" customHeight="1" x14ac:dyDescent="0.25">
      <c r="A10" s="29"/>
      <c r="B10" s="62" t="s">
        <v>34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14"/>
      <c r="O10" s="14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62" t="s">
        <v>147</v>
      </c>
      <c r="AF10" s="62"/>
      <c r="AG10" s="62"/>
      <c r="AH10" s="62"/>
      <c r="AI10" s="62"/>
      <c r="AJ10" s="62"/>
      <c r="AK10" s="62"/>
      <c r="AL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48"/>
      <c r="BA10" s="105"/>
      <c r="BB10" s="106"/>
      <c r="BC10" s="106"/>
      <c r="BD10" s="106"/>
      <c r="BE10" s="106"/>
      <c r="BF10" s="106"/>
      <c r="BG10" s="107"/>
      <c r="BH10" s="105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7"/>
      <c r="BT10" s="105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7"/>
      <c r="CM10" s="105"/>
      <c r="CN10" s="106"/>
      <c r="CO10" s="106"/>
      <c r="CP10" s="106"/>
      <c r="CQ10" s="106"/>
      <c r="CR10" s="106"/>
      <c r="CS10" s="106"/>
      <c r="CT10" s="106"/>
      <c r="CU10" s="106"/>
      <c r="CV10" s="106"/>
      <c r="CW10" s="106"/>
      <c r="CX10" s="106"/>
      <c r="CY10" s="106"/>
      <c r="CZ10" s="106"/>
      <c r="DA10" s="106"/>
      <c r="DB10" s="106"/>
      <c r="DC10" s="106"/>
      <c r="DD10" s="106"/>
      <c r="DE10" s="107"/>
    </row>
    <row r="11" spans="1:109" ht="2.25" customHeight="1" x14ac:dyDescent="0.25">
      <c r="A11" s="2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46"/>
      <c r="BA11" s="108"/>
      <c r="BB11" s="109"/>
      <c r="BC11" s="109"/>
      <c r="BD11" s="109"/>
      <c r="BE11" s="109"/>
      <c r="BF11" s="109"/>
      <c r="BG11" s="110"/>
      <c r="BH11" s="108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10"/>
      <c r="BT11" s="108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10"/>
      <c r="CM11" s="108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10"/>
    </row>
    <row r="12" spans="1:109" ht="11.25" customHeight="1" x14ac:dyDescent="0.25">
      <c r="A12" s="29"/>
      <c r="B12" s="14"/>
      <c r="C12" s="62"/>
      <c r="D12" s="62"/>
      <c r="E12" s="14"/>
      <c r="F12" s="14"/>
      <c r="G12" s="171" t="s">
        <v>149</v>
      </c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48"/>
      <c r="BA12" s="105">
        <v>2</v>
      </c>
      <c r="BB12" s="106"/>
      <c r="BC12" s="106"/>
      <c r="BD12" s="106"/>
      <c r="BE12" s="106"/>
      <c r="BF12" s="106"/>
      <c r="BG12" s="107"/>
      <c r="BH12" s="105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7"/>
      <c r="BT12" s="105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  <c r="CF12" s="106"/>
      <c r="CG12" s="106"/>
      <c r="CH12" s="106"/>
      <c r="CI12" s="106"/>
      <c r="CJ12" s="106"/>
      <c r="CK12" s="106"/>
      <c r="CL12" s="107"/>
      <c r="CM12" s="105"/>
      <c r="CN12" s="106"/>
      <c r="CO12" s="106"/>
      <c r="CP12" s="106"/>
      <c r="CQ12" s="106"/>
      <c r="CR12" s="106"/>
      <c r="CS12" s="106"/>
      <c r="CT12" s="106"/>
      <c r="CU12" s="106"/>
      <c r="CV12" s="106"/>
      <c r="CW12" s="106"/>
      <c r="CX12" s="106"/>
      <c r="CY12" s="106"/>
      <c r="CZ12" s="106"/>
      <c r="DA12" s="106"/>
      <c r="DB12" s="106"/>
      <c r="DC12" s="106"/>
      <c r="DD12" s="106"/>
      <c r="DE12" s="107"/>
    </row>
    <row r="13" spans="1:109" ht="11.25" customHeight="1" x14ac:dyDescent="0.25">
      <c r="A13" s="29"/>
      <c r="B13" s="14"/>
      <c r="C13" s="62"/>
      <c r="D13" s="62"/>
      <c r="E13" s="62"/>
      <c r="F13" s="62"/>
      <c r="G13" s="62" t="s">
        <v>34</v>
      </c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62" t="s">
        <v>35</v>
      </c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48"/>
      <c r="BA13" s="105"/>
      <c r="BB13" s="106"/>
      <c r="BC13" s="106"/>
      <c r="BD13" s="106"/>
      <c r="BE13" s="106"/>
      <c r="BF13" s="106"/>
      <c r="BG13" s="107"/>
      <c r="BH13" s="105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7"/>
      <c r="BT13" s="105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  <c r="CF13" s="106"/>
      <c r="CG13" s="106"/>
      <c r="CH13" s="106"/>
      <c r="CI13" s="106"/>
      <c r="CJ13" s="106"/>
      <c r="CK13" s="106"/>
      <c r="CL13" s="107"/>
      <c r="CM13" s="105"/>
      <c r="CN13" s="106"/>
      <c r="CO13" s="106"/>
      <c r="CP13" s="106"/>
      <c r="CQ13" s="106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6"/>
      <c r="DD13" s="106"/>
      <c r="DE13" s="107"/>
    </row>
    <row r="14" spans="1:109" ht="2.25" customHeight="1" x14ac:dyDescent="0.25">
      <c r="A14" s="2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46"/>
      <c r="BA14" s="108"/>
      <c r="BB14" s="109"/>
      <c r="BC14" s="109"/>
      <c r="BD14" s="109"/>
      <c r="BE14" s="109"/>
      <c r="BF14" s="109"/>
      <c r="BG14" s="110"/>
      <c r="BH14" s="108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10"/>
      <c r="BT14" s="108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10"/>
      <c r="CM14" s="108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10"/>
    </row>
    <row r="15" spans="1:109" ht="11.25" customHeight="1" x14ac:dyDescent="0.25">
      <c r="A15" s="28"/>
      <c r="B15" s="87" t="s">
        <v>148</v>
      </c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36"/>
      <c r="BA15" s="93">
        <v>3</v>
      </c>
      <c r="BB15" s="94"/>
      <c r="BC15" s="94"/>
      <c r="BD15" s="94"/>
      <c r="BE15" s="94"/>
      <c r="BF15" s="94"/>
      <c r="BG15" s="95"/>
      <c r="BH15" s="93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5"/>
      <c r="BT15" s="93"/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4"/>
      <c r="CF15" s="94"/>
      <c r="CG15" s="94"/>
      <c r="CH15" s="94"/>
      <c r="CI15" s="94"/>
      <c r="CJ15" s="94"/>
      <c r="CK15" s="94"/>
      <c r="CL15" s="95"/>
      <c r="CM15" s="93"/>
      <c r="CN15" s="94"/>
      <c r="CO15" s="94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4"/>
      <c r="DA15" s="94"/>
      <c r="DB15" s="94"/>
      <c r="DC15" s="94"/>
      <c r="DD15" s="94"/>
      <c r="DE15" s="95"/>
    </row>
    <row r="16" spans="1:109" ht="11.25" customHeight="1" x14ac:dyDescent="0.25">
      <c r="A16" s="28"/>
      <c r="B16" s="35"/>
      <c r="C16" s="35"/>
      <c r="D16" s="35"/>
      <c r="E16" s="35"/>
      <c r="F16" s="35"/>
      <c r="G16" s="87" t="s">
        <v>149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36"/>
      <c r="BA16" s="93">
        <v>4</v>
      </c>
      <c r="BB16" s="94"/>
      <c r="BC16" s="94"/>
      <c r="BD16" s="94"/>
      <c r="BE16" s="94"/>
      <c r="BF16" s="94"/>
      <c r="BG16" s="95"/>
      <c r="BH16" s="93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5"/>
      <c r="BT16" s="93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5"/>
      <c r="CM16" s="93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5"/>
    </row>
    <row r="17" spans="1:109" ht="11.25" customHeight="1" x14ac:dyDescent="0.25">
      <c r="A17" s="30"/>
      <c r="B17" s="126" t="s">
        <v>228</v>
      </c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4"/>
      <c r="BA17" s="102">
        <v>5</v>
      </c>
      <c r="BB17" s="103"/>
      <c r="BC17" s="103"/>
      <c r="BD17" s="103"/>
      <c r="BE17" s="103"/>
      <c r="BF17" s="103"/>
      <c r="BG17" s="104"/>
      <c r="BH17" s="102">
        <f>BH20</f>
        <v>0</v>
      </c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4"/>
      <c r="BT17" s="102">
        <f>BT20</f>
        <v>0</v>
      </c>
      <c r="BU17" s="103"/>
      <c r="BV17" s="103"/>
      <c r="BW17" s="103"/>
      <c r="BX17" s="103"/>
      <c r="BY17" s="103"/>
      <c r="BZ17" s="103"/>
      <c r="CA17" s="103"/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4"/>
      <c r="CM17" s="102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  <c r="DD17" s="103"/>
      <c r="DE17" s="104"/>
    </row>
    <row r="18" spans="1:109" ht="11.25" customHeight="1" x14ac:dyDescent="0.25">
      <c r="A18" s="29"/>
      <c r="B18" s="62" t="s">
        <v>223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14"/>
      <c r="O18" s="14"/>
      <c r="X18" s="175">
        <f>X22</f>
        <v>0</v>
      </c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62" t="s">
        <v>229</v>
      </c>
      <c r="AK18" s="62"/>
      <c r="AL18" s="62"/>
      <c r="AM18" s="62"/>
      <c r="AN18" s="62"/>
      <c r="AO18" s="62"/>
      <c r="AP18" s="62"/>
      <c r="AQ18" s="62"/>
      <c r="AS18" s="62"/>
      <c r="AT18" s="62"/>
      <c r="AU18" s="62"/>
      <c r="AV18" s="62"/>
      <c r="AW18" s="48"/>
      <c r="BA18" s="105"/>
      <c r="BB18" s="106"/>
      <c r="BC18" s="106"/>
      <c r="BD18" s="106"/>
      <c r="BE18" s="106"/>
      <c r="BF18" s="106"/>
      <c r="BG18" s="107"/>
      <c r="BH18" s="105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7"/>
      <c r="BT18" s="105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  <c r="CF18" s="106"/>
      <c r="CG18" s="106"/>
      <c r="CH18" s="106"/>
      <c r="CI18" s="106"/>
      <c r="CJ18" s="106"/>
      <c r="CK18" s="106"/>
      <c r="CL18" s="107"/>
      <c r="CM18" s="105"/>
      <c r="CN18" s="106"/>
      <c r="CO18" s="106"/>
      <c r="CP18" s="106"/>
      <c r="CQ18" s="106"/>
      <c r="CR18" s="106"/>
      <c r="CS18" s="106"/>
      <c r="CT18" s="106"/>
      <c r="CU18" s="106"/>
      <c r="CV18" s="106"/>
      <c r="CW18" s="106"/>
      <c r="CX18" s="106"/>
      <c r="CY18" s="106"/>
      <c r="CZ18" s="106"/>
      <c r="DA18" s="106"/>
      <c r="DB18" s="106"/>
      <c r="DC18" s="106"/>
      <c r="DD18" s="106"/>
      <c r="DE18" s="107"/>
    </row>
    <row r="19" spans="1:109" ht="2.25" customHeight="1" x14ac:dyDescent="0.25">
      <c r="A19" s="2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46"/>
      <c r="BA19" s="108"/>
      <c r="BB19" s="109"/>
      <c r="BC19" s="109"/>
      <c r="BD19" s="109"/>
      <c r="BE19" s="109"/>
      <c r="BF19" s="109"/>
      <c r="BG19" s="110"/>
      <c r="BH19" s="108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10"/>
      <c r="BT19" s="108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10"/>
      <c r="CM19" s="108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10"/>
    </row>
    <row r="20" spans="1:109" ht="11.25" customHeight="1" x14ac:dyDescent="0.25">
      <c r="A20" s="25"/>
      <c r="B20" s="67"/>
      <c r="C20" s="67"/>
      <c r="D20" s="171" t="s">
        <v>221</v>
      </c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45"/>
      <c r="BA20" s="102">
        <v>6</v>
      </c>
      <c r="BB20" s="103"/>
      <c r="BC20" s="103"/>
      <c r="BD20" s="103"/>
      <c r="BE20" s="103"/>
      <c r="BF20" s="103"/>
      <c r="BG20" s="104"/>
      <c r="BH20" s="102">
        <f>SickListDay3+SickListDay11</f>
        <v>0</v>
      </c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4"/>
      <c r="BT20" s="102">
        <f>SickListAmount3+SickListAmount11</f>
        <v>0</v>
      </c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4"/>
      <c r="CM20" s="102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4"/>
    </row>
    <row r="21" spans="1:109" ht="12" customHeight="1" x14ac:dyDescent="0.25">
      <c r="A21" s="29"/>
      <c r="B21" s="170" t="s">
        <v>230</v>
      </c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48"/>
      <c r="BA21" s="105"/>
      <c r="BB21" s="106"/>
      <c r="BC21" s="106"/>
      <c r="BD21" s="106"/>
      <c r="BE21" s="106"/>
      <c r="BF21" s="106"/>
      <c r="BG21" s="107"/>
      <c r="BH21" s="105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7"/>
      <c r="BT21" s="105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  <c r="CI21" s="106"/>
      <c r="CJ21" s="106"/>
      <c r="CK21" s="106"/>
      <c r="CL21" s="107"/>
      <c r="CM21" s="105"/>
      <c r="CN21" s="106"/>
      <c r="CO21" s="106"/>
      <c r="CP21" s="106"/>
      <c r="CQ21" s="106"/>
      <c r="CR21" s="106"/>
      <c r="CS21" s="106"/>
      <c r="CT21" s="106"/>
      <c r="CU21" s="106"/>
      <c r="CV21" s="106"/>
      <c r="CW21" s="106"/>
      <c r="CX21" s="106"/>
      <c r="CY21" s="106"/>
      <c r="CZ21" s="106"/>
      <c r="DA21" s="106"/>
      <c r="DB21" s="106"/>
      <c r="DC21" s="106"/>
      <c r="DD21" s="106"/>
      <c r="DE21" s="107"/>
    </row>
    <row r="22" spans="1:109" ht="11.25" customHeight="1" x14ac:dyDescent="0.25">
      <c r="A22" s="29"/>
      <c r="B22" s="62" t="s">
        <v>223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8"/>
      <c r="Q22" s="8"/>
      <c r="R22" s="8"/>
      <c r="S22" s="8"/>
      <c r="T22" s="8"/>
      <c r="U22" s="8"/>
      <c r="V22" s="8"/>
      <c r="W22" s="8"/>
      <c r="X22" s="175">
        <f>SickListNum3+SickListNum31</f>
        <v>0</v>
      </c>
      <c r="Y22" s="175"/>
      <c r="Z22" s="175"/>
      <c r="AA22" s="175"/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62" t="s">
        <v>147</v>
      </c>
      <c r="AN22" s="62"/>
      <c r="AO22" s="62"/>
      <c r="AP22" s="62"/>
      <c r="AQ22" s="62"/>
      <c r="AR22" s="62"/>
      <c r="AS22" s="62"/>
      <c r="AT22" s="62"/>
      <c r="AU22" s="8"/>
      <c r="AV22" s="62"/>
      <c r="AW22" s="62"/>
      <c r="AX22" s="62"/>
      <c r="AY22" s="62"/>
      <c r="AZ22" s="48"/>
      <c r="BA22" s="105"/>
      <c r="BB22" s="106"/>
      <c r="BC22" s="106"/>
      <c r="BD22" s="106"/>
      <c r="BE22" s="106"/>
      <c r="BF22" s="106"/>
      <c r="BG22" s="107"/>
      <c r="BH22" s="105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7"/>
      <c r="BT22" s="105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  <c r="CF22" s="106"/>
      <c r="CG22" s="106"/>
      <c r="CH22" s="106"/>
      <c r="CI22" s="106"/>
      <c r="CJ22" s="106"/>
      <c r="CK22" s="106"/>
      <c r="CL22" s="107"/>
      <c r="CM22" s="105"/>
      <c r="CN22" s="106"/>
      <c r="CO22" s="106"/>
      <c r="CP22" s="106"/>
      <c r="CQ22" s="106"/>
      <c r="CR22" s="106"/>
      <c r="CS22" s="106"/>
      <c r="CT22" s="106"/>
      <c r="CU22" s="106"/>
      <c r="CV22" s="106"/>
      <c r="CW22" s="106"/>
      <c r="CX22" s="106"/>
      <c r="CY22" s="106"/>
      <c r="CZ22" s="106"/>
      <c r="DA22" s="106"/>
      <c r="DB22" s="106"/>
      <c r="DC22" s="106"/>
      <c r="DD22" s="106"/>
      <c r="DE22" s="107"/>
    </row>
    <row r="23" spans="1:109" ht="2.25" customHeight="1" x14ac:dyDescent="0.25">
      <c r="A23" s="2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46"/>
      <c r="BA23" s="108"/>
      <c r="BB23" s="109"/>
      <c r="BC23" s="109"/>
      <c r="BD23" s="109"/>
      <c r="BE23" s="109"/>
      <c r="BF23" s="109"/>
      <c r="BG23" s="110"/>
      <c r="BH23" s="108"/>
      <c r="BI23" s="109"/>
      <c r="BJ23" s="109"/>
      <c r="BK23" s="109"/>
      <c r="BL23" s="109"/>
      <c r="BM23" s="109"/>
      <c r="BN23" s="109"/>
      <c r="BO23" s="109"/>
      <c r="BP23" s="109"/>
      <c r="BQ23" s="109"/>
      <c r="BR23" s="109"/>
      <c r="BS23" s="110"/>
      <c r="BT23" s="108"/>
      <c r="BU23" s="109"/>
      <c r="BV23" s="109"/>
      <c r="BW23" s="109"/>
      <c r="BX23" s="109"/>
      <c r="BY23" s="109"/>
      <c r="BZ23" s="109"/>
      <c r="CA23" s="109"/>
      <c r="CB23" s="109"/>
      <c r="CC23" s="109"/>
      <c r="CD23" s="109"/>
      <c r="CE23" s="109"/>
      <c r="CF23" s="109"/>
      <c r="CG23" s="109"/>
      <c r="CH23" s="109"/>
      <c r="CI23" s="109"/>
      <c r="CJ23" s="109"/>
      <c r="CK23" s="109"/>
      <c r="CL23" s="110"/>
      <c r="CM23" s="108"/>
      <c r="CN23" s="109"/>
      <c r="CO23" s="109"/>
      <c r="CP23" s="109"/>
      <c r="CQ23" s="109"/>
      <c r="CR23" s="109"/>
      <c r="CS23" s="109"/>
      <c r="CT23" s="109"/>
      <c r="CU23" s="109"/>
      <c r="CV23" s="109"/>
      <c r="CW23" s="109"/>
      <c r="CX23" s="109"/>
      <c r="CY23" s="109"/>
      <c r="CZ23" s="109"/>
      <c r="DA23" s="109"/>
      <c r="DB23" s="109"/>
      <c r="DC23" s="109"/>
      <c r="DD23" s="109"/>
      <c r="DE23" s="110"/>
    </row>
    <row r="24" spans="1:109" ht="11.25" customHeight="1" x14ac:dyDescent="0.25">
      <c r="A24" s="29"/>
      <c r="B24" s="14"/>
      <c r="C24" s="62"/>
      <c r="D24" s="62"/>
      <c r="E24" s="14"/>
      <c r="F24" s="14"/>
      <c r="G24" s="171" t="s">
        <v>150</v>
      </c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48"/>
      <c r="BA24" s="102">
        <v>7</v>
      </c>
      <c r="BB24" s="103"/>
      <c r="BC24" s="103"/>
      <c r="BD24" s="103"/>
      <c r="BE24" s="103"/>
      <c r="BF24" s="103"/>
      <c r="BG24" s="104"/>
      <c r="BH24" s="102"/>
      <c r="BI24" s="103"/>
      <c r="BJ24" s="103"/>
      <c r="BK24" s="103"/>
      <c r="BL24" s="103"/>
      <c r="BM24" s="103"/>
      <c r="BN24" s="103"/>
      <c r="BO24" s="103"/>
      <c r="BP24" s="103"/>
      <c r="BQ24" s="103"/>
      <c r="BR24" s="103"/>
      <c r="BS24" s="104"/>
      <c r="BT24" s="102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4"/>
      <c r="CM24" s="102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  <c r="DA24" s="103"/>
      <c r="DB24" s="103"/>
      <c r="DC24" s="103"/>
      <c r="DD24" s="103"/>
      <c r="DE24" s="104"/>
    </row>
    <row r="25" spans="1:109" ht="11.25" customHeight="1" x14ac:dyDescent="0.25">
      <c r="A25" s="29"/>
      <c r="B25" s="14"/>
      <c r="C25" s="62"/>
      <c r="D25" s="62"/>
      <c r="E25" s="62"/>
      <c r="F25" s="62"/>
      <c r="G25" s="62" t="s">
        <v>223</v>
      </c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62" t="s">
        <v>35</v>
      </c>
      <c r="AS25" s="62"/>
      <c r="AT25" s="62"/>
      <c r="AU25" s="62"/>
      <c r="AV25" s="62"/>
      <c r="AW25" s="62"/>
      <c r="AX25" s="62"/>
      <c r="AY25" s="62"/>
      <c r="AZ25" s="48"/>
      <c r="BA25" s="105"/>
      <c r="BB25" s="106"/>
      <c r="BC25" s="106"/>
      <c r="BD25" s="106"/>
      <c r="BE25" s="106"/>
      <c r="BF25" s="106"/>
      <c r="BG25" s="107"/>
      <c r="BH25" s="105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7"/>
      <c r="BT25" s="105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  <c r="CL25" s="107"/>
      <c r="CM25" s="105"/>
      <c r="CN25" s="106"/>
      <c r="CO25" s="106"/>
      <c r="CP25" s="106"/>
      <c r="CQ25" s="106"/>
      <c r="CR25" s="106"/>
      <c r="CS25" s="106"/>
      <c r="CT25" s="106"/>
      <c r="CU25" s="106"/>
      <c r="CV25" s="106"/>
      <c r="CW25" s="106"/>
      <c r="CX25" s="106"/>
      <c r="CY25" s="106"/>
      <c r="CZ25" s="106"/>
      <c r="DA25" s="106"/>
      <c r="DB25" s="106"/>
      <c r="DC25" s="106"/>
      <c r="DD25" s="106"/>
      <c r="DE25" s="107"/>
    </row>
    <row r="26" spans="1:109" ht="2.25" customHeight="1" x14ac:dyDescent="0.25">
      <c r="A26" s="2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46"/>
      <c r="BA26" s="108"/>
      <c r="BB26" s="109"/>
      <c r="BC26" s="109"/>
      <c r="BD26" s="109"/>
      <c r="BE26" s="109"/>
      <c r="BF26" s="109"/>
      <c r="BG26" s="110"/>
      <c r="BH26" s="108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10"/>
      <c r="BT26" s="108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  <c r="CL26" s="110"/>
      <c r="CM26" s="108"/>
      <c r="CN26" s="109"/>
      <c r="CO26" s="109"/>
      <c r="CP26" s="109"/>
      <c r="CQ26" s="109"/>
      <c r="CR26" s="109"/>
      <c r="CS26" s="109"/>
      <c r="CT26" s="109"/>
      <c r="CU26" s="109"/>
      <c r="CV26" s="109"/>
      <c r="CW26" s="109"/>
      <c r="CX26" s="109"/>
      <c r="CY26" s="109"/>
      <c r="CZ26" s="109"/>
      <c r="DA26" s="109"/>
      <c r="DB26" s="109"/>
      <c r="DC26" s="109"/>
      <c r="DD26" s="109"/>
      <c r="DE26" s="110"/>
    </row>
    <row r="27" spans="1:109" ht="11.25" customHeight="1" x14ac:dyDescent="0.25">
      <c r="A27" s="29"/>
      <c r="B27" s="14"/>
      <c r="C27" s="62"/>
      <c r="D27" s="62"/>
      <c r="E27" s="14"/>
      <c r="F27" s="14"/>
      <c r="G27" s="171" t="s">
        <v>151</v>
      </c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48"/>
      <c r="BA27" s="102">
        <v>8</v>
      </c>
      <c r="BB27" s="103"/>
      <c r="BC27" s="103"/>
      <c r="BD27" s="103"/>
      <c r="BE27" s="103"/>
      <c r="BF27" s="103"/>
      <c r="BG27" s="104"/>
      <c r="BH27" s="102"/>
      <c r="BI27" s="103"/>
      <c r="BJ27" s="103"/>
      <c r="BK27" s="103"/>
      <c r="BL27" s="103"/>
      <c r="BM27" s="103"/>
      <c r="BN27" s="103"/>
      <c r="BO27" s="103"/>
      <c r="BP27" s="103"/>
      <c r="BQ27" s="103"/>
      <c r="BR27" s="103"/>
      <c r="BS27" s="104"/>
      <c r="BT27" s="102"/>
      <c r="BU27" s="103"/>
      <c r="BV27" s="103"/>
      <c r="BW27" s="103"/>
      <c r="BX27" s="103"/>
      <c r="BY27" s="103"/>
      <c r="BZ27" s="103"/>
      <c r="CA27" s="103"/>
      <c r="CB27" s="103"/>
      <c r="CC27" s="103"/>
      <c r="CD27" s="103"/>
      <c r="CE27" s="103"/>
      <c r="CF27" s="103"/>
      <c r="CG27" s="103"/>
      <c r="CH27" s="103"/>
      <c r="CI27" s="103"/>
      <c r="CJ27" s="103"/>
      <c r="CK27" s="103"/>
      <c r="CL27" s="104"/>
      <c r="CM27" s="102"/>
      <c r="CN27" s="103"/>
      <c r="CO27" s="103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3"/>
      <c r="DA27" s="103"/>
      <c r="DB27" s="103"/>
      <c r="DC27" s="103"/>
      <c r="DD27" s="103"/>
      <c r="DE27" s="104"/>
    </row>
    <row r="28" spans="1:109" ht="11.25" customHeight="1" x14ac:dyDescent="0.25">
      <c r="A28" s="29"/>
      <c r="B28" s="14"/>
      <c r="C28" s="62"/>
      <c r="D28" s="62"/>
      <c r="E28" s="62"/>
      <c r="F28" s="62"/>
      <c r="G28" s="62" t="s">
        <v>223</v>
      </c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62" t="s">
        <v>35</v>
      </c>
      <c r="AS28" s="62"/>
      <c r="AT28" s="62"/>
      <c r="AU28" s="62"/>
      <c r="AV28" s="62"/>
      <c r="AW28" s="62"/>
      <c r="AX28" s="62"/>
      <c r="AY28" s="62"/>
      <c r="AZ28" s="48"/>
      <c r="BA28" s="105"/>
      <c r="BB28" s="106"/>
      <c r="BC28" s="106"/>
      <c r="BD28" s="106"/>
      <c r="BE28" s="106"/>
      <c r="BF28" s="106"/>
      <c r="BG28" s="107"/>
      <c r="BH28" s="105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7"/>
      <c r="BT28" s="105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  <c r="CI28" s="106"/>
      <c r="CJ28" s="106"/>
      <c r="CK28" s="106"/>
      <c r="CL28" s="107"/>
      <c r="CM28" s="105"/>
      <c r="CN28" s="106"/>
      <c r="CO28" s="106"/>
      <c r="CP28" s="106"/>
      <c r="CQ28" s="106"/>
      <c r="CR28" s="106"/>
      <c r="CS28" s="106"/>
      <c r="CT28" s="106"/>
      <c r="CU28" s="106"/>
      <c r="CV28" s="106"/>
      <c r="CW28" s="106"/>
      <c r="CX28" s="106"/>
      <c r="CY28" s="106"/>
      <c r="CZ28" s="106"/>
      <c r="DA28" s="106"/>
      <c r="DB28" s="106"/>
      <c r="DC28" s="106"/>
      <c r="DD28" s="106"/>
      <c r="DE28" s="107"/>
    </row>
    <row r="29" spans="1:109" ht="2.25" customHeight="1" x14ac:dyDescent="0.25">
      <c r="A29" s="2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46"/>
      <c r="BA29" s="108"/>
      <c r="BB29" s="109"/>
      <c r="BC29" s="109"/>
      <c r="BD29" s="109"/>
      <c r="BE29" s="109"/>
      <c r="BF29" s="109"/>
      <c r="BG29" s="110"/>
      <c r="BH29" s="108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10"/>
      <c r="BT29" s="108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10"/>
      <c r="CM29" s="108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10"/>
    </row>
    <row r="30" spans="1:109" ht="11.25" customHeight="1" x14ac:dyDescent="0.25">
      <c r="A30" s="30"/>
      <c r="B30" s="171" t="s">
        <v>222</v>
      </c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4"/>
      <c r="BA30" s="102">
        <v>9</v>
      </c>
      <c r="BB30" s="103"/>
      <c r="BC30" s="103"/>
      <c r="BD30" s="103"/>
      <c r="BE30" s="103"/>
      <c r="BF30" s="103"/>
      <c r="BG30" s="104"/>
      <c r="BH30" s="102"/>
      <c r="BI30" s="103"/>
      <c r="BJ30" s="103"/>
      <c r="BK30" s="103"/>
      <c r="BL30" s="103"/>
      <c r="BM30" s="103"/>
      <c r="BN30" s="103"/>
      <c r="BO30" s="103"/>
      <c r="BP30" s="103"/>
      <c r="BQ30" s="103"/>
      <c r="BR30" s="103"/>
      <c r="BS30" s="104"/>
      <c r="BT30" s="102"/>
      <c r="BU30" s="103"/>
      <c r="BV30" s="103"/>
      <c r="BW30" s="103"/>
      <c r="BX30" s="103"/>
      <c r="BY30" s="103"/>
      <c r="BZ30" s="103"/>
      <c r="CA30" s="103"/>
      <c r="CB30" s="103"/>
      <c r="CC30" s="103"/>
      <c r="CD30" s="103"/>
      <c r="CE30" s="103"/>
      <c r="CF30" s="103"/>
      <c r="CG30" s="103"/>
      <c r="CH30" s="103"/>
      <c r="CI30" s="103"/>
      <c r="CJ30" s="103"/>
      <c r="CK30" s="103"/>
      <c r="CL30" s="104"/>
      <c r="CM30" s="102"/>
      <c r="CN30" s="103"/>
      <c r="CO30" s="103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3"/>
      <c r="DA30" s="103"/>
      <c r="DB30" s="103"/>
      <c r="DC30" s="103"/>
      <c r="DD30" s="103"/>
      <c r="DE30" s="104"/>
    </row>
    <row r="31" spans="1:109" ht="11.25" customHeight="1" x14ac:dyDescent="0.25">
      <c r="A31" s="29"/>
      <c r="B31" s="62" t="s">
        <v>223</v>
      </c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14"/>
      <c r="O31" s="14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62" t="s">
        <v>147</v>
      </c>
      <c r="AN31" s="62"/>
      <c r="AO31" s="62"/>
      <c r="AP31" s="62"/>
      <c r="AQ31" s="62"/>
      <c r="AR31" s="62"/>
      <c r="AS31" s="62"/>
      <c r="AT31" s="62"/>
      <c r="AV31" s="62"/>
      <c r="AW31" s="62"/>
      <c r="AX31" s="62"/>
      <c r="AY31" s="62"/>
      <c r="AZ31" s="48"/>
      <c r="BA31" s="105"/>
      <c r="BB31" s="106"/>
      <c r="BC31" s="106"/>
      <c r="BD31" s="106"/>
      <c r="BE31" s="106"/>
      <c r="BF31" s="106"/>
      <c r="BG31" s="107"/>
      <c r="BH31" s="105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7"/>
      <c r="BT31" s="105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7"/>
      <c r="CM31" s="105"/>
      <c r="CN31" s="106"/>
      <c r="CO31" s="106"/>
      <c r="CP31" s="106"/>
      <c r="CQ31" s="106"/>
      <c r="CR31" s="106"/>
      <c r="CS31" s="106"/>
      <c r="CT31" s="106"/>
      <c r="CU31" s="106"/>
      <c r="CV31" s="106"/>
      <c r="CW31" s="106"/>
      <c r="CX31" s="106"/>
      <c r="CY31" s="106"/>
      <c r="CZ31" s="106"/>
      <c r="DA31" s="106"/>
      <c r="DB31" s="106"/>
      <c r="DC31" s="106"/>
      <c r="DD31" s="106"/>
      <c r="DE31" s="107"/>
    </row>
    <row r="32" spans="1:109" ht="2.25" customHeight="1" x14ac:dyDescent="0.25">
      <c r="A32" s="2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46"/>
      <c r="BA32" s="108"/>
      <c r="BB32" s="109"/>
      <c r="BC32" s="109"/>
      <c r="BD32" s="109"/>
      <c r="BE32" s="109"/>
      <c r="BF32" s="109"/>
      <c r="BG32" s="110"/>
      <c r="BH32" s="108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10"/>
      <c r="BT32" s="108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10"/>
      <c r="CM32" s="108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10"/>
    </row>
    <row r="33" spans="1:109" ht="11.25" customHeight="1" x14ac:dyDescent="0.25">
      <c r="A33" s="29"/>
      <c r="B33" s="14"/>
      <c r="C33" s="62"/>
      <c r="D33" s="62"/>
      <c r="E33" s="14"/>
      <c r="F33" s="14"/>
      <c r="G33" s="171" t="s">
        <v>150</v>
      </c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48"/>
      <c r="BA33" s="102">
        <v>10</v>
      </c>
      <c r="BB33" s="103"/>
      <c r="BC33" s="103"/>
      <c r="BD33" s="103"/>
      <c r="BE33" s="103"/>
      <c r="BF33" s="103"/>
      <c r="BG33" s="104"/>
      <c r="BH33" s="102"/>
      <c r="BI33" s="103"/>
      <c r="BJ33" s="103"/>
      <c r="BK33" s="103"/>
      <c r="BL33" s="103"/>
      <c r="BM33" s="103"/>
      <c r="BN33" s="103"/>
      <c r="BO33" s="103"/>
      <c r="BP33" s="103"/>
      <c r="BQ33" s="103"/>
      <c r="BR33" s="103"/>
      <c r="BS33" s="104"/>
      <c r="BT33" s="102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3"/>
      <c r="CI33" s="103"/>
      <c r="CJ33" s="103"/>
      <c r="CK33" s="103"/>
      <c r="CL33" s="104"/>
      <c r="CM33" s="102"/>
      <c r="CN33" s="103"/>
      <c r="CO33" s="103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3"/>
      <c r="DA33" s="103"/>
      <c r="DB33" s="103"/>
      <c r="DC33" s="103"/>
      <c r="DD33" s="103"/>
      <c r="DE33" s="104"/>
    </row>
    <row r="34" spans="1:109" ht="11.25" customHeight="1" x14ac:dyDescent="0.25">
      <c r="A34" s="29"/>
      <c r="B34" s="14"/>
      <c r="C34" s="62"/>
      <c r="D34" s="62"/>
      <c r="E34" s="62"/>
      <c r="F34" s="62"/>
      <c r="G34" s="62" t="s">
        <v>223</v>
      </c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62" t="s">
        <v>35</v>
      </c>
      <c r="AS34" s="62"/>
      <c r="AT34" s="62"/>
      <c r="AU34" s="62"/>
      <c r="AV34" s="62"/>
      <c r="AW34" s="62"/>
      <c r="AX34" s="62"/>
      <c r="AY34" s="62"/>
      <c r="AZ34" s="48"/>
      <c r="BA34" s="105"/>
      <c r="BB34" s="106"/>
      <c r="BC34" s="106"/>
      <c r="BD34" s="106"/>
      <c r="BE34" s="106"/>
      <c r="BF34" s="106"/>
      <c r="BG34" s="107"/>
      <c r="BH34" s="105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7"/>
      <c r="BT34" s="105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  <c r="CH34" s="106"/>
      <c r="CI34" s="106"/>
      <c r="CJ34" s="106"/>
      <c r="CK34" s="106"/>
      <c r="CL34" s="107"/>
      <c r="CM34" s="105"/>
      <c r="CN34" s="106"/>
      <c r="CO34" s="106"/>
      <c r="CP34" s="106"/>
      <c r="CQ34" s="106"/>
      <c r="CR34" s="106"/>
      <c r="CS34" s="106"/>
      <c r="CT34" s="106"/>
      <c r="CU34" s="106"/>
      <c r="CV34" s="106"/>
      <c r="CW34" s="106"/>
      <c r="CX34" s="106"/>
      <c r="CY34" s="106"/>
      <c r="CZ34" s="106"/>
      <c r="DA34" s="106"/>
      <c r="DB34" s="106"/>
      <c r="DC34" s="106"/>
      <c r="DD34" s="106"/>
      <c r="DE34" s="107"/>
    </row>
    <row r="35" spans="1:109" ht="2.25" customHeight="1" x14ac:dyDescent="0.25">
      <c r="A35" s="2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46"/>
      <c r="BA35" s="108"/>
      <c r="BB35" s="109"/>
      <c r="BC35" s="109"/>
      <c r="BD35" s="109"/>
      <c r="BE35" s="109"/>
      <c r="BF35" s="109"/>
      <c r="BG35" s="110"/>
      <c r="BH35" s="108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10"/>
      <c r="BT35" s="108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10"/>
      <c r="CM35" s="108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10"/>
    </row>
    <row r="36" spans="1:109" ht="11.25" customHeight="1" x14ac:dyDescent="0.25">
      <c r="A36" s="29"/>
      <c r="B36" s="14"/>
      <c r="C36" s="62"/>
      <c r="D36" s="62"/>
      <c r="E36" s="14"/>
      <c r="F36" s="14"/>
      <c r="G36" s="171" t="s">
        <v>151</v>
      </c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48"/>
      <c r="BA36" s="102">
        <v>11</v>
      </c>
      <c r="BB36" s="103"/>
      <c r="BC36" s="103"/>
      <c r="BD36" s="103"/>
      <c r="BE36" s="103"/>
      <c r="BF36" s="103"/>
      <c r="BG36" s="104"/>
      <c r="BH36" s="102"/>
      <c r="BI36" s="103"/>
      <c r="BJ36" s="103"/>
      <c r="BK36" s="103"/>
      <c r="BL36" s="103"/>
      <c r="BM36" s="103"/>
      <c r="BN36" s="103"/>
      <c r="BO36" s="103"/>
      <c r="BP36" s="103"/>
      <c r="BQ36" s="103"/>
      <c r="BR36" s="103"/>
      <c r="BS36" s="104"/>
      <c r="BT36" s="102"/>
      <c r="BU36" s="103"/>
      <c r="BV36" s="103"/>
      <c r="BW36" s="103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  <c r="CH36" s="103"/>
      <c r="CI36" s="103"/>
      <c r="CJ36" s="103"/>
      <c r="CK36" s="103"/>
      <c r="CL36" s="104"/>
      <c r="CM36" s="102"/>
      <c r="CN36" s="103"/>
      <c r="CO36" s="103"/>
      <c r="CP36" s="103"/>
      <c r="CQ36" s="103"/>
      <c r="CR36" s="103"/>
      <c r="CS36" s="103"/>
      <c r="CT36" s="103"/>
      <c r="CU36" s="103"/>
      <c r="CV36" s="103"/>
      <c r="CW36" s="103"/>
      <c r="CX36" s="103"/>
      <c r="CY36" s="103"/>
      <c r="CZ36" s="103"/>
      <c r="DA36" s="103"/>
      <c r="DB36" s="103"/>
      <c r="DC36" s="103"/>
      <c r="DD36" s="103"/>
      <c r="DE36" s="104"/>
    </row>
    <row r="37" spans="1:109" ht="11.25" customHeight="1" x14ac:dyDescent="0.25">
      <c r="A37" s="29"/>
      <c r="B37" s="14"/>
      <c r="C37" s="62"/>
      <c r="D37" s="62"/>
      <c r="E37" s="62"/>
      <c r="F37" s="62"/>
      <c r="G37" s="62" t="s">
        <v>223</v>
      </c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62" t="s">
        <v>35</v>
      </c>
      <c r="AS37" s="62"/>
      <c r="AT37" s="62"/>
      <c r="AU37" s="62"/>
      <c r="AV37" s="62"/>
      <c r="AW37" s="62"/>
      <c r="AX37" s="62"/>
      <c r="AY37" s="62"/>
      <c r="AZ37" s="48"/>
      <c r="BA37" s="105"/>
      <c r="BB37" s="106"/>
      <c r="BC37" s="106"/>
      <c r="BD37" s="106"/>
      <c r="BE37" s="106"/>
      <c r="BF37" s="106"/>
      <c r="BG37" s="107"/>
      <c r="BH37" s="105"/>
      <c r="BI37" s="106"/>
      <c r="BJ37" s="106"/>
      <c r="BK37" s="106"/>
      <c r="BL37" s="106"/>
      <c r="BM37" s="106"/>
      <c r="BN37" s="106"/>
      <c r="BO37" s="106"/>
      <c r="BP37" s="106"/>
      <c r="BQ37" s="106"/>
      <c r="BR37" s="106"/>
      <c r="BS37" s="107"/>
      <c r="BT37" s="105"/>
      <c r="BU37" s="106"/>
      <c r="BV37" s="106"/>
      <c r="BW37" s="106"/>
      <c r="BX37" s="106"/>
      <c r="BY37" s="106"/>
      <c r="BZ37" s="106"/>
      <c r="CA37" s="106"/>
      <c r="CB37" s="106"/>
      <c r="CC37" s="106"/>
      <c r="CD37" s="106"/>
      <c r="CE37" s="106"/>
      <c r="CF37" s="106"/>
      <c r="CG37" s="106"/>
      <c r="CH37" s="106"/>
      <c r="CI37" s="106"/>
      <c r="CJ37" s="106"/>
      <c r="CK37" s="106"/>
      <c r="CL37" s="107"/>
      <c r="CM37" s="105"/>
      <c r="CN37" s="106"/>
      <c r="CO37" s="106"/>
      <c r="CP37" s="106"/>
      <c r="CQ37" s="106"/>
      <c r="CR37" s="106"/>
      <c r="CS37" s="106"/>
      <c r="CT37" s="106"/>
      <c r="CU37" s="106"/>
      <c r="CV37" s="106"/>
      <c r="CW37" s="106"/>
      <c r="CX37" s="106"/>
      <c r="CY37" s="106"/>
      <c r="CZ37" s="106"/>
      <c r="DA37" s="106"/>
      <c r="DB37" s="106"/>
      <c r="DC37" s="106"/>
      <c r="DD37" s="106"/>
      <c r="DE37" s="107"/>
    </row>
    <row r="38" spans="1:109" ht="2.25" customHeight="1" x14ac:dyDescent="0.25">
      <c r="A38" s="2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46"/>
      <c r="BA38" s="108"/>
      <c r="BB38" s="109"/>
      <c r="BC38" s="109"/>
      <c r="BD38" s="109"/>
      <c r="BE38" s="109"/>
      <c r="BF38" s="109"/>
      <c r="BG38" s="110"/>
      <c r="BH38" s="108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10"/>
      <c r="BT38" s="108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10"/>
      <c r="CM38" s="108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10"/>
    </row>
    <row r="39" spans="1:109" ht="11.25" customHeight="1" x14ac:dyDescent="0.25">
      <c r="A39" s="28"/>
      <c r="B39" s="87" t="s">
        <v>38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36"/>
      <c r="BA39" s="93">
        <v>12</v>
      </c>
      <c r="BB39" s="94"/>
      <c r="BC39" s="94"/>
      <c r="BD39" s="94"/>
      <c r="BE39" s="94"/>
      <c r="BF39" s="94"/>
      <c r="BG39" s="95"/>
      <c r="BH39" s="93"/>
      <c r="BI39" s="94"/>
      <c r="BJ39" s="94"/>
      <c r="BK39" s="94"/>
      <c r="BL39" s="94"/>
      <c r="BM39" s="94"/>
      <c r="BN39" s="94"/>
      <c r="BO39" s="94"/>
      <c r="BP39" s="94"/>
      <c r="BQ39" s="94"/>
      <c r="BR39" s="94"/>
      <c r="BS39" s="95"/>
      <c r="BT39" s="93"/>
      <c r="BU39" s="94"/>
      <c r="BV39" s="94"/>
      <c r="BW39" s="94"/>
      <c r="BX39" s="94"/>
      <c r="BY39" s="94"/>
      <c r="BZ39" s="94"/>
      <c r="CA39" s="94"/>
      <c r="CB39" s="94"/>
      <c r="CC39" s="94"/>
      <c r="CD39" s="94"/>
      <c r="CE39" s="94"/>
      <c r="CF39" s="94"/>
      <c r="CG39" s="94"/>
      <c r="CH39" s="94"/>
      <c r="CI39" s="94"/>
      <c r="CJ39" s="94"/>
      <c r="CK39" s="94"/>
      <c r="CL39" s="95"/>
      <c r="CM39" s="93" t="s">
        <v>142</v>
      </c>
      <c r="CN39" s="94"/>
      <c r="CO39" s="94"/>
      <c r="CP39" s="94"/>
      <c r="CQ39" s="94"/>
      <c r="CR39" s="94"/>
      <c r="CS39" s="94"/>
      <c r="CT39" s="94"/>
      <c r="CU39" s="94"/>
      <c r="CV39" s="94"/>
      <c r="CW39" s="94"/>
      <c r="CX39" s="94"/>
      <c r="CY39" s="94"/>
      <c r="CZ39" s="94"/>
      <c r="DA39" s="94"/>
      <c r="DB39" s="94"/>
      <c r="DC39" s="94"/>
      <c r="DD39" s="94"/>
      <c r="DE39" s="95"/>
    </row>
    <row r="40" spans="1:109" ht="24" customHeight="1" x14ac:dyDescent="0.25">
      <c r="A40" s="28"/>
      <c r="B40" s="111" t="s">
        <v>39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36"/>
      <c r="BA40" s="93">
        <v>13</v>
      </c>
      <c r="BB40" s="94"/>
      <c r="BC40" s="94"/>
      <c r="BD40" s="94"/>
      <c r="BE40" s="94"/>
      <c r="BF40" s="94"/>
      <c r="BG40" s="95"/>
      <c r="BH40" s="93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5"/>
      <c r="BT40" s="93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95"/>
      <c r="CM40" s="93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5"/>
    </row>
    <row r="41" spans="1:109" ht="24" customHeight="1" x14ac:dyDescent="0.25">
      <c r="A41" s="28"/>
      <c r="B41" s="111" t="s">
        <v>224</v>
      </c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36"/>
      <c r="BA41" s="93">
        <v>14</v>
      </c>
      <c r="BB41" s="94"/>
      <c r="BC41" s="94"/>
      <c r="BD41" s="94"/>
      <c r="BE41" s="94"/>
      <c r="BF41" s="94"/>
      <c r="BG41" s="95"/>
      <c r="BH41" s="93"/>
      <c r="BI41" s="94"/>
      <c r="BJ41" s="94"/>
      <c r="BK41" s="94"/>
      <c r="BL41" s="94"/>
      <c r="BM41" s="94"/>
      <c r="BN41" s="94"/>
      <c r="BO41" s="94"/>
      <c r="BP41" s="94"/>
      <c r="BQ41" s="94"/>
      <c r="BR41" s="94"/>
      <c r="BS41" s="95"/>
      <c r="BT41" s="93"/>
      <c r="BU41" s="94"/>
      <c r="BV41" s="94"/>
      <c r="BW41" s="94"/>
      <c r="BX41" s="94"/>
      <c r="BY41" s="94"/>
      <c r="BZ41" s="94"/>
      <c r="CA41" s="94"/>
      <c r="CB41" s="94"/>
      <c r="CC41" s="94"/>
      <c r="CD41" s="94"/>
      <c r="CE41" s="94"/>
      <c r="CF41" s="94"/>
      <c r="CG41" s="94"/>
      <c r="CH41" s="94"/>
      <c r="CI41" s="94"/>
      <c r="CJ41" s="94"/>
      <c r="CK41" s="94"/>
      <c r="CL41" s="95"/>
      <c r="CM41" s="93" t="s">
        <v>142</v>
      </c>
      <c r="CN41" s="94"/>
      <c r="CO41" s="94"/>
      <c r="CP41" s="94"/>
      <c r="CQ41" s="94"/>
      <c r="CR41" s="94"/>
      <c r="CS41" s="94"/>
      <c r="CT41" s="94"/>
      <c r="CU41" s="94"/>
      <c r="CV41" s="94"/>
      <c r="CW41" s="94"/>
      <c r="CX41" s="94"/>
      <c r="CY41" s="94"/>
      <c r="CZ41" s="94"/>
      <c r="DA41" s="94"/>
      <c r="DB41" s="94"/>
      <c r="DC41" s="94"/>
      <c r="DD41" s="94"/>
      <c r="DE41" s="95"/>
    </row>
    <row r="42" spans="1:109" ht="24" customHeight="1" x14ac:dyDescent="0.25">
      <c r="A42" s="28"/>
      <c r="B42" s="111" t="s">
        <v>40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36"/>
      <c r="BA42" s="93">
        <v>15</v>
      </c>
      <c r="BB42" s="94"/>
      <c r="BC42" s="94"/>
      <c r="BD42" s="94"/>
      <c r="BE42" s="94"/>
      <c r="BF42" s="94"/>
      <c r="BG42" s="95"/>
      <c r="BH42" s="93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5"/>
      <c r="BT42" s="93"/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4"/>
      <c r="CF42" s="94"/>
      <c r="CG42" s="94"/>
      <c r="CH42" s="94"/>
      <c r="CI42" s="94"/>
      <c r="CJ42" s="94"/>
      <c r="CK42" s="94"/>
      <c r="CL42" s="95"/>
      <c r="CM42" s="93" t="s">
        <v>142</v>
      </c>
      <c r="CN42" s="94"/>
      <c r="CO42" s="94"/>
      <c r="CP42" s="94"/>
      <c r="CQ42" s="94"/>
      <c r="CR42" s="94"/>
      <c r="CS42" s="94"/>
      <c r="CT42" s="94"/>
      <c r="CU42" s="94"/>
      <c r="CV42" s="94"/>
      <c r="CW42" s="94"/>
      <c r="CX42" s="94"/>
      <c r="CY42" s="94"/>
      <c r="CZ42" s="94"/>
      <c r="DA42" s="94"/>
      <c r="DB42" s="94"/>
      <c r="DC42" s="94"/>
      <c r="DD42" s="94"/>
      <c r="DE42" s="95"/>
    </row>
    <row r="43" spans="1:109" ht="12" customHeight="1" x14ac:dyDescent="0.25">
      <c r="A43" s="28"/>
      <c r="B43" s="111" t="s">
        <v>232</v>
      </c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36"/>
      <c r="BA43" s="93">
        <v>16</v>
      </c>
      <c r="BB43" s="94"/>
      <c r="BC43" s="94"/>
      <c r="BD43" s="94"/>
      <c r="BE43" s="94"/>
      <c r="BF43" s="94"/>
      <c r="BG43" s="95"/>
      <c r="BH43" s="93" t="s">
        <v>142</v>
      </c>
      <c r="BI43" s="94"/>
      <c r="BJ43" s="94"/>
      <c r="BK43" s="94"/>
      <c r="BL43" s="94"/>
      <c r="BM43" s="94"/>
      <c r="BN43" s="94"/>
      <c r="BO43" s="94"/>
      <c r="BP43" s="94"/>
      <c r="BQ43" s="94"/>
      <c r="BR43" s="94"/>
      <c r="BS43" s="95"/>
      <c r="BT43" s="93">
        <f>SickListAmount1+SickListAmount2+BT17+SickListAmount4+SickListAmount5+SickListAmount6+SickListAmount7</f>
        <v>0</v>
      </c>
      <c r="BU43" s="94"/>
      <c r="BV43" s="94"/>
      <c r="BW43" s="94"/>
      <c r="BX43" s="94"/>
      <c r="BY43" s="94"/>
      <c r="BZ43" s="94"/>
      <c r="CA43" s="94"/>
      <c r="CB43" s="94"/>
      <c r="CC43" s="94"/>
      <c r="CD43" s="94"/>
      <c r="CE43" s="94"/>
      <c r="CF43" s="94"/>
      <c r="CG43" s="94"/>
      <c r="CH43" s="94"/>
      <c r="CI43" s="94"/>
      <c r="CJ43" s="94"/>
      <c r="CK43" s="94"/>
      <c r="CL43" s="95"/>
      <c r="CM43" s="93"/>
      <c r="CN43" s="94"/>
      <c r="CO43" s="94"/>
      <c r="CP43" s="94"/>
      <c r="CQ43" s="94"/>
      <c r="CR43" s="94"/>
      <c r="CS43" s="94"/>
      <c r="CT43" s="94"/>
      <c r="CU43" s="94"/>
      <c r="CV43" s="94"/>
      <c r="CW43" s="94"/>
      <c r="CX43" s="94"/>
      <c r="CY43" s="94"/>
      <c r="CZ43" s="94"/>
      <c r="DA43" s="94"/>
      <c r="DB43" s="94"/>
      <c r="DC43" s="94"/>
      <c r="DD43" s="94"/>
      <c r="DE43" s="95"/>
    </row>
    <row r="44" spans="1:109" ht="12.75" customHeight="1" x14ac:dyDescent="0.25">
      <c r="A44" s="102" t="s">
        <v>41</v>
      </c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4"/>
      <c r="BA44" s="102">
        <v>17</v>
      </c>
      <c r="BB44" s="103"/>
      <c r="BC44" s="103"/>
      <c r="BD44" s="103"/>
      <c r="BE44" s="103"/>
      <c r="BF44" s="103"/>
      <c r="BG44" s="104"/>
      <c r="BH44" s="102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4"/>
      <c r="BT44" s="102"/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3"/>
      <c r="CF44" s="103"/>
      <c r="CG44" s="103"/>
      <c r="CH44" s="103"/>
      <c r="CI44" s="103"/>
      <c r="CJ44" s="103"/>
      <c r="CK44" s="103"/>
      <c r="CL44" s="104"/>
      <c r="CM44" s="102" t="s">
        <v>142</v>
      </c>
      <c r="CN44" s="103"/>
      <c r="CO44" s="103"/>
      <c r="CP44" s="103"/>
      <c r="CQ44" s="103"/>
      <c r="CR44" s="103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4"/>
    </row>
    <row r="45" spans="1:109" ht="12" customHeight="1" x14ac:dyDescent="0.25">
      <c r="A45" s="29"/>
      <c r="B45" s="62" t="s">
        <v>42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172"/>
      <c r="AE45" s="172"/>
      <c r="AF45" s="106" t="s">
        <v>43</v>
      </c>
      <c r="AG45" s="106"/>
      <c r="AH45" s="106"/>
      <c r="AI45" s="106"/>
      <c r="AJ45" s="106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Y45" s="62"/>
      <c r="AZ45" s="48"/>
      <c r="BA45" s="105"/>
      <c r="BB45" s="106"/>
      <c r="BC45" s="106"/>
      <c r="BD45" s="106"/>
      <c r="BE45" s="106"/>
      <c r="BF45" s="106"/>
      <c r="BG45" s="107"/>
      <c r="BH45" s="105"/>
      <c r="BI45" s="106"/>
      <c r="BJ45" s="106"/>
      <c r="BK45" s="106"/>
      <c r="BL45" s="106"/>
      <c r="BM45" s="106"/>
      <c r="BN45" s="106"/>
      <c r="BO45" s="106"/>
      <c r="BP45" s="106"/>
      <c r="BQ45" s="106"/>
      <c r="BR45" s="106"/>
      <c r="BS45" s="107"/>
      <c r="BT45" s="105"/>
      <c r="BU45" s="106"/>
      <c r="BV45" s="106"/>
      <c r="BW45" s="106"/>
      <c r="BX45" s="106"/>
      <c r="BY45" s="106"/>
      <c r="BZ45" s="106"/>
      <c r="CA45" s="106"/>
      <c r="CB45" s="106"/>
      <c r="CC45" s="106"/>
      <c r="CD45" s="106"/>
      <c r="CE45" s="106"/>
      <c r="CF45" s="106"/>
      <c r="CG45" s="106"/>
      <c r="CH45" s="106"/>
      <c r="CI45" s="106"/>
      <c r="CJ45" s="106"/>
      <c r="CK45" s="106"/>
      <c r="CL45" s="107"/>
      <c r="CM45" s="105"/>
      <c r="CN45" s="106"/>
      <c r="CO45" s="106"/>
      <c r="CP45" s="106"/>
      <c r="CQ45" s="106"/>
      <c r="CR45" s="106"/>
      <c r="CS45" s="106"/>
      <c r="CT45" s="106"/>
      <c r="CU45" s="106"/>
      <c r="CV45" s="106"/>
      <c r="CW45" s="106"/>
      <c r="CX45" s="106"/>
      <c r="CY45" s="106"/>
      <c r="CZ45" s="106"/>
      <c r="DA45" s="106"/>
      <c r="DB45" s="106"/>
      <c r="DC45" s="106"/>
      <c r="DD45" s="106"/>
      <c r="DE45" s="107"/>
    </row>
    <row r="46" spans="1:109" s="2" customFormat="1" ht="10.5" customHeight="1" x14ac:dyDescent="0.25">
      <c r="A46" s="29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K46" s="173" t="s">
        <v>44</v>
      </c>
      <c r="AL46" s="173"/>
      <c r="AM46" s="173"/>
      <c r="AN46" s="173"/>
      <c r="AO46" s="173"/>
      <c r="AP46" s="173"/>
      <c r="AQ46" s="173"/>
      <c r="AR46" s="173"/>
      <c r="AS46" s="173"/>
      <c r="AT46" s="173"/>
      <c r="AU46" s="173"/>
      <c r="AV46" s="173"/>
      <c r="AW46" s="173"/>
      <c r="AY46" s="62"/>
      <c r="AZ46" s="48"/>
      <c r="BA46" s="105"/>
      <c r="BB46" s="106"/>
      <c r="BC46" s="106"/>
      <c r="BD46" s="106"/>
      <c r="BE46" s="106"/>
      <c r="BF46" s="106"/>
      <c r="BG46" s="107"/>
      <c r="BH46" s="105"/>
      <c r="BI46" s="106"/>
      <c r="BJ46" s="106"/>
      <c r="BK46" s="106"/>
      <c r="BL46" s="106"/>
      <c r="BM46" s="106"/>
      <c r="BN46" s="106"/>
      <c r="BO46" s="106"/>
      <c r="BP46" s="106"/>
      <c r="BQ46" s="106"/>
      <c r="BR46" s="106"/>
      <c r="BS46" s="107"/>
      <c r="BT46" s="105"/>
      <c r="BU46" s="106"/>
      <c r="BV46" s="106"/>
      <c r="BW46" s="106"/>
      <c r="BX46" s="106"/>
      <c r="BY46" s="106"/>
      <c r="BZ46" s="106"/>
      <c r="CA46" s="106"/>
      <c r="CB46" s="106"/>
      <c r="CC46" s="106"/>
      <c r="CD46" s="106"/>
      <c r="CE46" s="106"/>
      <c r="CF46" s="106"/>
      <c r="CG46" s="106"/>
      <c r="CH46" s="106"/>
      <c r="CI46" s="106"/>
      <c r="CJ46" s="106"/>
      <c r="CK46" s="106"/>
      <c r="CL46" s="107"/>
      <c r="CM46" s="105"/>
      <c r="CN46" s="106"/>
      <c r="CO46" s="106"/>
      <c r="CP46" s="106"/>
      <c r="CQ46" s="106"/>
      <c r="CR46" s="106"/>
      <c r="CS46" s="106"/>
      <c r="CT46" s="106"/>
      <c r="CU46" s="106"/>
      <c r="CV46" s="106"/>
      <c r="CW46" s="106"/>
      <c r="CX46" s="106"/>
      <c r="CY46" s="106"/>
      <c r="CZ46" s="106"/>
      <c r="DA46" s="106"/>
      <c r="DB46" s="106"/>
      <c r="DC46" s="106"/>
      <c r="DD46" s="106"/>
      <c r="DE46" s="107"/>
    </row>
    <row r="47" spans="1:109" ht="11.25" customHeight="1" x14ac:dyDescent="0.25">
      <c r="A47" s="28"/>
      <c r="B47" s="111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36"/>
      <c r="BA47" s="108"/>
      <c r="BB47" s="109"/>
      <c r="BC47" s="109"/>
      <c r="BD47" s="109"/>
      <c r="BE47" s="109"/>
      <c r="BF47" s="109"/>
      <c r="BG47" s="110"/>
      <c r="BH47" s="108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10"/>
      <c r="BT47" s="108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10"/>
      <c r="CM47" s="108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10"/>
    </row>
    <row r="48" spans="1:109" ht="24" customHeight="1" x14ac:dyDescent="0.25">
      <c r="A48" s="28"/>
      <c r="B48" s="111" t="s">
        <v>64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36"/>
      <c r="BA48" s="93">
        <v>18</v>
      </c>
      <c r="BB48" s="94"/>
      <c r="BC48" s="94"/>
      <c r="BD48" s="94"/>
      <c r="BE48" s="94"/>
      <c r="BF48" s="94"/>
      <c r="BG48" s="95"/>
      <c r="BH48" s="93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5"/>
      <c r="BT48" s="93"/>
      <c r="BU48" s="94"/>
      <c r="BV48" s="94"/>
      <c r="BW48" s="94"/>
      <c r="BX48" s="94"/>
      <c r="BY48" s="94"/>
      <c r="BZ48" s="94"/>
      <c r="CA48" s="94"/>
      <c r="CB48" s="94"/>
      <c r="CC48" s="94"/>
      <c r="CD48" s="94"/>
      <c r="CE48" s="94"/>
      <c r="CF48" s="94"/>
      <c r="CG48" s="94"/>
      <c r="CH48" s="94"/>
      <c r="CI48" s="94"/>
      <c r="CJ48" s="94"/>
      <c r="CK48" s="94"/>
      <c r="CL48" s="95"/>
      <c r="CM48" s="93" t="s">
        <v>142</v>
      </c>
      <c r="CN48" s="94"/>
      <c r="CO48" s="94"/>
      <c r="CP48" s="94"/>
      <c r="CQ48" s="94"/>
      <c r="CR48" s="94"/>
      <c r="CS48" s="94"/>
      <c r="CT48" s="94"/>
      <c r="CU48" s="94"/>
      <c r="CV48" s="94"/>
      <c r="CW48" s="94"/>
      <c r="CX48" s="94"/>
      <c r="CY48" s="94"/>
      <c r="CZ48" s="94"/>
      <c r="DA48" s="94"/>
      <c r="DB48" s="94"/>
      <c r="DC48" s="94"/>
      <c r="DD48" s="94"/>
      <c r="DE48" s="95"/>
    </row>
    <row r="49" spans="1:109" ht="11.25" customHeight="1" x14ac:dyDescent="0.25">
      <c r="A49" s="28"/>
      <c r="B49" s="111" t="s">
        <v>46</v>
      </c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36"/>
      <c r="BA49" s="93">
        <v>19</v>
      </c>
      <c r="BB49" s="94"/>
      <c r="BC49" s="94"/>
      <c r="BD49" s="94"/>
      <c r="BE49" s="94"/>
      <c r="BF49" s="94"/>
      <c r="BG49" s="95"/>
      <c r="BH49" s="93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5"/>
      <c r="BT49" s="93"/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94"/>
      <c r="CL49" s="95"/>
      <c r="CM49" s="93" t="s">
        <v>142</v>
      </c>
      <c r="CN49" s="94"/>
      <c r="CO49" s="94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5"/>
    </row>
    <row r="50" spans="1:109" ht="36" customHeight="1" x14ac:dyDescent="0.25">
      <c r="A50" s="28"/>
      <c r="B50" s="111" t="s">
        <v>225</v>
      </c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36"/>
      <c r="BA50" s="93">
        <v>20</v>
      </c>
      <c r="BB50" s="94"/>
      <c r="BC50" s="94"/>
      <c r="BD50" s="94"/>
      <c r="BE50" s="94"/>
      <c r="BF50" s="94"/>
      <c r="BG50" s="95"/>
      <c r="BH50" s="93"/>
      <c r="BI50" s="94"/>
      <c r="BJ50" s="94"/>
      <c r="BK50" s="94"/>
      <c r="BL50" s="94"/>
      <c r="BM50" s="94"/>
      <c r="BN50" s="94"/>
      <c r="BO50" s="94"/>
      <c r="BP50" s="94"/>
      <c r="BQ50" s="94"/>
      <c r="BR50" s="94"/>
      <c r="BS50" s="95"/>
      <c r="BT50" s="93"/>
      <c r="BU50" s="94"/>
      <c r="BV50" s="94"/>
      <c r="BW50" s="94"/>
      <c r="BX50" s="94"/>
      <c r="BY50" s="94"/>
      <c r="BZ50" s="94"/>
      <c r="CA50" s="94"/>
      <c r="CB50" s="94"/>
      <c r="CC50" s="94"/>
      <c r="CD50" s="94"/>
      <c r="CE50" s="94"/>
      <c r="CF50" s="94"/>
      <c r="CG50" s="94"/>
      <c r="CH50" s="94"/>
      <c r="CI50" s="94"/>
      <c r="CJ50" s="94"/>
      <c r="CK50" s="94"/>
      <c r="CL50" s="95"/>
      <c r="CM50" s="93" t="s">
        <v>142</v>
      </c>
      <c r="CN50" s="94"/>
      <c r="CO50" s="94"/>
      <c r="CP50" s="94"/>
      <c r="CQ50" s="94"/>
      <c r="CR50" s="94"/>
      <c r="CS50" s="94"/>
      <c r="CT50" s="94"/>
      <c r="CU50" s="94"/>
      <c r="CV50" s="94"/>
      <c r="CW50" s="94"/>
      <c r="CX50" s="94"/>
      <c r="CY50" s="94"/>
      <c r="CZ50" s="94"/>
      <c r="DA50" s="94"/>
      <c r="DB50" s="94"/>
      <c r="DC50" s="94"/>
      <c r="DD50" s="94"/>
      <c r="DE50" s="95"/>
    </row>
    <row r="51" spans="1:109" ht="12" customHeight="1" x14ac:dyDescent="0.25">
      <c r="A51" s="28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36"/>
      <c r="BA51" s="93">
        <v>21</v>
      </c>
      <c r="BB51" s="94"/>
      <c r="BC51" s="94"/>
      <c r="BD51" s="94"/>
      <c r="BE51" s="94"/>
      <c r="BF51" s="94"/>
      <c r="BG51" s="95"/>
      <c r="BH51" s="93" t="s">
        <v>142</v>
      </c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5"/>
      <c r="BT51" s="93" t="s">
        <v>142</v>
      </c>
      <c r="BU51" s="94"/>
      <c r="BV51" s="94"/>
      <c r="BW51" s="94"/>
      <c r="BX51" s="94"/>
      <c r="BY51" s="94"/>
      <c r="BZ51" s="94"/>
      <c r="CA51" s="94"/>
      <c r="CB51" s="94"/>
      <c r="CC51" s="94"/>
      <c r="CD51" s="94"/>
      <c r="CE51" s="94"/>
      <c r="CF51" s="94"/>
      <c r="CG51" s="94"/>
      <c r="CH51" s="94"/>
      <c r="CI51" s="94"/>
      <c r="CJ51" s="94"/>
      <c r="CK51" s="94"/>
      <c r="CL51" s="95"/>
      <c r="CM51" s="93" t="s">
        <v>142</v>
      </c>
      <c r="CN51" s="94"/>
      <c r="CO51" s="94"/>
      <c r="CP51" s="94"/>
      <c r="CQ51" s="94"/>
      <c r="CR51" s="94"/>
      <c r="CS51" s="94"/>
      <c r="CT51" s="94"/>
      <c r="CU51" s="94"/>
      <c r="CV51" s="94"/>
      <c r="CW51" s="94"/>
      <c r="CX51" s="94"/>
      <c r="CY51" s="94"/>
      <c r="CZ51" s="94"/>
      <c r="DA51" s="94"/>
      <c r="DB51" s="94"/>
      <c r="DC51" s="94"/>
      <c r="DD51" s="94"/>
      <c r="DE51" s="95"/>
    </row>
    <row r="52" spans="1:109" ht="12" customHeight="1" x14ac:dyDescent="0.25">
      <c r="A52" s="28"/>
      <c r="B52" s="111" t="s">
        <v>235</v>
      </c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36"/>
      <c r="BA52" s="93">
        <v>22</v>
      </c>
      <c r="BB52" s="94"/>
      <c r="BC52" s="94"/>
      <c r="BD52" s="94"/>
      <c r="BE52" s="94"/>
      <c r="BF52" s="94"/>
      <c r="BG52" s="95"/>
      <c r="BH52" s="93" t="s">
        <v>142</v>
      </c>
      <c r="BI52" s="94"/>
      <c r="BJ52" s="94"/>
      <c r="BK52" s="94"/>
      <c r="BL52" s="94"/>
      <c r="BM52" s="94"/>
      <c r="BN52" s="94"/>
      <c r="BO52" s="94"/>
      <c r="BP52" s="94"/>
      <c r="BQ52" s="94"/>
      <c r="BR52" s="94"/>
      <c r="BS52" s="95"/>
      <c r="BT52" s="93">
        <f>BT44+BT48+BT49+BT50</f>
        <v>0</v>
      </c>
      <c r="BU52" s="94"/>
      <c r="BV52" s="94"/>
      <c r="BW52" s="94"/>
      <c r="BX52" s="94"/>
      <c r="BY52" s="94"/>
      <c r="BZ52" s="94"/>
      <c r="CA52" s="94"/>
      <c r="CB52" s="94"/>
      <c r="CC52" s="94"/>
      <c r="CD52" s="94"/>
      <c r="CE52" s="94"/>
      <c r="CF52" s="94"/>
      <c r="CG52" s="94"/>
      <c r="CH52" s="94"/>
      <c r="CI52" s="94"/>
      <c r="CJ52" s="94"/>
      <c r="CK52" s="94"/>
      <c r="CL52" s="95"/>
      <c r="CM52" s="93" t="s">
        <v>142</v>
      </c>
      <c r="CN52" s="94"/>
      <c r="CO52" s="94"/>
      <c r="CP52" s="94"/>
      <c r="CQ52" s="94"/>
      <c r="CR52" s="94"/>
      <c r="CS52" s="94"/>
      <c r="CT52" s="94"/>
      <c r="CU52" s="94"/>
      <c r="CV52" s="94"/>
      <c r="CW52" s="94"/>
      <c r="CX52" s="94"/>
      <c r="CY52" s="94"/>
      <c r="CZ52" s="94"/>
      <c r="DA52" s="94"/>
      <c r="DB52" s="94"/>
      <c r="DC52" s="94"/>
      <c r="DD52" s="94"/>
      <c r="DE52" s="95"/>
    </row>
    <row r="53" spans="1:109" ht="12" customHeight="1" x14ac:dyDescent="0.25">
      <c r="A53" s="28"/>
      <c r="B53" s="111" t="s">
        <v>236</v>
      </c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36"/>
      <c r="BA53" s="93">
        <v>23</v>
      </c>
      <c r="BB53" s="94"/>
      <c r="BC53" s="94"/>
      <c r="BD53" s="94"/>
      <c r="BE53" s="94"/>
      <c r="BF53" s="94"/>
      <c r="BG53" s="95"/>
      <c r="BH53" s="93" t="s">
        <v>142</v>
      </c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5"/>
      <c r="BT53" s="93">
        <f>BT43+BT52</f>
        <v>0</v>
      </c>
      <c r="BU53" s="94"/>
      <c r="BV53" s="94"/>
      <c r="BW53" s="94"/>
      <c r="BX53" s="94"/>
      <c r="BY53" s="94"/>
      <c r="BZ53" s="94"/>
      <c r="CA53" s="94"/>
      <c r="CB53" s="94"/>
      <c r="CC53" s="94"/>
      <c r="CD53" s="94"/>
      <c r="CE53" s="94"/>
      <c r="CF53" s="94"/>
      <c r="CG53" s="94"/>
      <c r="CH53" s="94"/>
      <c r="CI53" s="94"/>
      <c r="CJ53" s="94"/>
      <c r="CK53" s="94"/>
      <c r="CL53" s="95"/>
      <c r="CM53" s="93"/>
      <c r="CN53" s="94"/>
      <c r="CO53" s="94"/>
      <c r="CP53" s="94"/>
      <c r="CQ53" s="94"/>
      <c r="CR53" s="94"/>
      <c r="CS53" s="94"/>
      <c r="CT53" s="94"/>
      <c r="CU53" s="94"/>
      <c r="CV53" s="94"/>
      <c r="CW53" s="94"/>
      <c r="CX53" s="94"/>
      <c r="CY53" s="94"/>
      <c r="CZ53" s="94"/>
      <c r="DA53" s="94"/>
      <c r="DB53" s="94"/>
      <c r="DC53" s="94"/>
      <c r="DD53" s="94"/>
      <c r="DE53" s="95"/>
    </row>
    <row r="54" spans="1:109" ht="3.75" customHeight="1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</row>
    <row r="55" spans="1:109" s="2" customFormat="1" ht="9.75" customHeight="1" x14ac:dyDescent="0.2">
      <c r="A55" s="63" t="s">
        <v>159</v>
      </c>
    </row>
    <row r="56" spans="1:109" ht="26.25" customHeight="1" x14ac:dyDescent="0.25">
      <c r="A56" s="163" t="s">
        <v>152</v>
      </c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5"/>
      <c r="BA56" s="160" t="s">
        <v>5</v>
      </c>
      <c r="BB56" s="161"/>
      <c r="BC56" s="161"/>
      <c r="BD56" s="161"/>
      <c r="BE56" s="161"/>
      <c r="BF56" s="161"/>
      <c r="BG56" s="162"/>
      <c r="BH56" s="182" t="s">
        <v>153</v>
      </c>
      <c r="BI56" s="182"/>
      <c r="BJ56" s="182"/>
      <c r="BK56" s="182"/>
      <c r="BL56" s="182"/>
      <c r="BM56" s="182"/>
      <c r="BN56" s="182"/>
      <c r="BO56" s="182"/>
      <c r="BP56" s="182"/>
      <c r="BQ56" s="182"/>
      <c r="BR56" s="182"/>
      <c r="BS56" s="182"/>
      <c r="BT56" s="182"/>
      <c r="BU56" s="182"/>
      <c r="BV56" s="182"/>
      <c r="BW56" s="182"/>
      <c r="BX56" s="182"/>
      <c r="BY56" s="182"/>
      <c r="BZ56" s="182"/>
      <c r="CA56" s="182"/>
      <c r="CB56" s="182"/>
      <c r="CC56" s="182"/>
      <c r="CD56" s="182"/>
      <c r="CE56" s="182"/>
      <c r="CF56" s="182"/>
      <c r="CG56" s="182"/>
      <c r="CH56" s="182"/>
      <c r="CI56" s="182"/>
      <c r="CJ56" s="182"/>
      <c r="CK56" s="182"/>
      <c r="CL56" s="182"/>
    </row>
    <row r="57" spans="1:109" s="68" customFormat="1" ht="11.25" customHeight="1" x14ac:dyDescent="0.25">
      <c r="A57" s="163">
        <v>1</v>
      </c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5"/>
      <c r="BA57" s="163">
        <v>2</v>
      </c>
      <c r="BB57" s="164"/>
      <c r="BC57" s="164"/>
      <c r="BD57" s="164"/>
      <c r="BE57" s="164"/>
      <c r="BF57" s="164"/>
      <c r="BG57" s="165"/>
      <c r="BH57" s="182">
        <v>3</v>
      </c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2"/>
      <c r="BY57" s="182"/>
      <c r="BZ57" s="182"/>
      <c r="CA57" s="182"/>
      <c r="CB57" s="182"/>
      <c r="CC57" s="182"/>
      <c r="CD57" s="182"/>
      <c r="CE57" s="182"/>
      <c r="CF57" s="182"/>
      <c r="CG57" s="182"/>
      <c r="CH57" s="182"/>
      <c r="CI57" s="182"/>
      <c r="CJ57" s="182"/>
      <c r="CK57" s="182"/>
      <c r="CL57" s="182"/>
    </row>
    <row r="58" spans="1:109" ht="12" customHeight="1" x14ac:dyDescent="0.25">
      <c r="A58" s="69"/>
      <c r="B58" s="65" t="s">
        <v>154</v>
      </c>
      <c r="C58" s="14"/>
      <c r="D58" s="65"/>
      <c r="E58" s="65"/>
      <c r="F58" s="65"/>
      <c r="G58" s="65"/>
      <c r="H58" s="65"/>
      <c r="I58" s="65"/>
      <c r="J58" s="65"/>
      <c r="K58" s="65"/>
      <c r="L58" s="166" t="s">
        <v>157</v>
      </c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49"/>
      <c r="BA58" s="93">
        <v>1</v>
      </c>
      <c r="BB58" s="94"/>
      <c r="BC58" s="94"/>
      <c r="BD58" s="94"/>
      <c r="BE58" s="94"/>
      <c r="BF58" s="94"/>
      <c r="BG58" s="95"/>
      <c r="BH58" s="169"/>
      <c r="BI58" s="169"/>
      <c r="BJ58" s="169"/>
      <c r="BK58" s="169"/>
      <c r="BL58" s="169"/>
      <c r="BM58" s="169"/>
      <c r="BN58" s="169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</row>
    <row r="59" spans="1:109" ht="12" customHeight="1" x14ac:dyDescent="0.25">
      <c r="A59" s="69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166" t="s">
        <v>156</v>
      </c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  <c r="AZ59" s="49"/>
      <c r="BA59" s="93">
        <v>2</v>
      </c>
      <c r="BB59" s="94"/>
      <c r="BC59" s="94"/>
      <c r="BD59" s="94"/>
      <c r="BE59" s="94"/>
      <c r="BF59" s="94"/>
      <c r="BG59" s="95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</row>
    <row r="60" spans="1:109" ht="12" customHeight="1" x14ac:dyDescent="0.25">
      <c r="A60" s="69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166" t="s">
        <v>158</v>
      </c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49"/>
      <c r="BA60" s="93">
        <v>3</v>
      </c>
      <c r="BB60" s="94"/>
      <c r="BC60" s="94"/>
      <c r="BD60" s="94"/>
      <c r="BE60" s="94"/>
      <c r="BF60" s="94"/>
      <c r="BG60" s="95"/>
      <c r="BH60" s="169"/>
      <c r="BI60" s="169"/>
      <c r="BJ60" s="169"/>
      <c r="BK60" s="169"/>
      <c r="BL60" s="169"/>
      <c r="BM60" s="169"/>
      <c r="BN60" s="169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</row>
    <row r="61" spans="1:109" ht="12" customHeight="1" x14ac:dyDescent="0.25">
      <c r="A61" s="69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166" t="s">
        <v>233</v>
      </c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49"/>
      <c r="BA61" s="93">
        <v>4</v>
      </c>
      <c r="BB61" s="94"/>
      <c r="BC61" s="94"/>
      <c r="BD61" s="94"/>
      <c r="BE61" s="94"/>
      <c r="BF61" s="94"/>
      <c r="BG61" s="95"/>
      <c r="BH61" s="169"/>
      <c r="BI61" s="169"/>
      <c r="BJ61" s="169"/>
      <c r="BK61" s="169"/>
      <c r="BL61" s="169"/>
      <c r="BM61" s="169"/>
      <c r="BN61" s="169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</row>
    <row r="62" spans="1:109" ht="12" customHeight="1" x14ac:dyDescent="0.25">
      <c r="A62" s="69"/>
      <c r="B62" s="65" t="s">
        <v>155</v>
      </c>
      <c r="C62" s="35"/>
      <c r="D62" s="65"/>
      <c r="E62" s="65"/>
      <c r="F62" s="65"/>
      <c r="G62" s="65"/>
      <c r="H62" s="65"/>
      <c r="I62" s="65"/>
      <c r="J62" s="65"/>
      <c r="K62" s="65"/>
      <c r="L62" s="166" t="s">
        <v>234</v>
      </c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  <c r="AZ62" s="49"/>
      <c r="BA62" s="93">
        <v>5</v>
      </c>
      <c r="BB62" s="94"/>
      <c r="BC62" s="94"/>
      <c r="BD62" s="94"/>
      <c r="BE62" s="94"/>
      <c r="BF62" s="94"/>
      <c r="BG62" s="95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</row>
    <row r="63" spans="1:109" ht="3.75" customHeight="1" x14ac:dyDescent="0.25">
      <c r="A63" s="64"/>
      <c r="B63" s="64"/>
      <c r="C63" s="62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</row>
    <row r="64" spans="1:109" s="2" customFormat="1" ht="21.75" customHeight="1" x14ac:dyDescent="0.25">
      <c r="A64" s="167" t="s">
        <v>226</v>
      </c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  <c r="BK64" s="168"/>
      <c r="BL64" s="168"/>
      <c r="BM64" s="168"/>
      <c r="BN64" s="168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</row>
    <row r="65" ht="3" customHeight="1" x14ac:dyDescent="0.25"/>
  </sheetData>
  <mergeCells count="164">
    <mergeCell ref="BH58:CL58"/>
    <mergeCell ref="BH59:CL59"/>
    <mergeCell ref="BH56:CL56"/>
    <mergeCell ref="BH57:CL57"/>
    <mergeCell ref="BH39:BS39"/>
    <mergeCell ref="BT39:CL39"/>
    <mergeCell ref="A5:AZ6"/>
    <mergeCell ref="A2:DE2"/>
    <mergeCell ref="BA7:BG7"/>
    <mergeCell ref="BH7:BS7"/>
    <mergeCell ref="BT7:CL7"/>
    <mergeCell ref="BA5:BG6"/>
    <mergeCell ref="BH5:BS6"/>
    <mergeCell ref="BT5:DE5"/>
    <mergeCell ref="A7:AZ7"/>
    <mergeCell ref="BT6:CL6"/>
    <mergeCell ref="CM6:DE6"/>
    <mergeCell ref="CM7:DE7"/>
    <mergeCell ref="CM17:DE19"/>
    <mergeCell ref="BT36:CL38"/>
    <mergeCell ref="BH16:BS16"/>
    <mergeCell ref="BH24:BS26"/>
    <mergeCell ref="BT24:CL26"/>
    <mergeCell ref="AC28:AQ28"/>
    <mergeCell ref="BA27:BG29"/>
    <mergeCell ref="BH27:BS29"/>
    <mergeCell ref="BT27:CL29"/>
    <mergeCell ref="CM24:DE26"/>
    <mergeCell ref="AC25:AQ25"/>
    <mergeCell ref="G24:AY24"/>
    <mergeCell ref="BA24:BG26"/>
    <mergeCell ref="A8:AZ8"/>
    <mergeCell ref="BA8:BG11"/>
    <mergeCell ref="BH8:BS11"/>
    <mergeCell ref="BT8:CL11"/>
    <mergeCell ref="CM8:DE11"/>
    <mergeCell ref="P10:AD10"/>
    <mergeCell ref="CM27:DE29"/>
    <mergeCell ref="CM36:DE38"/>
    <mergeCell ref="BA30:BG32"/>
    <mergeCell ref="BH30:BS32"/>
    <mergeCell ref="BH44:BS47"/>
    <mergeCell ref="BT44:CL47"/>
    <mergeCell ref="BT52:CL52"/>
    <mergeCell ref="B50:AY50"/>
    <mergeCell ref="BT48:CL48"/>
    <mergeCell ref="CM44:DE47"/>
    <mergeCell ref="AF45:AJ45"/>
    <mergeCell ref="B17:AZ17"/>
    <mergeCell ref="BA17:BG19"/>
    <mergeCell ref="BH17:BS19"/>
    <mergeCell ref="BH51:BS51"/>
    <mergeCell ref="BT51:CL51"/>
    <mergeCell ref="BT17:CL19"/>
    <mergeCell ref="BH20:BS23"/>
    <mergeCell ref="BT20:CL23"/>
    <mergeCell ref="BA20:BG23"/>
    <mergeCell ref="BH36:BS38"/>
    <mergeCell ref="CM39:DE39"/>
    <mergeCell ref="B40:AY40"/>
    <mergeCell ref="BA40:BG40"/>
    <mergeCell ref="BH40:BS40"/>
    <mergeCell ref="BT40:CL40"/>
    <mergeCell ref="CM40:DE40"/>
    <mergeCell ref="B39:AY39"/>
    <mergeCell ref="BA16:BG16"/>
    <mergeCell ref="CM20:DE23"/>
    <mergeCell ref="BT16:CL16"/>
    <mergeCell ref="CM16:DE16"/>
    <mergeCell ref="G12:AY12"/>
    <mergeCell ref="BA12:BG14"/>
    <mergeCell ref="BH12:BS14"/>
    <mergeCell ref="BT12:CL14"/>
    <mergeCell ref="G16:AY16"/>
    <mergeCell ref="CM15:DE15"/>
    <mergeCell ref="B15:AY15"/>
    <mergeCell ref="BA15:BG15"/>
    <mergeCell ref="BT15:CL15"/>
    <mergeCell ref="CM12:DE14"/>
    <mergeCell ref="U13:AI13"/>
    <mergeCell ref="BH15:BS15"/>
    <mergeCell ref="CM30:DE32"/>
    <mergeCell ref="BA42:BG42"/>
    <mergeCell ref="BH42:BS42"/>
    <mergeCell ref="BT42:CL42"/>
    <mergeCell ref="CM42:DE42"/>
    <mergeCell ref="CM41:DE41"/>
    <mergeCell ref="B30:AZ30"/>
    <mergeCell ref="X18:AI18"/>
    <mergeCell ref="X22:AL22"/>
    <mergeCell ref="G27:AY27"/>
    <mergeCell ref="BA39:BG39"/>
    <mergeCell ref="B21:AY21"/>
    <mergeCell ref="G36:AY36"/>
    <mergeCell ref="AD45:AE45"/>
    <mergeCell ref="X31:AL31"/>
    <mergeCell ref="G33:AY33"/>
    <mergeCell ref="AK45:AW45"/>
    <mergeCell ref="AC37:AQ37"/>
    <mergeCell ref="D20:AY20"/>
    <mergeCell ref="CM48:DE48"/>
    <mergeCell ref="B48:AY48"/>
    <mergeCell ref="BA48:BG48"/>
    <mergeCell ref="BH48:BS48"/>
    <mergeCell ref="B41:AY41"/>
    <mergeCell ref="BA41:BG41"/>
    <mergeCell ref="BH41:BS41"/>
    <mergeCell ref="B42:AY42"/>
    <mergeCell ref="AK46:AW46"/>
    <mergeCell ref="B47:AY47"/>
    <mergeCell ref="B43:AY43"/>
    <mergeCell ref="BA43:BG43"/>
    <mergeCell ref="BH43:BS43"/>
    <mergeCell ref="BA36:BG38"/>
    <mergeCell ref="BT41:CL41"/>
    <mergeCell ref="BT30:CL32"/>
    <mergeCell ref="L61:AY61"/>
    <mergeCell ref="L62:AY62"/>
    <mergeCell ref="A64:DE64"/>
    <mergeCell ref="BA33:BG35"/>
    <mergeCell ref="BH33:BS35"/>
    <mergeCell ref="BT33:CL35"/>
    <mergeCell ref="CM33:DE35"/>
    <mergeCell ref="BA62:BG62"/>
    <mergeCell ref="BH61:CL61"/>
    <mergeCell ref="BH62:CL62"/>
    <mergeCell ref="BH60:CL60"/>
    <mergeCell ref="BA61:BG61"/>
    <mergeCell ref="B49:AY49"/>
    <mergeCell ref="BA49:BG49"/>
    <mergeCell ref="BH49:BS49"/>
    <mergeCell ref="BT49:CL49"/>
    <mergeCell ref="CM49:DE49"/>
    <mergeCell ref="CM51:DE51"/>
    <mergeCell ref="BA50:BG50"/>
    <mergeCell ref="BH50:BS50"/>
    <mergeCell ref="BT50:CL50"/>
    <mergeCell ref="B51:AY51"/>
    <mergeCell ref="BA51:BG51"/>
    <mergeCell ref="B53:AY53"/>
    <mergeCell ref="CM50:DE50"/>
    <mergeCell ref="AC34:AQ34"/>
    <mergeCell ref="BA59:BG59"/>
    <mergeCell ref="BA60:BG60"/>
    <mergeCell ref="BA56:BG56"/>
    <mergeCell ref="A56:AZ56"/>
    <mergeCell ref="BA57:BG57"/>
    <mergeCell ref="BA58:BG58"/>
    <mergeCell ref="A57:AZ57"/>
    <mergeCell ref="L58:AY58"/>
    <mergeCell ref="L59:AY59"/>
    <mergeCell ref="L60:AY60"/>
    <mergeCell ref="BA53:BG53"/>
    <mergeCell ref="BH53:BS53"/>
    <mergeCell ref="BT53:CL53"/>
    <mergeCell ref="CM53:DE53"/>
    <mergeCell ref="B52:AY52"/>
    <mergeCell ref="BA52:BG52"/>
    <mergeCell ref="BH52:BS52"/>
    <mergeCell ref="BT43:CL43"/>
    <mergeCell ref="CM43:DE43"/>
    <mergeCell ref="CM52:DE52"/>
    <mergeCell ref="A44:AZ44"/>
    <mergeCell ref="BA44:BG47"/>
  </mergeCells>
  <phoneticPr fontId="7" type="noConversion"/>
  <pageMargins left="0.78740157480314965" right="0.19685039370078741" top="0.47244094488188981" bottom="0.31496062992125984" header="0.19685039370078741" footer="0.1968503937007874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38"/>
  <sheetViews>
    <sheetView zoomScaleNormal="100" workbookViewId="0">
      <selection sqref="A1:DC1"/>
    </sheetView>
  </sheetViews>
  <sheetFormatPr defaultColWidth="0.77734375" defaultRowHeight="13.2" x14ac:dyDescent="0.25"/>
  <cols>
    <col min="1" max="16384" width="0.77734375" style="1"/>
  </cols>
  <sheetData>
    <row r="1" spans="1:107" x14ac:dyDescent="0.25">
      <c r="A1" s="189" t="s">
        <v>47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168"/>
      <c r="BP1" s="168"/>
      <c r="BQ1" s="168"/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168"/>
      <c r="CC1" s="168"/>
      <c r="CD1" s="168"/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168"/>
      <c r="CP1" s="168"/>
      <c r="CQ1" s="168"/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168"/>
      <c r="DC1" s="168"/>
    </row>
    <row r="2" spans="1:107" x14ac:dyDescent="0.25">
      <c r="A2" s="189" t="s">
        <v>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  <c r="CI2" s="168"/>
      <c r="CJ2" s="168"/>
      <c r="CK2" s="168"/>
      <c r="CL2" s="168"/>
      <c r="CM2" s="168"/>
      <c r="CN2" s="168"/>
      <c r="CO2" s="168"/>
      <c r="CP2" s="168"/>
      <c r="CQ2" s="168"/>
      <c r="CR2" s="168"/>
      <c r="CS2" s="168"/>
      <c r="CT2" s="168"/>
      <c r="CU2" s="168"/>
      <c r="CV2" s="168"/>
      <c r="CW2" s="168"/>
      <c r="CX2" s="168"/>
      <c r="CY2" s="168"/>
      <c r="CZ2" s="168"/>
      <c r="DA2" s="168"/>
      <c r="DB2" s="168"/>
      <c r="DC2" s="168"/>
    </row>
    <row r="3" spans="1:107" x14ac:dyDescent="0.25">
      <c r="A3" s="189" t="s">
        <v>48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  <c r="BL3" s="168"/>
      <c r="BM3" s="168"/>
      <c r="BN3" s="168"/>
      <c r="BO3" s="168"/>
      <c r="BP3" s="168"/>
      <c r="BQ3" s="168"/>
      <c r="BR3" s="168"/>
      <c r="BS3" s="168"/>
      <c r="BT3" s="168"/>
      <c r="BU3" s="168"/>
      <c r="BV3" s="168"/>
      <c r="BW3" s="168"/>
      <c r="BX3" s="168"/>
      <c r="BY3" s="168"/>
      <c r="BZ3" s="168"/>
      <c r="CA3" s="168"/>
      <c r="CB3" s="168"/>
      <c r="CC3" s="168"/>
      <c r="CD3" s="168"/>
      <c r="CE3" s="168"/>
      <c r="CF3" s="168"/>
      <c r="CG3" s="168"/>
      <c r="CH3" s="168"/>
      <c r="CI3" s="168"/>
      <c r="CJ3" s="168"/>
      <c r="CK3" s="168"/>
      <c r="CL3" s="168"/>
      <c r="CM3" s="168"/>
      <c r="CN3" s="168"/>
      <c r="CO3" s="168"/>
      <c r="CP3" s="168"/>
      <c r="CQ3" s="168"/>
      <c r="CR3" s="168"/>
      <c r="CS3" s="168"/>
      <c r="CT3" s="168"/>
      <c r="CU3" s="168"/>
      <c r="CV3" s="168"/>
      <c r="CW3" s="168"/>
      <c r="CX3" s="168"/>
      <c r="CY3" s="168"/>
      <c r="CZ3" s="168"/>
      <c r="DA3" s="168"/>
      <c r="DB3" s="168"/>
      <c r="DC3" s="168"/>
    </row>
    <row r="6" spans="1:107" x14ac:dyDescent="0.25">
      <c r="CO6" s="12" t="s">
        <v>49</v>
      </c>
      <c r="CR6" s="197"/>
      <c r="CS6" s="198"/>
      <c r="CT6" s="198"/>
      <c r="CU6" s="199"/>
      <c r="CV6" s="197"/>
      <c r="CW6" s="198"/>
      <c r="CX6" s="198"/>
      <c r="CY6" s="199"/>
      <c r="CZ6" s="197"/>
      <c r="DA6" s="198"/>
      <c r="DB6" s="198"/>
      <c r="DC6" s="199"/>
    </row>
    <row r="8" spans="1:107" s="14" customFormat="1" ht="12" x14ac:dyDescent="0.25">
      <c r="DC8" s="44" t="s">
        <v>50</v>
      </c>
    </row>
    <row r="9" spans="1:107" s="14" customFormat="1" ht="2.25" customHeight="1" x14ac:dyDescent="0.25">
      <c r="DC9" s="15"/>
    </row>
    <row r="10" spans="1:107" x14ac:dyDescent="0.25">
      <c r="A10" s="197" t="s">
        <v>6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9"/>
      <c r="AZ10" s="197" t="s">
        <v>5</v>
      </c>
      <c r="BA10" s="198"/>
      <c r="BB10" s="198"/>
      <c r="BC10" s="198"/>
      <c r="BD10" s="198"/>
      <c r="BE10" s="198"/>
      <c r="BF10" s="198"/>
      <c r="BG10" s="198"/>
      <c r="BH10" s="198"/>
      <c r="BI10" s="198"/>
      <c r="BJ10" s="199"/>
      <c r="BK10" s="197" t="s">
        <v>4</v>
      </c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8"/>
      <c r="CD10" s="198"/>
      <c r="CE10" s="198"/>
      <c r="CF10" s="198"/>
      <c r="CG10" s="198"/>
      <c r="CH10" s="198"/>
      <c r="CI10" s="198"/>
      <c r="CJ10" s="198"/>
      <c r="CK10" s="198"/>
      <c r="CL10" s="198"/>
      <c r="CM10" s="198"/>
      <c r="CN10" s="198"/>
      <c r="CO10" s="198"/>
      <c r="CP10" s="198"/>
      <c r="CQ10" s="198"/>
      <c r="CR10" s="198"/>
      <c r="CS10" s="198"/>
      <c r="CT10" s="198"/>
      <c r="CU10" s="198"/>
      <c r="CV10" s="198"/>
      <c r="CW10" s="198"/>
      <c r="CX10" s="198"/>
      <c r="CY10" s="198"/>
      <c r="CZ10" s="198"/>
      <c r="DA10" s="198"/>
      <c r="DB10" s="198"/>
      <c r="DC10" s="199"/>
    </row>
    <row r="11" spans="1:107" x14ac:dyDescent="0.25">
      <c r="A11" s="197">
        <v>1</v>
      </c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8"/>
      <c r="AU11" s="198"/>
      <c r="AV11" s="198"/>
      <c r="AW11" s="198"/>
      <c r="AX11" s="198"/>
      <c r="AY11" s="199"/>
      <c r="AZ11" s="197">
        <v>2</v>
      </c>
      <c r="BA11" s="198"/>
      <c r="BB11" s="198"/>
      <c r="BC11" s="198"/>
      <c r="BD11" s="198"/>
      <c r="BE11" s="198"/>
      <c r="BF11" s="198"/>
      <c r="BG11" s="198"/>
      <c r="BH11" s="198"/>
      <c r="BI11" s="198"/>
      <c r="BJ11" s="199"/>
      <c r="BK11" s="197">
        <v>3</v>
      </c>
      <c r="BL11" s="198"/>
      <c r="BM11" s="198"/>
      <c r="BN11" s="198"/>
      <c r="BO11" s="198"/>
      <c r="BP11" s="198"/>
      <c r="BQ11" s="198"/>
      <c r="BR11" s="198"/>
      <c r="BS11" s="198"/>
      <c r="BT11" s="198"/>
      <c r="BU11" s="198"/>
      <c r="BV11" s="198"/>
      <c r="BW11" s="198"/>
      <c r="BX11" s="198"/>
      <c r="BY11" s="198"/>
      <c r="BZ11" s="198"/>
      <c r="CA11" s="198"/>
      <c r="CB11" s="198"/>
      <c r="CC11" s="198"/>
      <c r="CD11" s="198"/>
      <c r="CE11" s="198"/>
      <c r="CF11" s="198"/>
      <c r="CG11" s="198"/>
      <c r="CH11" s="198"/>
      <c r="CI11" s="198"/>
      <c r="CJ11" s="198"/>
      <c r="CK11" s="198"/>
      <c r="CL11" s="198"/>
      <c r="CM11" s="198"/>
      <c r="CN11" s="198"/>
      <c r="CO11" s="198"/>
      <c r="CP11" s="198"/>
      <c r="CQ11" s="198"/>
      <c r="CR11" s="198"/>
      <c r="CS11" s="198"/>
      <c r="CT11" s="198"/>
      <c r="CU11" s="198"/>
      <c r="CV11" s="198"/>
      <c r="CW11" s="198"/>
      <c r="CX11" s="198"/>
      <c r="CY11" s="198"/>
      <c r="CZ11" s="198"/>
      <c r="DA11" s="198"/>
      <c r="DB11" s="198"/>
      <c r="DC11" s="199"/>
    </row>
    <row r="12" spans="1:107" x14ac:dyDescent="0.25">
      <c r="A12" s="13"/>
      <c r="B12" s="206" t="s">
        <v>51</v>
      </c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AY12" s="207"/>
      <c r="AZ12" s="197">
        <v>1</v>
      </c>
      <c r="BA12" s="198"/>
      <c r="BB12" s="198"/>
      <c r="BC12" s="198"/>
      <c r="BD12" s="198"/>
      <c r="BE12" s="198"/>
      <c r="BF12" s="198"/>
      <c r="BG12" s="198"/>
      <c r="BH12" s="198"/>
      <c r="BI12" s="198"/>
      <c r="BJ12" s="199"/>
      <c r="BK12" s="197"/>
      <c r="BL12" s="198"/>
      <c r="BM12" s="198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8"/>
      <c r="CE12" s="198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  <c r="CS12" s="198"/>
      <c r="CT12" s="198"/>
      <c r="CU12" s="198"/>
      <c r="CV12" s="198"/>
      <c r="CW12" s="198"/>
      <c r="CX12" s="198"/>
      <c r="CY12" s="198"/>
      <c r="CZ12" s="198"/>
      <c r="DA12" s="198"/>
      <c r="DB12" s="198"/>
      <c r="DC12" s="199"/>
    </row>
    <row r="13" spans="1:107" ht="25.5" customHeight="1" x14ac:dyDescent="0.25">
      <c r="A13" s="13"/>
      <c r="B13" s="208" t="s">
        <v>135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10"/>
      <c r="AZ13" s="197">
        <v>2</v>
      </c>
      <c r="BA13" s="198"/>
      <c r="BB13" s="198"/>
      <c r="BC13" s="198"/>
      <c r="BD13" s="198"/>
      <c r="BE13" s="198"/>
      <c r="BF13" s="198"/>
      <c r="BG13" s="198"/>
      <c r="BH13" s="198"/>
      <c r="BI13" s="198"/>
      <c r="BJ13" s="199"/>
      <c r="BK13" s="197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9"/>
    </row>
    <row r="14" spans="1:107" x14ac:dyDescent="0.25">
      <c r="A14" s="13"/>
      <c r="B14" s="206" t="s">
        <v>52</v>
      </c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6"/>
      <c r="AM14" s="206"/>
      <c r="AN14" s="206"/>
      <c r="AO14" s="206"/>
      <c r="AP14" s="206"/>
      <c r="AQ14" s="206"/>
      <c r="AR14" s="206"/>
      <c r="AS14" s="206"/>
      <c r="AT14" s="206"/>
      <c r="AU14" s="206"/>
      <c r="AV14" s="206"/>
      <c r="AW14" s="206"/>
      <c r="AX14" s="206"/>
      <c r="AY14" s="207"/>
      <c r="AZ14" s="197">
        <v>3</v>
      </c>
      <c r="BA14" s="198"/>
      <c r="BB14" s="198"/>
      <c r="BC14" s="198"/>
      <c r="BD14" s="198"/>
      <c r="BE14" s="198"/>
      <c r="BF14" s="198"/>
      <c r="BG14" s="198"/>
      <c r="BH14" s="198"/>
      <c r="BI14" s="198"/>
      <c r="BJ14" s="199"/>
      <c r="BK14" s="197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8"/>
      <c r="CE14" s="198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199"/>
    </row>
    <row r="21" spans="1:107" x14ac:dyDescent="0.25">
      <c r="A21" s="189" t="s">
        <v>53</v>
      </c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</row>
    <row r="23" spans="1:107" s="14" customFormat="1" ht="12" x14ac:dyDescent="0.25">
      <c r="DC23" s="44" t="s">
        <v>54</v>
      </c>
    </row>
    <row r="24" spans="1:107" s="14" customFormat="1" ht="2.25" customHeight="1" x14ac:dyDescent="0.25">
      <c r="DC24" s="15"/>
    </row>
    <row r="25" spans="1:107" ht="27.75" customHeight="1" x14ac:dyDescent="0.25">
      <c r="A25" s="197"/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9"/>
      <c r="AK25" s="211" t="s">
        <v>27</v>
      </c>
      <c r="AL25" s="212"/>
      <c r="AM25" s="212"/>
      <c r="AN25" s="212"/>
      <c r="AO25" s="212"/>
      <c r="AP25" s="212"/>
      <c r="AQ25" s="213"/>
      <c r="AR25" s="179" t="s">
        <v>10</v>
      </c>
      <c r="AS25" s="180"/>
      <c r="AT25" s="180"/>
      <c r="AU25" s="180"/>
      <c r="AV25" s="180"/>
      <c r="AW25" s="180"/>
      <c r="AX25" s="180"/>
      <c r="AY25" s="180"/>
      <c r="AZ25" s="181"/>
      <c r="BB25" s="20"/>
      <c r="BD25" s="197"/>
      <c r="BE25" s="198"/>
      <c r="BF25" s="198"/>
      <c r="BG25" s="198"/>
      <c r="BH25" s="198"/>
      <c r="BI25" s="198"/>
      <c r="BJ25" s="198"/>
      <c r="BK25" s="198"/>
      <c r="BL25" s="198"/>
      <c r="BM25" s="198"/>
      <c r="BN25" s="198"/>
      <c r="BO25" s="198"/>
      <c r="BP25" s="198"/>
      <c r="BQ25" s="198"/>
      <c r="BR25" s="198"/>
      <c r="BS25" s="198"/>
      <c r="BT25" s="198"/>
      <c r="BU25" s="198"/>
      <c r="BV25" s="198"/>
      <c r="BW25" s="198"/>
      <c r="BX25" s="198"/>
      <c r="BY25" s="198"/>
      <c r="BZ25" s="198"/>
      <c r="CA25" s="198"/>
      <c r="CB25" s="198"/>
      <c r="CC25" s="198"/>
      <c r="CD25" s="198"/>
      <c r="CE25" s="198"/>
      <c r="CF25" s="198"/>
      <c r="CG25" s="198"/>
      <c r="CH25" s="198"/>
      <c r="CI25" s="198"/>
      <c r="CJ25" s="198"/>
      <c r="CK25" s="198"/>
      <c r="CL25" s="198"/>
      <c r="CM25" s="199"/>
      <c r="CN25" s="211" t="s">
        <v>27</v>
      </c>
      <c r="CO25" s="212"/>
      <c r="CP25" s="212"/>
      <c r="CQ25" s="212"/>
      <c r="CR25" s="212"/>
      <c r="CS25" s="212"/>
      <c r="CT25" s="213"/>
      <c r="CU25" s="179" t="s">
        <v>10</v>
      </c>
      <c r="CV25" s="180"/>
      <c r="CW25" s="180"/>
      <c r="CX25" s="180"/>
      <c r="CY25" s="180"/>
      <c r="CZ25" s="180"/>
      <c r="DA25" s="180"/>
      <c r="DB25" s="180"/>
      <c r="DC25" s="181"/>
    </row>
    <row r="26" spans="1:107" x14ac:dyDescent="0.25">
      <c r="A26" s="197">
        <v>1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9"/>
      <c r="AK26" s="197">
        <v>2</v>
      </c>
      <c r="AL26" s="198"/>
      <c r="AM26" s="198"/>
      <c r="AN26" s="198"/>
      <c r="AO26" s="198"/>
      <c r="AP26" s="198"/>
      <c r="AQ26" s="199"/>
      <c r="AR26" s="197">
        <v>3</v>
      </c>
      <c r="AS26" s="198"/>
      <c r="AT26" s="198"/>
      <c r="AU26" s="198"/>
      <c r="AV26" s="198"/>
      <c r="AW26" s="198"/>
      <c r="AX26" s="198"/>
      <c r="AY26" s="198"/>
      <c r="AZ26" s="199"/>
      <c r="BD26" s="197">
        <v>1</v>
      </c>
      <c r="BE26" s="198"/>
      <c r="BF26" s="198"/>
      <c r="BG26" s="198"/>
      <c r="BH26" s="198"/>
      <c r="BI26" s="198"/>
      <c r="BJ26" s="198"/>
      <c r="BK26" s="198"/>
      <c r="BL26" s="198"/>
      <c r="BM26" s="198"/>
      <c r="BN26" s="198"/>
      <c r="BO26" s="198"/>
      <c r="BP26" s="198"/>
      <c r="BQ26" s="198"/>
      <c r="BR26" s="198"/>
      <c r="BS26" s="198"/>
      <c r="BT26" s="198"/>
      <c r="BU26" s="198"/>
      <c r="BV26" s="198"/>
      <c r="BW26" s="198"/>
      <c r="BX26" s="198"/>
      <c r="BY26" s="198"/>
      <c r="BZ26" s="198"/>
      <c r="CA26" s="198"/>
      <c r="CB26" s="198"/>
      <c r="CC26" s="198"/>
      <c r="CD26" s="198"/>
      <c r="CE26" s="198"/>
      <c r="CF26" s="198"/>
      <c r="CG26" s="198"/>
      <c r="CH26" s="198"/>
      <c r="CI26" s="198"/>
      <c r="CJ26" s="198"/>
      <c r="CK26" s="198"/>
      <c r="CL26" s="198"/>
      <c r="CM26" s="199"/>
      <c r="CN26" s="197">
        <v>2</v>
      </c>
      <c r="CO26" s="198"/>
      <c r="CP26" s="198"/>
      <c r="CQ26" s="198"/>
      <c r="CR26" s="198"/>
      <c r="CS26" s="198"/>
      <c r="CT26" s="199"/>
      <c r="CU26" s="197">
        <v>3</v>
      </c>
      <c r="CV26" s="198"/>
      <c r="CW26" s="198"/>
      <c r="CX26" s="198"/>
      <c r="CY26" s="198"/>
      <c r="CZ26" s="198"/>
      <c r="DA26" s="198"/>
      <c r="DB26" s="198"/>
      <c r="DC26" s="199"/>
    </row>
    <row r="27" spans="1:107" ht="32.25" customHeight="1" x14ac:dyDescent="0.25">
      <c r="A27" s="4"/>
      <c r="B27" s="196" t="s">
        <v>130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6"/>
      <c r="AK27" s="197">
        <v>1</v>
      </c>
      <c r="AL27" s="198"/>
      <c r="AM27" s="198"/>
      <c r="AN27" s="198"/>
      <c r="AO27" s="198"/>
      <c r="AP27" s="198"/>
      <c r="AQ27" s="199"/>
      <c r="AR27" s="197"/>
      <c r="AS27" s="198"/>
      <c r="AT27" s="198"/>
      <c r="AU27" s="198"/>
      <c r="AV27" s="198"/>
      <c r="AW27" s="198"/>
      <c r="AX27" s="198"/>
      <c r="AY27" s="198"/>
      <c r="AZ27" s="199"/>
      <c r="BD27" s="4"/>
      <c r="BE27" s="196" t="s">
        <v>19</v>
      </c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6"/>
      <c r="CN27" s="197">
        <v>5</v>
      </c>
      <c r="CO27" s="198"/>
      <c r="CP27" s="198"/>
      <c r="CQ27" s="198"/>
      <c r="CR27" s="198"/>
      <c r="CS27" s="198"/>
      <c r="CT27" s="199"/>
      <c r="CU27" s="197"/>
      <c r="CV27" s="198"/>
      <c r="CW27" s="198"/>
      <c r="CX27" s="198"/>
      <c r="CY27" s="198"/>
      <c r="CZ27" s="198"/>
      <c r="DA27" s="198"/>
      <c r="DB27" s="198"/>
      <c r="DC27" s="199"/>
    </row>
    <row r="28" spans="1:107" ht="52.5" customHeight="1" x14ac:dyDescent="0.25">
      <c r="A28" s="9"/>
      <c r="B28" s="214" t="s">
        <v>136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42"/>
      <c r="AK28" s="203">
        <v>2</v>
      </c>
      <c r="AL28" s="204"/>
      <c r="AM28" s="204"/>
      <c r="AN28" s="204"/>
      <c r="AO28" s="204"/>
      <c r="AP28" s="204"/>
      <c r="AQ28" s="205"/>
      <c r="AR28" s="203"/>
      <c r="AS28" s="204"/>
      <c r="AT28" s="204"/>
      <c r="AU28" s="204"/>
      <c r="AV28" s="204"/>
      <c r="AW28" s="204"/>
      <c r="AX28" s="204"/>
      <c r="AY28" s="204"/>
      <c r="AZ28" s="205"/>
      <c r="BD28" s="4"/>
      <c r="BE28" s="196" t="s">
        <v>21</v>
      </c>
      <c r="BF28" s="196"/>
      <c r="BG28" s="196"/>
      <c r="BH28" s="196"/>
      <c r="BI28" s="196"/>
      <c r="BJ28" s="196"/>
      <c r="BK28" s="196"/>
      <c r="BL28" s="196"/>
      <c r="BM28" s="196"/>
      <c r="BN28" s="196"/>
      <c r="BO28" s="196"/>
      <c r="BP28" s="196"/>
      <c r="BQ28" s="196"/>
      <c r="BR28" s="196"/>
      <c r="BS28" s="196"/>
      <c r="BT28" s="196"/>
      <c r="BU28" s="196"/>
      <c r="BV28" s="196"/>
      <c r="BW28" s="196"/>
      <c r="BX28" s="196"/>
      <c r="BY28" s="196"/>
      <c r="BZ28" s="196"/>
      <c r="CA28" s="196"/>
      <c r="CB28" s="196"/>
      <c r="CC28" s="196"/>
      <c r="CD28" s="196"/>
      <c r="CE28" s="196"/>
      <c r="CF28" s="196"/>
      <c r="CG28" s="196"/>
      <c r="CH28" s="196"/>
      <c r="CI28" s="196"/>
      <c r="CJ28" s="196"/>
      <c r="CK28" s="196"/>
      <c r="CL28" s="196"/>
      <c r="CM28" s="7"/>
      <c r="CN28" s="200">
        <v>6</v>
      </c>
      <c r="CO28" s="201"/>
      <c r="CP28" s="201"/>
      <c r="CQ28" s="201"/>
      <c r="CR28" s="201"/>
      <c r="CS28" s="201"/>
      <c r="CT28" s="202"/>
      <c r="CU28" s="200"/>
      <c r="CV28" s="201"/>
      <c r="CW28" s="201"/>
      <c r="CX28" s="201"/>
      <c r="CY28" s="201"/>
      <c r="CZ28" s="201"/>
      <c r="DA28" s="201"/>
      <c r="DB28" s="201"/>
      <c r="DC28" s="202"/>
    </row>
    <row r="29" spans="1:107" ht="39" customHeight="1" x14ac:dyDescent="0.25">
      <c r="A29" s="4"/>
      <c r="B29" s="196" t="s">
        <v>55</v>
      </c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6"/>
      <c r="AK29" s="200">
        <v>3</v>
      </c>
      <c r="AL29" s="201"/>
      <c r="AM29" s="201"/>
      <c r="AN29" s="201"/>
      <c r="AO29" s="201"/>
      <c r="AP29" s="201"/>
      <c r="AQ29" s="202"/>
      <c r="AR29" s="200"/>
      <c r="AS29" s="201"/>
      <c r="AT29" s="201"/>
      <c r="AU29" s="201"/>
      <c r="AV29" s="201"/>
      <c r="AW29" s="201"/>
      <c r="AX29" s="201"/>
      <c r="AY29" s="201"/>
      <c r="AZ29" s="202"/>
      <c r="BD29" s="4"/>
      <c r="BE29" s="196" t="s">
        <v>56</v>
      </c>
      <c r="BF29" s="196"/>
      <c r="BG29" s="196"/>
      <c r="BH29" s="196"/>
      <c r="BI29" s="196"/>
      <c r="BJ29" s="196"/>
      <c r="BK29" s="196"/>
      <c r="BL29" s="196"/>
      <c r="BM29" s="196"/>
      <c r="BN29" s="196"/>
      <c r="BO29" s="196"/>
      <c r="BP29" s="196"/>
      <c r="BQ29" s="196"/>
      <c r="BR29" s="196"/>
      <c r="BS29" s="196"/>
      <c r="BT29" s="196"/>
      <c r="BU29" s="196"/>
      <c r="BV29" s="196"/>
      <c r="BW29" s="196"/>
      <c r="BX29" s="196"/>
      <c r="BY29" s="196"/>
      <c r="BZ29" s="196"/>
      <c r="CA29" s="196"/>
      <c r="CB29" s="196"/>
      <c r="CC29" s="196"/>
      <c r="CD29" s="196"/>
      <c r="CE29" s="196"/>
      <c r="CF29" s="196"/>
      <c r="CG29" s="196"/>
      <c r="CH29" s="196"/>
      <c r="CI29" s="196"/>
      <c r="CJ29" s="196"/>
      <c r="CK29" s="196"/>
      <c r="CL29" s="196"/>
      <c r="CM29" s="43"/>
      <c r="CN29" s="200">
        <v>7</v>
      </c>
      <c r="CO29" s="201"/>
      <c r="CP29" s="201"/>
      <c r="CQ29" s="201"/>
      <c r="CR29" s="201"/>
      <c r="CS29" s="201"/>
      <c r="CT29" s="202"/>
      <c r="CU29" s="200"/>
      <c r="CV29" s="201"/>
      <c r="CW29" s="201"/>
      <c r="CX29" s="201"/>
      <c r="CY29" s="201"/>
      <c r="CZ29" s="201"/>
      <c r="DA29" s="201"/>
      <c r="DB29" s="201"/>
      <c r="DC29" s="202"/>
    </row>
    <row r="30" spans="1:107" ht="39" customHeight="1" x14ac:dyDescent="0.25">
      <c r="A30" s="4"/>
      <c r="B30" s="215" t="s">
        <v>15</v>
      </c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6"/>
      <c r="AK30" s="197">
        <v>4</v>
      </c>
      <c r="AL30" s="198"/>
      <c r="AM30" s="198"/>
      <c r="AN30" s="198"/>
      <c r="AO30" s="198"/>
      <c r="AP30" s="198"/>
      <c r="AQ30" s="199"/>
      <c r="AR30" s="197"/>
      <c r="AS30" s="198"/>
      <c r="AT30" s="198"/>
      <c r="AU30" s="198"/>
      <c r="AV30" s="198"/>
      <c r="AW30" s="198"/>
      <c r="AX30" s="198"/>
      <c r="AY30" s="198"/>
      <c r="AZ30" s="199"/>
      <c r="BD30" s="4"/>
      <c r="BE30" s="196" t="s">
        <v>57</v>
      </c>
      <c r="BF30" s="196"/>
      <c r="BG30" s="196"/>
      <c r="BH30" s="196"/>
      <c r="BI30" s="196"/>
      <c r="BJ30" s="196"/>
      <c r="BK30" s="196"/>
      <c r="BL30" s="196"/>
      <c r="BM30" s="196"/>
      <c r="BN30" s="196"/>
      <c r="BO30" s="196"/>
      <c r="BP30" s="196"/>
      <c r="BQ30" s="196"/>
      <c r="BR30" s="196"/>
      <c r="BS30" s="196"/>
      <c r="BT30" s="196"/>
      <c r="BU30" s="196"/>
      <c r="BV30" s="196"/>
      <c r="BW30" s="196"/>
      <c r="BX30" s="196"/>
      <c r="BY30" s="196"/>
      <c r="BZ30" s="196"/>
      <c r="CA30" s="196"/>
      <c r="CB30" s="196"/>
      <c r="CC30" s="196"/>
      <c r="CD30" s="196"/>
      <c r="CE30" s="196"/>
      <c r="CF30" s="196"/>
      <c r="CG30" s="196"/>
      <c r="CH30" s="196"/>
      <c r="CI30" s="196"/>
      <c r="CJ30" s="196"/>
      <c r="CK30" s="196"/>
      <c r="CL30" s="196"/>
      <c r="CM30" s="43"/>
      <c r="CN30" s="200">
        <v>8</v>
      </c>
      <c r="CO30" s="201"/>
      <c r="CP30" s="201"/>
      <c r="CQ30" s="201"/>
      <c r="CR30" s="201"/>
      <c r="CS30" s="201"/>
      <c r="CT30" s="202"/>
      <c r="CU30" s="200"/>
      <c r="CV30" s="201"/>
      <c r="CW30" s="201"/>
      <c r="CX30" s="201"/>
      <c r="CY30" s="201"/>
      <c r="CZ30" s="201"/>
      <c r="DA30" s="201"/>
      <c r="DB30" s="201"/>
      <c r="DC30" s="202"/>
    </row>
    <row r="31" spans="1:107" ht="32.25" customHeight="1" x14ac:dyDescent="0.25">
      <c r="BD31" s="4"/>
      <c r="BE31" s="196" t="s">
        <v>131</v>
      </c>
      <c r="BF31" s="196"/>
      <c r="BG31" s="196"/>
      <c r="BH31" s="196"/>
      <c r="BI31" s="196"/>
      <c r="BJ31" s="196"/>
      <c r="BK31" s="196"/>
      <c r="BL31" s="196"/>
      <c r="BM31" s="196"/>
      <c r="BN31" s="196"/>
      <c r="BO31" s="196"/>
      <c r="BP31" s="196"/>
      <c r="BQ31" s="196"/>
      <c r="BR31" s="196"/>
      <c r="BS31" s="196"/>
      <c r="BT31" s="196"/>
      <c r="BU31" s="196"/>
      <c r="BV31" s="196"/>
      <c r="BW31" s="196"/>
      <c r="BX31" s="196"/>
      <c r="BY31" s="196"/>
      <c r="BZ31" s="196"/>
      <c r="CA31" s="196"/>
      <c r="CB31" s="196"/>
      <c r="CC31" s="196"/>
      <c r="CD31" s="196"/>
      <c r="CE31" s="196"/>
      <c r="CF31" s="196"/>
      <c r="CG31" s="196"/>
      <c r="CH31" s="196"/>
      <c r="CI31" s="196"/>
      <c r="CJ31" s="196"/>
      <c r="CK31" s="196"/>
      <c r="CL31" s="196"/>
      <c r="CM31" s="6"/>
      <c r="CN31" s="197">
        <v>9</v>
      </c>
      <c r="CO31" s="198"/>
      <c r="CP31" s="198"/>
      <c r="CQ31" s="198"/>
      <c r="CR31" s="198"/>
      <c r="CS31" s="198"/>
      <c r="CT31" s="199"/>
      <c r="CU31" s="197"/>
      <c r="CV31" s="198"/>
      <c r="CW31" s="198"/>
      <c r="CX31" s="198"/>
      <c r="CY31" s="198"/>
      <c r="CZ31" s="198"/>
      <c r="DA31" s="198"/>
      <c r="DB31" s="198"/>
      <c r="DC31" s="199"/>
    </row>
    <row r="35" spans="1:19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s="2" customFormat="1" ht="10.199999999999999" x14ac:dyDescent="0.2">
      <c r="D36" s="2" t="s">
        <v>37</v>
      </c>
      <c r="F36" s="24" t="s">
        <v>58</v>
      </c>
    </row>
    <row r="37" spans="1:19" s="2" customFormat="1" ht="10.199999999999999" x14ac:dyDescent="0.2">
      <c r="F37" s="24" t="s">
        <v>59</v>
      </c>
    </row>
    <row r="38" spans="1:19" s="2" customFormat="1" ht="10.199999999999999" x14ac:dyDescent="0.2">
      <c r="F38" s="24" t="s">
        <v>60</v>
      </c>
    </row>
  </sheetData>
  <mergeCells count="61">
    <mergeCell ref="B29:AI29"/>
    <mergeCell ref="B28:AI28"/>
    <mergeCell ref="AK28:AQ28"/>
    <mergeCell ref="CU27:DC27"/>
    <mergeCell ref="CU31:DC31"/>
    <mergeCell ref="CU29:DC29"/>
    <mergeCell ref="B30:AI30"/>
    <mergeCell ref="CU30:DC30"/>
    <mergeCell ref="AK29:AQ29"/>
    <mergeCell ref="AR29:AZ29"/>
    <mergeCell ref="BE29:CL29"/>
    <mergeCell ref="AK30:AQ30"/>
    <mergeCell ref="AR30:AZ30"/>
    <mergeCell ref="BE30:CL30"/>
    <mergeCell ref="A10:AY10"/>
    <mergeCell ref="BK10:DC10"/>
    <mergeCell ref="A11:AY11"/>
    <mergeCell ref="AZ11:BJ11"/>
    <mergeCell ref="CU28:DC28"/>
    <mergeCell ref="B27:AI27"/>
    <mergeCell ref="AK27:AQ27"/>
    <mergeCell ref="BK11:DC11"/>
    <mergeCell ref="A1:DC1"/>
    <mergeCell ref="A2:DC2"/>
    <mergeCell ref="A3:DC3"/>
    <mergeCell ref="BD25:CM25"/>
    <mergeCell ref="CN25:CT25"/>
    <mergeCell ref="CU25:DC25"/>
    <mergeCell ref="AZ10:BJ10"/>
    <mergeCell ref="AZ12:BJ12"/>
    <mergeCell ref="BK12:DC12"/>
    <mergeCell ref="CZ6:DC6"/>
    <mergeCell ref="CV6:CY6"/>
    <mergeCell ref="CR6:CU6"/>
    <mergeCell ref="A25:AJ25"/>
    <mergeCell ref="AK25:AQ25"/>
    <mergeCell ref="AR25:AZ25"/>
    <mergeCell ref="B12:AY12"/>
    <mergeCell ref="A21:DC21"/>
    <mergeCell ref="B13:AY13"/>
    <mergeCell ref="AZ13:BJ13"/>
    <mergeCell ref="BK13:DC13"/>
    <mergeCell ref="B14:AY14"/>
    <mergeCell ref="AZ14:BJ14"/>
    <mergeCell ref="BK14:DC14"/>
    <mergeCell ref="CN26:CT26"/>
    <mergeCell ref="CU26:DC26"/>
    <mergeCell ref="A26:AJ26"/>
    <mergeCell ref="AK26:AQ26"/>
    <mergeCell ref="AR26:AZ26"/>
    <mergeCell ref="BD26:CM26"/>
    <mergeCell ref="BE31:CL31"/>
    <mergeCell ref="CN31:CT31"/>
    <mergeCell ref="CN27:CT27"/>
    <mergeCell ref="AR27:AZ27"/>
    <mergeCell ref="BE27:CL27"/>
    <mergeCell ref="CN29:CT29"/>
    <mergeCell ref="AR28:AZ28"/>
    <mergeCell ref="CN30:CT30"/>
    <mergeCell ref="BE28:CL28"/>
    <mergeCell ref="CN28:CT28"/>
  </mergeCells>
  <phoneticPr fontId="7" type="noConversion"/>
  <pageMargins left="0.78740157480314965" right="0.19685039370078741" top="0.59055118110236227" bottom="0.31496062992125984" header="0.19685039370078741" footer="0.1968503937007874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5"/>
  <sheetViews>
    <sheetView topLeftCell="A22" zoomScaleNormal="100" workbookViewId="0">
      <selection activeCell="BC46" sqref="BC46"/>
    </sheetView>
  </sheetViews>
  <sheetFormatPr defaultColWidth="0.77734375" defaultRowHeight="13.2" x14ac:dyDescent="0.25"/>
  <cols>
    <col min="1" max="16384" width="0.77734375" style="1"/>
  </cols>
  <sheetData>
    <row r="1" spans="1:107" x14ac:dyDescent="0.25">
      <c r="A1" s="189" t="s">
        <v>61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168"/>
      <c r="BP1" s="168"/>
      <c r="BQ1" s="168"/>
      <c r="BR1" s="168"/>
      <c r="BS1" s="168"/>
      <c r="BT1" s="168"/>
      <c r="BU1" s="168"/>
      <c r="BV1" s="168"/>
      <c r="BW1" s="168"/>
      <c r="BX1" s="168"/>
      <c r="BY1" s="168"/>
      <c r="BZ1" s="168"/>
      <c r="CA1" s="168"/>
      <c r="CB1" s="168"/>
      <c r="CC1" s="168"/>
      <c r="CD1" s="168"/>
      <c r="CE1" s="168"/>
      <c r="CF1" s="168"/>
      <c r="CG1" s="168"/>
      <c r="CH1" s="168"/>
      <c r="CI1" s="168"/>
      <c r="CJ1" s="168"/>
      <c r="CK1" s="168"/>
      <c r="CL1" s="168"/>
      <c r="CM1" s="168"/>
      <c r="CN1" s="168"/>
      <c r="CO1" s="168"/>
      <c r="CP1" s="168"/>
      <c r="CQ1" s="168"/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168"/>
      <c r="DC1" s="168"/>
    </row>
    <row r="2" spans="1:107" x14ac:dyDescent="0.25">
      <c r="A2" s="189" t="s">
        <v>62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  <c r="CI2" s="168"/>
      <c r="CJ2" s="168"/>
      <c r="CK2" s="168"/>
      <c r="CL2" s="168"/>
      <c r="CM2" s="168"/>
      <c r="CN2" s="168"/>
      <c r="CO2" s="168"/>
      <c r="CP2" s="168"/>
      <c r="CQ2" s="168"/>
      <c r="CR2" s="168"/>
      <c r="CS2" s="168"/>
      <c r="CT2" s="168"/>
      <c r="CU2" s="168"/>
      <c r="CV2" s="168"/>
      <c r="CW2" s="168"/>
      <c r="CX2" s="168"/>
      <c r="CY2" s="168"/>
      <c r="CZ2" s="168"/>
      <c r="DA2" s="168"/>
      <c r="DB2" s="168"/>
      <c r="DC2" s="168"/>
    </row>
    <row r="3" spans="1:107" ht="7.5" customHeight="1" x14ac:dyDescent="0.25"/>
    <row r="4" spans="1:107" ht="19.5" customHeight="1" x14ac:dyDescent="0.25">
      <c r="DC4" s="44" t="s">
        <v>63</v>
      </c>
    </row>
    <row r="5" spans="1:107" ht="3" customHeight="1" x14ac:dyDescent="0.25">
      <c r="DC5" s="44"/>
    </row>
    <row r="6" spans="1:107" ht="12" customHeight="1" x14ac:dyDescent="0.25">
      <c r="A6" s="218" t="s">
        <v>26</v>
      </c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20"/>
      <c r="BD6" s="224" t="s">
        <v>27</v>
      </c>
      <c r="BE6" s="225"/>
      <c r="BF6" s="225"/>
      <c r="BG6" s="225"/>
      <c r="BH6" s="225"/>
      <c r="BI6" s="225"/>
      <c r="BJ6" s="226"/>
      <c r="BK6" s="224" t="s">
        <v>28</v>
      </c>
      <c r="BL6" s="225"/>
      <c r="BM6" s="225"/>
      <c r="BN6" s="225"/>
      <c r="BO6" s="225"/>
      <c r="BP6" s="225"/>
      <c r="BQ6" s="225"/>
      <c r="BR6" s="225"/>
      <c r="BS6" s="225"/>
      <c r="BT6" s="225"/>
      <c r="BU6" s="225"/>
      <c r="BV6" s="226"/>
      <c r="BW6" s="197" t="s">
        <v>29</v>
      </c>
      <c r="BX6" s="198"/>
      <c r="BY6" s="198"/>
      <c r="BZ6" s="198"/>
      <c r="CA6" s="198"/>
      <c r="CB6" s="198"/>
      <c r="CC6" s="198"/>
      <c r="CD6" s="198"/>
      <c r="CE6" s="198"/>
      <c r="CF6" s="198"/>
      <c r="CG6" s="198"/>
      <c r="CH6" s="198"/>
      <c r="CI6" s="198"/>
      <c r="CJ6" s="198"/>
      <c r="CK6" s="198"/>
      <c r="CL6" s="198"/>
      <c r="CM6" s="198"/>
      <c r="CN6" s="198"/>
      <c r="CO6" s="198"/>
      <c r="CP6" s="198"/>
      <c r="CQ6" s="198"/>
      <c r="CR6" s="198"/>
      <c r="CS6" s="198"/>
      <c r="CT6" s="198"/>
      <c r="CU6" s="198"/>
      <c r="CV6" s="198"/>
      <c r="CW6" s="198"/>
      <c r="CX6" s="198"/>
      <c r="CY6" s="198"/>
      <c r="CZ6" s="198"/>
      <c r="DA6" s="198"/>
      <c r="DB6" s="198"/>
      <c r="DC6" s="199"/>
    </row>
    <row r="7" spans="1:107" ht="91.5" customHeight="1" x14ac:dyDescent="0.25">
      <c r="A7" s="221"/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3"/>
      <c r="BD7" s="227"/>
      <c r="BE7" s="228"/>
      <c r="BF7" s="228"/>
      <c r="BG7" s="228"/>
      <c r="BH7" s="228"/>
      <c r="BI7" s="228"/>
      <c r="BJ7" s="229"/>
      <c r="BK7" s="227"/>
      <c r="BL7" s="228"/>
      <c r="BM7" s="228"/>
      <c r="BN7" s="228"/>
      <c r="BO7" s="228"/>
      <c r="BP7" s="228"/>
      <c r="BQ7" s="228"/>
      <c r="BR7" s="228"/>
      <c r="BS7" s="228"/>
      <c r="BT7" s="228"/>
      <c r="BU7" s="228"/>
      <c r="BV7" s="229"/>
      <c r="BW7" s="230" t="s">
        <v>66</v>
      </c>
      <c r="BX7" s="231"/>
      <c r="BY7" s="231"/>
      <c r="BZ7" s="231"/>
      <c r="CA7" s="231"/>
      <c r="CB7" s="231"/>
      <c r="CC7" s="231"/>
      <c r="CD7" s="231"/>
      <c r="CE7" s="231"/>
      <c r="CF7" s="232"/>
      <c r="CG7" s="230" t="s">
        <v>31</v>
      </c>
      <c r="CH7" s="231"/>
      <c r="CI7" s="231"/>
      <c r="CJ7" s="231"/>
      <c r="CK7" s="231"/>
      <c r="CL7" s="231"/>
      <c r="CM7" s="231"/>
      <c r="CN7" s="231"/>
      <c r="CO7" s="231"/>
      <c r="CP7" s="231"/>
      <c r="CQ7" s="231"/>
      <c r="CR7" s="231"/>
      <c r="CS7" s="231"/>
      <c r="CT7" s="231"/>
      <c r="CU7" s="231"/>
      <c r="CV7" s="231"/>
      <c r="CW7" s="231"/>
      <c r="CX7" s="231"/>
      <c r="CY7" s="231"/>
      <c r="CZ7" s="231"/>
      <c r="DA7" s="231"/>
      <c r="DB7" s="231"/>
      <c r="DC7" s="232"/>
    </row>
    <row r="8" spans="1:107" x14ac:dyDescent="0.25">
      <c r="A8" s="197">
        <v>1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9"/>
      <c r="BD8" s="197">
        <v>2</v>
      </c>
      <c r="BE8" s="198"/>
      <c r="BF8" s="198"/>
      <c r="BG8" s="198"/>
      <c r="BH8" s="198"/>
      <c r="BI8" s="198"/>
      <c r="BJ8" s="199"/>
      <c r="BK8" s="197">
        <v>3</v>
      </c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9"/>
      <c r="BW8" s="197">
        <v>4</v>
      </c>
      <c r="BX8" s="198"/>
      <c r="BY8" s="198"/>
      <c r="BZ8" s="198"/>
      <c r="CA8" s="198"/>
      <c r="CB8" s="198"/>
      <c r="CC8" s="198"/>
      <c r="CD8" s="198"/>
      <c r="CE8" s="198"/>
      <c r="CF8" s="199"/>
      <c r="CG8" s="197">
        <v>5</v>
      </c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9"/>
    </row>
    <row r="9" spans="1:107" ht="12.75" customHeight="1" x14ac:dyDescent="0.25">
      <c r="A9" s="203" t="s">
        <v>32</v>
      </c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5"/>
      <c r="BD9" s="203">
        <v>1</v>
      </c>
      <c r="BE9" s="204"/>
      <c r="BF9" s="204"/>
      <c r="BG9" s="204"/>
      <c r="BH9" s="204"/>
      <c r="BI9" s="204"/>
      <c r="BJ9" s="205"/>
      <c r="BK9" s="203"/>
      <c r="BL9" s="204"/>
      <c r="BM9" s="204"/>
      <c r="BN9" s="204"/>
      <c r="BO9" s="204"/>
      <c r="BP9" s="204"/>
      <c r="BQ9" s="204"/>
      <c r="BR9" s="204"/>
      <c r="BS9" s="204"/>
      <c r="BT9" s="204"/>
      <c r="BU9" s="204"/>
      <c r="BV9" s="205"/>
      <c r="BW9" s="203"/>
      <c r="BX9" s="204"/>
      <c r="BY9" s="204"/>
      <c r="BZ9" s="204"/>
      <c r="CA9" s="204"/>
      <c r="CB9" s="204"/>
      <c r="CC9" s="204"/>
      <c r="CD9" s="204"/>
      <c r="CE9" s="204"/>
      <c r="CF9" s="205"/>
      <c r="CG9" s="203"/>
      <c r="CH9" s="204"/>
      <c r="CI9" s="204"/>
      <c r="CJ9" s="204"/>
      <c r="CK9" s="204"/>
      <c r="CL9" s="204"/>
      <c r="CM9" s="204"/>
      <c r="CN9" s="204"/>
      <c r="CO9" s="204"/>
      <c r="CP9" s="204"/>
      <c r="CQ9" s="204"/>
      <c r="CR9" s="204"/>
      <c r="CS9" s="204"/>
      <c r="CT9" s="204"/>
      <c r="CU9" s="204"/>
      <c r="CV9" s="204"/>
      <c r="CW9" s="204"/>
      <c r="CX9" s="204"/>
      <c r="CY9" s="204"/>
      <c r="CZ9" s="204"/>
      <c r="DA9" s="204"/>
      <c r="DB9" s="204"/>
      <c r="DC9" s="205"/>
    </row>
    <row r="10" spans="1:107" ht="12.75" customHeight="1" x14ac:dyDescent="0.25">
      <c r="A10" s="18"/>
      <c r="B10" s="8" t="s">
        <v>33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19"/>
      <c r="BD10" s="233"/>
      <c r="BE10" s="234"/>
      <c r="BF10" s="234"/>
      <c r="BG10" s="234"/>
      <c r="BH10" s="234"/>
      <c r="BI10" s="234"/>
      <c r="BJ10" s="235"/>
      <c r="BK10" s="233"/>
      <c r="BL10" s="234"/>
      <c r="BM10" s="234"/>
      <c r="BN10" s="234"/>
      <c r="BO10" s="234"/>
      <c r="BP10" s="234"/>
      <c r="BQ10" s="234"/>
      <c r="BR10" s="234"/>
      <c r="BS10" s="234"/>
      <c r="BT10" s="234"/>
      <c r="BU10" s="234"/>
      <c r="BV10" s="235"/>
      <c r="BW10" s="233"/>
      <c r="BX10" s="234"/>
      <c r="BY10" s="234"/>
      <c r="BZ10" s="234"/>
      <c r="CA10" s="234"/>
      <c r="CB10" s="234"/>
      <c r="CC10" s="234"/>
      <c r="CD10" s="234"/>
      <c r="CE10" s="234"/>
      <c r="CF10" s="235"/>
      <c r="CG10" s="233"/>
      <c r="CH10" s="234"/>
      <c r="CI10" s="234"/>
      <c r="CJ10" s="234"/>
      <c r="CK10" s="234"/>
      <c r="CL10" s="234"/>
      <c r="CM10" s="234"/>
      <c r="CN10" s="234"/>
      <c r="CO10" s="234"/>
      <c r="CP10" s="234"/>
      <c r="CQ10" s="234"/>
      <c r="CR10" s="234"/>
      <c r="CS10" s="234"/>
      <c r="CT10" s="234"/>
      <c r="CU10" s="234"/>
      <c r="CV10" s="234"/>
      <c r="CW10" s="234"/>
      <c r="CX10" s="234"/>
      <c r="CY10" s="234"/>
      <c r="CZ10" s="234"/>
      <c r="DA10" s="234"/>
      <c r="DB10" s="234"/>
      <c r="DC10" s="235"/>
    </row>
    <row r="11" spans="1:107" ht="12.75" customHeight="1" x14ac:dyDescent="0.25">
      <c r="A11" s="18"/>
      <c r="B11" s="8" t="s">
        <v>34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8" t="s">
        <v>147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19"/>
      <c r="BD11" s="233"/>
      <c r="BE11" s="234"/>
      <c r="BF11" s="234"/>
      <c r="BG11" s="234"/>
      <c r="BH11" s="234"/>
      <c r="BI11" s="234"/>
      <c r="BJ11" s="235"/>
      <c r="BK11" s="233"/>
      <c r="BL11" s="234"/>
      <c r="BM11" s="234"/>
      <c r="BN11" s="234"/>
      <c r="BO11" s="234"/>
      <c r="BP11" s="234"/>
      <c r="BQ11" s="234"/>
      <c r="BR11" s="234"/>
      <c r="BS11" s="234"/>
      <c r="BT11" s="234"/>
      <c r="BU11" s="234"/>
      <c r="BV11" s="235"/>
      <c r="BW11" s="233"/>
      <c r="BX11" s="234"/>
      <c r="BY11" s="234"/>
      <c r="BZ11" s="234"/>
      <c r="CA11" s="234"/>
      <c r="CB11" s="234"/>
      <c r="CC11" s="234"/>
      <c r="CD11" s="234"/>
      <c r="CE11" s="234"/>
      <c r="CF11" s="235"/>
      <c r="CG11" s="233"/>
      <c r="CH11" s="234"/>
      <c r="CI11" s="234"/>
      <c r="CJ11" s="234"/>
      <c r="CK11" s="234"/>
      <c r="CL11" s="234"/>
      <c r="CM11" s="234"/>
      <c r="CN11" s="234"/>
      <c r="CO11" s="234"/>
      <c r="CP11" s="234"/>
      <c r="CQ11" s="234"/>
      <c r="CR11" s="234"/>
      <c r="CS11" s="234"/>
      <c r="CT11" s="234"/>
      <c r="CU11" s="234"/>
      <c r="CV11" s="234"/>
      <c r="CW11" s="234"/>
      <c r="CX11" s="234"/>
      <c r="CY11" s="234"/>
      <c r="CZ11" s="234"/>
      <c r="DA11" s="234"/>
      <c r="DB11" s="234"/>
      <c r="DC11" s="235"/>
    </row>
    <row r="12" spans="1:107" ht="2.25" customHeight="1" x14ac:dyDescent="0.25">
      <c r="A12" s="10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1"/>
      <c r="BD12" s="236"/>
      <c r="BE12" s="77"/>
      <c r="BF12" s="77"/>
      <c r="BG12" s="77"/>
      <c r="BH12" s="77"/>
      <c r="BI12" s="77"/>
      <c r="BJ12" s="237"/>
      <c r="BK12" s="236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237"/>
      <c r="BW12" s="236"/>
      <c r="BX12" s="77"/>
      <c r="BY12" s="77"/>
      <c r="BZ12" s="77"/>
      <c r="CA12" s="77"/>
      <c r="CB12" s="77"/>
      <c r="CC12" s="77"/>
      <c r="CD12" s="77"/>
      <c r="CE12" s="77"/>
      <c r="CF12" s="237"/>
      <c r="CG12" s="236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237"/>
    </row>
    <row r="13" spans="1:107" ht="12.75" customHeight="1" x14ac:dyDescent="0.25">
      <c r="A13" s="18"/>
      <c r="C13" s="8"/>
      <c r="D13" s="8"/>
      <c r="G13" s="238" t="s">
        <v>149</v>
      </c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238"/>
      <c r="AU13" s="238"/>
      <c r="AV13" s="238"/>
      <c r="AW13" s="238"/>
      <c r="AX13" s="238"/>
      <c r="AY13" s="238"/>
      <c r="AZ13" s="238"/>
      <c r="BA13" s="238"/>
      <c r="BB13" s="238"/>
      <c r="BC13" s="19"/>
      <c r="BD13" s="233">
        <v>2</v>
      </c>
      <c r="BE13" s="234"/>
      <c r="BF13" s="234"/>
      <c r="BG13" s="234"/>
      <c r="BH13" s="234"/>
      <c r="BI13" s="234"/>
      <c r="BJ13" s="235"/>
      <c r="BK13" s="233"/>
      <c r="BL13" s="234"/>
      <c r="BM13" s="234"/>
      <c r="BN13" s="234"/>
      <c r="BO13" s="234"/>
      <c r="BP13" s="234"/>
      <c r="BQ13" s="234"/>
      <c r="BR13" s="234"/>
      <c r="BS13" s="234"/>
      <c r="BT13" s="234"/>
      <c r="BU13" s="234"/>
      <c r="BV13" s="235"/>
      <c r="BW13" s="233"/>
      <c r="BX13" s="234"/>
      <c r="BY13" s="234"/>
      <c r="BZ13" s="234"/>
      <c r="CA13" s="234"/>
      <c r="CB13" s="234"/>
      <c r="CC13" s="234"/>
      <c r="CD13" s="234"/>
      <c r="CE13" s="234"/>
      <c r="CF13" s="235"/>
      <c r="CG13" s="233"/>
      <c r="CH13" s="234"/>
      <c r="CI13" s="234"/>
      <c r="CJ13" s="234"/>
      <c r="CK13" s="234"/>
      <c r="CL13" s="234"/>
      <c r="CM13" s="234"/>
      <c r="CN13" s="234"/>
      <c r="CO13" s="234"/>
      <c r="CP13" s="234"/>
      <c r="CQ13" s="234"/>
      <c r="CR13" s="234"/>
      <c r="CS13" s="234"/>
      <c r="CT13" s="234"/>
      <c r="CU13" s="234"/>
      <c r="CV13" s="234"/>
      <c r="CW13" s="234"/>
      <c r="CX13" s="234"/>
      <c r="CY13" s="234"/>
      <c r="CZ13" s="234"/>
      <c r="DA13" s="234"/>
      <c r="DB13" s="234"/>
      <c r="DC13" s="235"/>
    </row>
    <row r="14" spans="1:107" ht="12.75" customHeight="1" x14ac:dyDescent="0.25">
      <c r="A14" s="18"/>
      <c r="C14" s="8"/>
      <c r="D14" s="8"/>
      <c r="E14" s="8"/>
      <c r="F14" s="8"/>
      <c r="G14" s="217" t="s">
        <v>34</v>
      </c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8" t="s">
        <v>35</v>
      </c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19"/>
      <c r="BD14" s="233"/>
      <c r="BE14" s="234"/>
      <c r="BF14" s="234"/>
      <c r="BG14" s="234"/>
      <c r="BH14" s="234"/>
      <c r="BI14" s="234"/>
      <c r="BJ14" s="235"/>
      <c r="BK14" s="233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35"/>
      <c r="BW14" s="233"/>
      <c r="BX14" s="234"/>
      <c r="BY14" s="234"/>
      <c r="BZ14" s="234"/>
      <c r="CA14" s="234"/>
      <c r="CB14" s="234"/>
      <c r="CC14" s="234"/>
      <c r="CD14" s="234"/>
      <c r="CE14" s="234"/>
      <c r="CF14" s="235"/>
      <c r="CG14" s="233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34"/>
      <c r="CS14" s="234"/>
      <c r="CT14" s="234"/>
      <c r="CU14" s="234"/>
      <c r="CV14" s="234"/>
      <c r="CW14" s="234"/>
      <c r="CX14" s="234"/>
      <c r="CY14" s="234"/>
      <c r="CZ14" s="234"/>
      <c r="DA14" s="234"/>
      <c r="DB14" s="234"/>
      <c r="DC14" s="235"/>
    </row>
    <row r="15" spans="1:107" ht="2.25" customHeight="1" x14ac:dyDescent="0.25">
      <c r="A15" s="1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1"/>
      <c r="BD15" s="236"/>
      <c r="BE15" s="77"/>
      <c r="BF15" s="77"/>
      <c r="BG15" s="77"/>
      <c r="BH15" s="77"/>
      <c r="BI15" s="77"/>
      <c r="BJ15" s="237"/>
      <c r="BK15" s="236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237"/>
      <c r="BW15" s="236"/>
      <c r="BX15" s="77"/>
      <c r="BY15" s="77"/>
      <c r="BZ15" s="77"/>
      <c r="CA15" s="77"/>
      <c r="CB15" s="77"/>
      <c r="CC15" s="77"/>
      <c r="CD15" s="77"/>
      <c r="CE15" s="77"/>
      <c r="CF15" s="237"/>
      <c r="CG15" s="236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237"/>
    </row>
    <row r="16" spans="1:107" ht="12.75" customHeight="1" x14ac:dyDescent="0.25">
      <c r="A16" s="4"/>
      <c r="B16" s="239" t="s">
        <v>148</v>
      </c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39"/>
      <c r="AY16" s="239"/>
      <c r="AZ16" s="239"/>
      <c r="BA16" s="239"/>
      <c r="BB16" s="239"/>
      <c r="BC16" s="6"/>
      <c r="BD16" s="197">
        <v>3</v>
      </c>
      <c r="BE16" s="198"/>
      <c r="BF16" s="198"/>
      <c r="BG16" s="198"/>
      <c r="BH16" s="198"/>
      <c r="BI16" s="198"/>
      <c r="BJ16" s="199"/>
      <c r="BK16" s="197"/>
      <c r="BL16" s="198"/>
      <c r="BM16" s="198"/>
      <c r="BN16" s="198"/>
      <c r="BO16" s="198"/>
      <c r="BP16" s="198"/>
      <c r="BQ16" s="198"/>
      <c r="BR16" s="198"/>
      <c r="BS16" s="198"/>
      <c r="BT16" s="198"/>
      <c r="BU16" s="198"/>
      <c r="BV16" s="199"/>
      <c r="BW16" s="197"/>
      <c r="BX16" s="198"/>
      <c r="BY16" s="198"/>
      <c r="BZ16" s="198"/>
      <c r="CA16" s="198"/>
      <c r="CB16" s="198"/>
      <c r="CC16" s="198"/>
      <c r="CD16" s="198"/>
      <c r="CE16" s="198"/>
      <c r="CF16" s="199"/>
      <c r="CG16" s="197"/>
      <c r="CH16" s="198"/>
      <c r="CI16" s="198"/>
      <c r="CJ16" s="198"/>
      <c r="CK16" s="198"/>
      <c r="CL16" s="198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199"/>
    </row>
    <row r="17" spans="1:107" ht="12.75" customHeight="1" x14ac:dyDescent="0.25">
      <c r="A17" s="4"/>
      <c r="B17" s="5"/>
      <c r="C17" s="5"/>
      <c r="D17" s="5"/>
      <c r="E17" s="5"/>
      <c r="F17" s="5"/>
      <c r="G17" s="239" t="s">
        <v>149</v>
      </c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  <c r="BB17" s="239"/>
      <c r="BC17" s="6"/>
      <c r="BD17" s="197">
        <v>4</v>
      </c>
      <c r="BE17" s="198"/>
      <c r="BF17" s="198"/>
      <c r="BG17" s="198"/>
      <c r="BH17" s="198"/>
      <c r="BI17" s="198"/>
      <c r="BJ17" s="199"/>
      <c r="BK17" s="197"/>
      <c r="BL17" s="198"/>
      <c r="BM17" s="198"/>
      <c r="BN17" s="198"/>
      <c r="BO17" s="198"/>
      <c r="BP17" s="198"/>
      <c r="BQ17" s="198"/>
      <c r="BR17" s="198"/>
      <c r="BS17" s="198"/>
      <c r="BT17" s="198"/>
      <c r="BU17" s="198"/>
      <c r="BV17" s="199"/>
      <c r="BW17" s="197"/>
      <c r="BX17" s="198"/>
      <c r="BY17" s="198"/>
      <c r="BZ17" s="198"/>
      <c r="CA17" s="198"/>
      <c r="CB17" s="198"/>
      <c r="CC17" s="198"/>
      <c r="CD17" s="198"/>
      <c r="CE17" s="198"/>
      <c r="CF17" s="199"/>
      <c r="CG17" s="197"/>
      <c r="CH17" s="198"/>
      <c r="CI17" s="198"/>
      <c r="CJ17" s="198"/>
      <c r="CK17" s="198"/>
      <c r="CL17" s="198"/>
      <c r="CM17" s="198"/>
      <c r="CN17" s="198"/>
      <c r="CO17" s="198"/>
      <c r="CP17" s="198"/>
      <c r="CQ17" s="198"/>
      <c r="CR17" s="198"/>
      <c r="CS17" s="198"/>
      <c r="CT17" s="198"/>
      <c r="CU17" s="198"/>
      <c r="CV17" s="198"/>
      <c r="CW17" s="198"/>
      <c r="CX17" s="198"/>
      <c r="CY17" s="198"/>
      <c r="CZ17" s="198"/>
      <c r="DA17" s="198"/>
      <c r="DB17" s="198"/>
      <c r="DC17" s="199"/>
    </row>
    <row r="18" spans="1:107" ht="25.5" customHeight="1" x14ac:dyDescent="0.25">
      <c r="A18" s="4"/>
      <c r="B18" s="240" t="s">
        <v>175</v>
      </c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240"/>
      <c r="AI18" s="240"/>
      <c r="AJ18" s="240"/>
      <c r="AK18" s="240"/>
      <c r="AL18" s="240"/>
      <c r="AM18" s="240"/>
      <c r="AN18" s="240"/>
      <c r="AO18" s="240"/>
      <c r="AP18" s="240"/>
      <c r="AQ18" s="240"/>
      <c r="AR18" s="240"/>
      <c r="AS18" s="240"/>
      <c r="AT18" s="240"/>
      <c r="AU18" s="240"/>
      <c r="AV18" s="240"/>
      <c r="AW18" s="240"/>
      <c r="AX18" s="240"/>
      <c r="AY18" s="240"/>
      <c r="AZ18" s="240"/>
      <c r="BA18" s="240"/>
      <c r="BB18" s="240"/>
      <c r="BC18" s="6"/>
      <c r="BD18" s="197">
        <v>5</v>
      </c>
      <c r="BE18" s="198"/>
      <c r="BF18" s="198"/>
      <c r="BG18" s="198"/>
      <c r="BH18" s="198"/>
      <c r="BI18" s="198"/>
      <c r="BJ18" s="199"/>
      <c r="BK18" s="197"/>
      <c r="BL18" s="198"/>
      <c r="BM18" s="198"/>
      <c r="BN18" s="198"/>
      <c r="BO18" s="198"/>
      <c r="BP18" s="198"/>
      <c r="BQ18" s="198"/>
      <c r="BR18" s="198"/>
      <c r="BS18" s="198"/>
      <c r="BT18" s="198"/>
      <c r="BU18" s="198"/>
      <c r="BV18" s="199"/>
      <c r="BW18" s="197"/>
      <c r="BX18" s="198"/>
      <c r="BY18" s="198"/>
      <c r="BZ18" s="198"/>
      <c r="CA18" s="198"/>
      <c r="CB18" s="198"/>
      <c r="CC18" s="198"/>
      <c r="CD18" s="198"/>
      <c r="CE18" s="198"/>
      <c r="CF18" s="199"/>
      <c r="CG18" s="197"/>
      <c r="CH18" s="198"/>
      <c r="CI18" s="198"/>
      <c r="CJ18" s="198"/>
      <c r="CK18" s="198"/>
      <c r="CL18" s="198"/>
      <c r="CM18" s="198"/>
      <c r="CN18" s="198"/>
      <c r="CO18" s="198"/>
      <c r="CP18" s="198"/>
      <c r="CQ18" s="198"/>
      <c r="CR18" s="198"/>
      <c r="CS18" s="198"/>
      <c r="CT18" s="198"/>
      <c r="CU18" s="198"/>
      <c r="CV18" s="198"/>
      <c r="CW18" s="198"/>
      <c r="CX18" s="198"/>
      <c r="CY18" s="198"/>
      <c r="CZ18" s="198"/>
      <c r="DA18" s="198"/>
      <c r="DB18" s="198"/>
      <c r="DC18" s="199"/>
    </row>
    <row r="19" spans="1:107" ht="12.75" customHeight="1" x14ac:dyDescent="0.25">
      <c r="A19" s="4"/>
      <c r="B19" s="5"/>
      <c r="C19" s="5"/>
      <c r="D19" s="5"/>
      <c r="E19" s="5"/>
      <c r="F19" s="5"/>
      <c r="G19" s="239" t="s">
        <v>150</v>
      </c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39"/>
      <c r="AX19" s="239"/>
      <c r="AY19" s="239"/>
      <c r="AZ19" s="239"/>
      <c r="BA19" s="239"/>
      <c r="BB19" s="239"/>
      <c r="BC19" s="6"/>
      <c r="BD19" s="197">
        <v>6</v>
      </c>
      <c r="BE19" s="198"/>
      <c r="BF19" s="198"/>
      <c r="BG19" s="198"/>
      <c r="BH19" s="198"/>
      <c r="BI19" s="198"/>
      <c r="BJ19" s="199"/>
      <c r="BK19" s="197"/>
      <c r="BL19" s="198"/>
      <c r="BM19" s="198"/>
      <c r="BN19" s="198"/>
      <c r="BO19" s="198"/>
      <c r="BP19" s="198"/>
      <c r="BQ19" s="198"/>
      <c r="BR19" s="198"/>
      <c r="BS19" s="198"/>
      <c r="BT19" s="198"/>
      <c r="BU19" s="198"/>
      <c r="BV19" s="199"/>
      <c r="BW19" s="197"/>
      <c r="BX19" s="198"/>
      <c r="BY19" s="198"/>
      <c r="BZ19" s="198"/>
      <c r="CA19" s="198"/>
      <c r="CB19" s="198"/>
      <c r="CC19" s="198"/>
      <c r="CD19" s="198"/>
      <c r="CE19" s="198"/>
      <c r="CF19" s="199"/>
      <c r="CG19" s="197"/>
      <c r="CH19" s="198"/>
      <c r="CI19" s="198"/>
      <c r="CJ19" s="198"/>
      <c r="CK19" s="198"/>
      <c r="CL19" s="198"/>
      <c r="CM19" s="198"/>
      <c r="CN19" s="198"/>
      <c r="CO19" s="198"/>
      <c r="CP19" s="198"/>
      <c r="CQ19" s="198"/>
      <c r="CR19" s="198"/>
      <c r="CS19" s="198"/>
      <c r="CT19" s="198"/>
      <c r="CU19" s="198"/>
      <c r="CV19" s="198"/>
      <c r="CW19" s="198"/>
      <c r="CX19" s="198"/>
      <c r="CY19" s="198"/>
      <c r="CZ19" s="198"/>
      <c r="DA19" s="198"/>
      <c r="DB19" s="198"/>
      <c r="DC19" s="199"/>
    </row>
    <row r="20" spans="1:107" ht="12.75" customHeight="1" x14ac:dyDescent="0.25">
      <c r="A20" s="4"/>
      <c r="B20" s="5"/>
      <c r="C20" s="5"/>
      <c r="D20" s="5"/>
      <c r="E20" s="5"/>
      <c r="F20" s="5"/>
      <c r="G20" s="239" t="s">
        <v>151</v>
      </c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  <c r="AM20" s="239"/>
      <c r="AN20" s="239"/>
      <c r="AO20" s="239"/>
      <c r="AP20" s="239"/>
      <c r="AQ20" s="239"/>
      <c r="AR20" s="239"/>
      <c r="AS20" s="239"/>
      <c r="AT20" s="239"/>
      <c r="AU20" s="239"/>
      <c r="AV20" s="239"/>
      <c r="AW20" s="239"/>
      <c r="AX20" s="239"/>
      <c r="AY20" s="239"/>
      <c r="AZ20" s="239"/>
      <c r="BA20" s="239"/>
      <c r="BB20" s="239"/>
      <c r="BC20" s="6"/>
      <c r="BD20" s="197">
        <v>7</v>
      </c>
      <c r="BE20" s="198"/>
      <c r="BF20" s="198"/>
      <c r="BG20" s="198"/>
      <c r="BH20" s="198"/>
      <c r="BI20" s="198"/>
      <c r="BJ20" s="199"/>
      <c r="BK20" s="197"/>
      <c r="BL20" s="198"/>
      <c r="BM20" s="198"/>
      <c r="BN20" s="198"/>
      <c r="BO20" s="198"/>
      <c r="BP20" s="198"/>
      <c r="BQ20" s="198"/>
      <c r="BR20" s="198"/>
      <c r="BS20" s="198"/>
      <c r="BT20" s="198"/>
      <c r="BU20" s="198"/>
      <c r="BV20" s="199"/>
      <c r="BW20" s="197"/>
      <c r="BX20" s="198"/>
      <c r="BY20" s="198"/>
      <c r="BZ20" s="198"/>
      <c r="CA20" s="198"/>
      <c r="CB20" s="198"/>
      <c r="CC20" s="198"/>
      <c r="CD20" s="198"/>
      <c r="CE20" s="198"/>
      <c r="CF20" s="199"/>
      <c r="CG20" s="197"/>
      <c r="CH20" s="198"/>
      <c r="CI20" s="198"/>
      <c r="CJ20" s="198"/>
      <c r="CK20" s="198"/>
      <c r="CL20" s="198"/>
      <c r="CM20" s="198"/>
      <c r="CN20" s="198"/>
      <c r="CO20" s="198"/>
      <c r="CP20" s="198"/>
      <c r="CQ20" s="198"/>
      <c r="CR20" s="198"/>
      <c r="CS20" s="198"/>
      <c r="CT20" s="198"/>
      <c r="CU20" s="198"/>
      <c r="CV20" s="198"/>
      <c r="CW20" s="198"/>
      <c r="CX20" s="198"/>
      <c r="CY20" s="198"/>
      <c r="CZ20" s="198"/>
      <c r="DA20" s="198"/>
      <c r="DB20" s="198"/>
      <c r="DC20" s="199"/>
    </row>
    <row r="21" spans="1:107" ht="12.75" customHeight="1" x14ac:dyDescent="0.25">
      <c r="A21" s="4"/>
      <c r="B21" s="239" t="s">
        <v>38</v>
      </c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39"/>
      <c r="AR21" s="239"/>
      <c r="AS21" s="239"/>
      <c r="AT21" s="239"/>
      <c r="AU21" s="239"/>
      <c r="AV21" s="239"/>
      <c r="AW21" s="239"/>
      <c r="AX21" s="239"/>
      <c r="AY21" s="239"/>
      <c r="AZ21" s="239"/>
      <c r="BA21" s="239"/>
      <c r="BB21" s="239"/>
      <c r="BC21" s="6"/>
      <c r="BD21" s="197">
        <v>8</v>
      </c>
      <c r="BE21" s="198"/>
      <c r="BF21" s="198"/>
      <c r="BG21" s="198"/>
      <c r="BH21" s="198"/>
      <c r="BI21" s="198"/>
      <c r="BJ21" s="199"/>
      <c r="BK21" s="197"/>
      <c r="BL21" s="198"/>
      <c r="BM21" s="198"/>
      <c r="BN21" s="198"/>
      <c r="BO21" s="198"/>
      <c r="BP21" s="198"/>
      <c r="BQ21" s="198"/>
      <c r="BR21" s="198"/>
      <c r="BS21" s="198"/>
      <c r="BT21" s="198"/>
      <c r="BU21" s="198"/>
      <c r="BV21" s="199"/>
      <c r="BW21" s="197"/>
      <c r="BX21" s="198"/>
      <c r="BY21" s="198"/>
      <c r="BZ21" s="198"/>
      <c r="CA21" s="198"/>
      <c r="CB21" s="198"/>
      <c r="CC21" s="198"/>
      <c r="CD21" s="198"/>
      <c r="CE21" s="198"/>
      <c r="CF21" s="199"/>
      <c r="CG21" s="197" t="s">
        <v>142</v>
      </c>
      <c r="CH21" s="198"/>
      <c r="CI21" s="198"/>
      <c r="CJ21" s="198"/>
      <c r="CK21" s="198"/>
      <c r="CL21" s="198"/>
      <c r="CM21" s="198"/>
      <c r="CN21" s="198"/>
      <c r="CO21" s="198"/>
      <c r="CP21" s="198"/>
      <c r="CQ21" s="198"/>
      <c r="CR21" s="198"/>
      <c r="CS21" s="198"/>
      <c r="CT21" s="198"/>
      <c r="CU21" s="198"/>
      <c r="CV21" s="198"/>
      <c r="CW21" s="198"/>
      <c r="CX21" s="198"/>
      <c r="CY21" s="198"/>
      <c r="CZ21" s="198"/>
      <c r="DA21" s="198"/>
      <c r="DB21" s="198"/>
      <c r="DC21" s="199"/>
    </row>
    <row r="22" spans="1:107" ht="39" customHeight="1" x14ac:dyDescent="0.25">
      <c r="A22" s="4"/>
      <c r="B22" s="215" t="s">
        <v>39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6"/>
      <c r="BD22" s="197">
        <v>9</v>
      </c>
      <c r="BE22" s="198"/>
      <c r="BF22" s="198"/>
      <c r="BG22" s="198"/>
      <c r="BH22" s="198"/>
      <c r="BI22" s="198"/>
      <c r="BJ22" s="199"/>
      <c r="BK22" s="197"/>
      <c r="BL22" s="198"/>
      <c r="BM22" s="198"/>
      <c r="BN22" s="198"/>
      <c r="BO22" s="198"/>
      <c r="BP22" s="198"/>
      <c r="BQ22" s="198"/>
      <c r="BR22" s="198"/>
      <c r="BS22" s="198"/>
      <c r="BT22" s="198"/>
      <c r="BU22" s="198"/>
      <c r="BV22" s="199"/>
      <c r="BW22" s="197"/>
      <c r="BX22" s="198"/>
      <c r="BY22" s="198"/>
      <c r="BZ22" s="198"/>
      <c r="CA22" s="198"/>
      <c r="CB22" s="198"/>
      <c r="CC22" s="198"/>
      <c r="CD22" s="198"/>
      <c r="CE22" s="198"/>
      <c r="CF22" s="199"/>
      <c r="CG22" s="197"/>
      <c r="CH22" s="198"/>
      <c r="CI22" s="198"/>
      <c r="CJ22" s="198"/>
      <c r="CK22" s="198"/>
      <c r="CL22" s="198"/>
      <c r="CM22" s="198"/>
      <c r="CN22" s="198"/>
      <c r="CO22" s="198"/>
      <c r="CP22" s="198"/>
      <c r="CQ22" s="198"/>
      <c r="CR22" s="198"/>
      <c r="CS22" s="198"/>
      <c r="CT22" s="198"/>
      <c r="CU22" s="198"/>
      <c r="CV22" s="198"/>
      <c r="CW22" s="198"/>
      <c r="CX22" s="198"/>
      <c r="CY22" s="198"/>
      <c r="CZ22" s="198"/>
      <c r="DA22" s="198"/>
      <c r="DB22" s="198"/>
      <c r="DC22" s="199"/>
    </row>
    <row r="23" spans="1:107" ht="25.05" customHeight="1" x14ac:dyDescent="0.25">
      <c r="A23" s="4"/>
      <c r="B23" s="215" t="s">
        <v>128</v>
      </c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6"/>
      <c r="BD23" s="197">
        <v>10</v>
      </c>
      <c r="BE23" s="198"/>
      <c r="BF23" s="198"/>
      <c r="BG23" s="198"/>
      <c r="BH23" s="198"/>
      <c r="BI23" s="198"/>
      <c r="BJ23" s="199"/>
      <c r="BK23" s="197"/>
      <c r="BL23" s="198"/>
      <c r="BM23" s="198"/>
      <c r="BN23" s="198"/>
      <c r="BO23" s="198"/>
      <c r="BP23" s="198"/>
      <c r="BQ23" s="198"/>
      <c r="BR23" s="198"/>
      <c r="BS23" s="198"/>
      <c r="BT23" s="198"/>
      <c r="BU23" s="198"/>
      <c r="BV23" s="199"/>
      <c r="BW23" s="197"/>
      <c r="BX23" s="198"/>
      <c r="BY23" s="198"/>
      <c r="BZ23" s="198"/>
      <c r="CA23" s="198"/>
      <c r="CB23" s="198"/>
      <c r="CC23" s="198"/>
      <c r="CD23" s="198"/>
      <c r="CE23" s="198"/>
      <c r="CF23" s="199"/>
      <c r="CG23" s="197" t="s">
        <v>142</v>
      </c>
      <c r="CH23" s="198"/>
      <c r="CI23" s="198"/>
      <c r="CJ23" s="198"/>
      <c r="CK23" s="198"/>
      <c r="CL23" s="198"/>
      <c r="CM23" s="198"/>
      <c r="CN23" s="198"/>
      <c r="CO23" s="198"/>
      <c r="CP23" s="198"/>
      <c r="CQ23" s="198"/>
      <c r="CR23" s="198"/>
      <c r="CS23" s="198"/>
      <c r="CT23" s="198"/>
      <c r="CU23" s="198"/>
      <c r="CV23" s="198"/>
      <c r="CW23" s="198"/>
      <c r="CX23" s="198"/>
      <c r="CY23" s="198"/>
      <c r="CZ23" s="198"/>
      <c r="DA23" s="198"/>
      <c r="DB23" s="198"/>
      <c r="DC23" s="199"/>
    </row>
    <row r="24" spans="1:107" ht="25.05" customHeight="1" x14ac:dyDescent="0.25">
      <c r="A24" s="4"/>
      <c r="B24" s="215" t="s">
        <v>40</v>
      </c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6"/>
      <c r="BD24" s="197">
        <v>11</v>
      </c>
      <c r="BE24" s="198"/>
      <c r="BF24" s="198"/>
      <c r="BG24" s="198"/>
      <c r="BH24" s="198"/>
      <c r="BI24" s="198"/>
      <c r="BJ24" s="199"/>
      <c r="BK24" s="197"/>
      <c r="BL24" s="198"/>
      <c r="BM24" s="198"/>
      <c r="BN24" s="198"/>
      <c r="BO24" s="198"/>
      <c r="BP24" s="198"/>
      <c r="BQ24" s="198"/>
      <c r="BR24" s="198"/>
      <c r="BS24" s="198"/>
      <c r="BT24" s="198"/>
      <c r="BU24" s="198"/>
      <c r="BV24" s="199"/>
      <c r="BW24" s="197"/>
      <c r="BX24" s="198"/>
      <c r="BY24" s="198"/>
      <c r="BZ24" s="198"/>
      <c r="CA24" s="198"/>
      <c r="CB24" s="198"/>
      <c r="CC24" s="198"/>
      <c r="CD24" s="198"/>
      <c r="CE24" s="198"/>
      <c r="CF24" s="199"/>
      <c r="CG24" s="197" t="s">
        <v>142</v>
      </c>
      <c r="CH24" s="198"/>
      <c r="CI24" s="198"/>
      <c r="CJ24" s="198"/>
      <c r="CK24" s="198"/>
      <c r="CL24" s="198"/>
      <c r="CM24" s="198"/>
      <c r="CN24" s="198"/>
      <c r="CO24" s="198"/>
      <c r="CP24" s="198"/>
      <c r="CQ24" s="198"/>
      <c r="CR24" s="198"/>
      <c r="CS24" s="198"/>
      <c r="CT24" s="198"/>
      <c r="CU24" s="198"/>
      <c r="CV24" s="198"/>
      <c r="CW24" s="198"/>
      <c r="CX24" s="198"/>
      <c r="CY24" s="198"/>
      <c r="CZ24" s="198"/>
      <c r="DA24" s="198"/>
      <c r="DB24" s="198"/>
      <c r="DC24" s="199"/>
    </row>
    <row r="25" spans="1:107" ht="12.75" customHeight="1" x14ac:dyDescent="0.25">
      <c r="A25" s="4"/>
      <c r="B25" s="215" t="s">
        <v>237</v>
      </c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6"/>
      <c r="BD25" s="197">
        <v>12</v>
      </c>
      <c r="BE25" s="198"/>
      <c r="BF25" s="198"/>
      <c r="BG25" s="198"/>
      <c r="BH25" s="198"/>
      <c r="BI25" s="198"/>
      <c r="BJ25" s="199"/>
      <c r="BK25" s="197" t="s">
        <v>142</v>
      </c>
      <c r="BL25" s="198"/>
      <c r="BM25" s="198"/>
      <c r="BN25" s="198"/>
      <c r="BO25" s="198"/>
      <c r="BP25" s="198"/>
      <c r="BQ25" s="198"/>
      <c r="BR25" s="198"/>
      <c r="BS25" s="198"/>
      <c r="BT25" s="198"/>
      <c r="BU25" s="198"/>
      <c r="BV25" s="199"/>
      <c r="BW25" s="197"/>
      <c r="BX25" s="198"/>
      <c r="BY25" s="198"/>
      <c r="BZ25" s="198"/>
      <c r="CA25" s="198"/>
      <c r="CB25" s="198"/>
      <c r="CC25" s="198"/>
      <c r="CD25" s="198"/>
      <c r="CE25" s="198"/>
      <c r="CF25" s="199"/>
      <c r="CG25" s="197"/>
      <c r="CH25" s="198"/>
      <c r="CI25" s="198"/>
      <c r="CJ25" s="198"/>
      <c r="CK25" s="198"/>
      <c r="CL25" s="198"/>
      <c r="CM25" s="198"/>
      <c r="CN25" s="198"/>
      <c r="CO25" s="198"/>
      <c r="CP25" s="198"/>
      <c r="CQ25" s="198"/>
      <c r="CR25" s="198"/>
      <c r="CS25" s="198"/>
      <c r="CT25" s="198"/>
      <c r="CU25" s="198"/>
      <c r="CV25" s="198"/>
      <c r="CW25" s="198"/>
      <c r="CX25" s="198"/>
      <c r="CY25" s="198"/>
      <c r="CZ25" s="198"/>
      <c r="DA25" s="198"/>
      <c r="DB25" s="198"/>
      <c r="DC25" s="199"/>
    </row>
    <row r="26" spans="1:107" ht="12.75" customHeight="1" x14ac:dyDescent="0.25">
      <c r="A26" s="203" t="s">
        <v>41</v>
      </c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  <c r="AO26" s="204"/>
      <c r="AP26" s="204"/>
      <c r="AQ26" s="204"/>
      <c r="AR26" s="204"/>
      <c r="AS26" s="204"/>
      <c r="AT26" s="204"/>
      <c r="AU26" s="204"/>
      <c r="AV26" s="204"/>
      <c r="AW26" s="204"/>
      <c r="AX26" s="204"/>
      <c r="AY26" s="204"/>
      <c r="AZ26" s="204"/>
      <c r="BA26" s="204"/>
      <c r="BB26" s="204"/>
      <c r="BC26" s="205"/>
      <c r="BD26" s="203">
        <v>13</v>
      </c>
      <c r="BE26" s="204"/>
      <c r="BF26" s="204"/>
      <c r="BG26" s="204"/>
      <c r="BH26" s="204"/>
      <c r="BI26" s="204"/>
      <c r="BJ26" s="205"/>
      <c r="BK26" s="203"/>
      <c r="BL26" s="204"/>
      <c r="BM26" s="204"/>
      <c r="BN26" s="204"/>
      <c r="BO26" s="204"/>
      <c r="BP26" s="204"/>
      <c r="BQ26" s="204"/>
      <c r="BR26" s="204"/>
      <c r="BS26" s="204"/>
      <c r="BT26" s="204"/>
      <c r="BU26" s="204"/>
      <c r="BV26" s="205"/>
      <c r="BW26" s="203"/>
      <c r="BX26" s="204"/>
      <c r="BY26" s="204"/>
      <c r="BZ26" s="204"/>
      <c r="CA26" s="204"/>
      <c r="CB26" s="204"/>
      <c r="CC26" s="204"/>
      <c r="CD26" s="204"/>
      <c r="CE26" s="204"/>
      <c r="CF26" s="205"/>
      <c r="CG26" s="203" t="s">
        <v>142</v>
      </c>
      <c r="CH26" s="204"/>
      <c r="CI26" s="204"/>
      <c r="CJ26" s="204"/>
      <c r="CK26" s="204"/>
      <c r="CL26" s="204"/>
      <c r="CM26" s="204"/>
      <c r="CN26" s="204"/>
      <c r="CO26" s="204"/>
      <c r="CP26" s="204"/>
      <c r="CQ26" s="204"/>
      <c r="CR26" s="204"/>
      <c r="CS26" s="204"/>
      <c r="CT26" s="204"/>
      <c r="CU26" s="204"/>
      <c r="CV26" s="204"/>
      <c r="CW26" s="204"/>
      <c r="CX26" s="204"/>
      <c r="CY26" s="204"/>
      <c r="CZ26" s="204"/>
      <c r="DA26" s="204"/>
      <c r="DB26" s="204"/>
      <c r="DC26" s="205"/>
    </row>
    <row r="27" spans="1:107" ht="12.75" customHeight="1" x14ac:dyDescent="0.25">
      <c r="A27" s="18"/>
      <c r="B27" s="217" t="s">
        <v>42</v>
      </c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41"/>
      <c r="AH27" s="241"/>
      <c r="AI27" s="241"/>
      <c r="AJ27" s="234" t="s">
        <v>43</v>
      </c>
      <c r="AK27" s="234"/>
      <c r="AL27" s="234"/>
      <c r="AM27" s="234"/>
      <c r="AN27" s="234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8"/>
      <c r="BC27" s="19"/>
      <c r="BD27" s="233"/>
      <c r="BE27" s="234"/>
      <c r="BF27" s="234"/>
      <c r="BG27" s="234"/>
      <c r="BH27" s="234"/>
      <c r="BI27" s="234"/>
      <c r="BJ27" s="235"/>
      <c r="BK27" s="233"/>
      <c r="BL27" s="234"/>
      <c r="BM27" s="234"/>
      <c r="BN27" s="234"/>
      <c r="BO27" s="234"/>
      <c r="BP27" s="234"/>
      <c r="BQ27" s="234"/>
      <c r="BR27" s="234"/>
      <c r="BS27" s="234"/>
      <c r="BT27" s="234"/>
      <c r="BU27" s="234"/>
      <c r="BV27" s="235"/>
      <c r="BW27" s="233"/>
      <c r="BX27" s="234"/>
      <c r="BY27" s="234"/>
      <c r="BZ27" s="234"/>
      <c r="CA27" s="234"/>
      <c r="CB27" s="234"/>
      <c r="CC27" s="234"/>
      <c r="CD27" s="234"/>
      <c r="CE27" s="234"/>
      <c r="CF27" s="235"/>
      <c r="CG27" s="233"/>
      <c r="CH27" s="234"/>
      <c r="CI27" s="234"/>
      <c r="CJ27" s="234"/>
      <c r="CK27" s="234"/>
      <c r="CL27" s="234"/>
      <c r="CM27" s="234"/>
      <c r="CN27" s="234"/>
      <c r="CO27" s="234"/>
      <c r="CP27" s="234"/>
      <c r="CQ27" s="234"/>
      <c r="CR27" s="234"/>
      <c r="CS27" s="234"/>
      <c r="CT27" s="234"/>
      <c r="CU27" s="234"/>
      <c r="CV27" s="234"/>
      <c r="CW27" s="234"/>
      <c r="CX27" s="234"/>
      <c r="CY27" s="234"/>
      <c r="CZ27" s="234"/>
      <c r="DA27" s="234"/>
      <c r="DB27" s="234"/>
      <c r="DC27" s="235"/>
    </row>
    <row r="28" spans="1:107" s="2" customFormat="1" ht="11.1" customHeight="1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83" t="s">
        <v>44</v>
      </c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22"/>
      <c r="BC28" s="23"/>
      <c r="BD28" s="233"/>
      <c r="BE28" s="234"/>
      <c r="BF28" s="234"/>
      <c r="BG28" s="234"/>
      <c r="BH28" s="234"/>
      <c r="BI28" s="234"/>
      <c r="BJ28" s="235"/>
      <c r="BK28" s="233"/>
      <c r="BL28" s="234"/>
      <c r="BM28" s="234"/>
      <c r="BN28" s="234"/>
      <c r="BO28" s="234"/>
      <c r="BP28" s="234"/>
      <c r="BQ28" s="234"/>
      <c r="BR28" s="234"/>
      <c r="BS28" s="234"/>
      <c r="BT28" s="234"/>
      <c r="BU28" s="234"/>
      <c r="BV28" s="235"/>
      <c r="BW28" s="233"/>
      <c r="BX28" s="234"/>
      <c r="BY28" s="234"/>
      <c r="BZ28" s="234"/>
      <c r="CA28" s="234"/>
      <c r="CB28" s="234"/>
      <c r="CC28" s="234"/>
      <c r="CD28" s="234"/>
      <c r="CE28" s="234"/>
      <c r="CF28" s="235"/>
      <c r="CG28" s="233"/>
      <c r="CH28" s="234"/>
      <c r="CI28" s="234"/>
      <c r="CJ28" s="234"/>
      <c r="CK28" s="234"/>
      <c r="CL28" s="234"/>
      <c r="CM28" s="234"/>
      <c r="CN28" s="234"/>
      <c r="CO28" s="234"/>
      <c r="CP28" s="234"/>
      <c r="CQ28" s="234"/>
      <c r="CR28" s="234"/>
      <c r="CS28" s="234"/>
      <c r="CT28" s="234"/>
      <c r="CU28" s="234"/>
      <c r="CV28" s="234"/>
      <c r="CW28" s="234"/>
      <c r="CX28" s="234"/>
      <c r="CY28" s="234"/>
      <c r="CZ28" s="234"/>
      <c r="DA28" s="234"/>
      <c r="DB28" s="234"/>
      <c r="DC28" s="235"/>
    </row>
    <row r="29" spans="1:107" x14ac:dyDescent="0.25">
      <c r="A29" s="4"/>
      <c r="B29" s="215" t="s">
        <v>45</v>
      </c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6"/>
      <c r="BD29" s="236"/>
      <c r="BE29" s="77"/>
      <c r="BF29" s="77"/>
      <c r="BG29" s="77"/>
      <c r="BH29" s="77"/>
      <c r="BI29" s="77"/>
      <c r="BJ29" s="237"/>
      <c r="BK29" s="236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237"/>
      <c r="BW29" s="236"/>
      <c r="BX29" s="77"/>
      <c r="BY29" s="77"/>
      <c r="BZ29" s="77"/>
      <c r="CA29" s="77"/>
      <c r="CB29" s="77"/>
      <c r="CC29" s="77"/>
      <c r="CD29" s="77"/>
      <c r="CE29" s="77"/>
      <c r="CF29" s="237"/>
      <c r="CG29" s="236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237"/>
    </row>
    <row r="30" spans="1:107" ht="24.75" customHeight="1" x14ac:dyDescent="0.25">
      <c r="A30" s="4"/>
      <c r="B30" s="215" t="s">
        <v>64</v>
      </c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6"/>
      <c r="BD30" s="197">
        <v>14</v>
      </c>
      <c r="BE30" s="198"/>
      <c r="BF30" s="198"/>
      <c r="BG30" s="198"/>
      <c r="BH30" s="198"/>
      <c r="BI30" s="198"/>
      <c r="BJ30" s="199"/>
      <c r="BK30" s="197"/>
      <c r="BL30" s="198"/>
      <c r="BM30" s="198"/>
      <c r="BN30" s="198"/>
      <c r="BO30" s="198"/>
      <c r="BP30" s="198"/>
      <c r="BQ30" s="198"/>
      <c r="BR30" s="198"/>
      <c r="BS30" s="198"/>
      <c r="BT30" s="198"/>
      <c r="BU30" s="198"/>
      <c r="BV30" s="199"/>
      <c r="BW30" s="197"/>
      <c r="BX30" s="198"/>
      <c r="BY30" s="198"/>
      <c r="BZ30" s="198"/>
      <c r="CA30" s="198"/>
      <c r="CB30" s="198"/>
      <c r="CC30" s="198"/>
      <c r="CD30" s="198"/>
      <c r="CE30" s="198"/>
      <c r="CF30" s="199"/>
      <c r="CG30" s="197" t="s">
        <v>142</v>
      </c>
      <c r="CH30" s="198"/>
      <c r="CI30" s="198"/>
      <c r="CJ30" s="198"/>
      <c r="CK30" s="198"/>
      <c r="CL30" s="198"/>
      <c r="CM30" s="198"/>
      <c r="CN30" s="198"/>
      <c r="CO30" s="198"/>
      <c r="CP30" s="198"/>
      <c r="CQ30" s="198"/>
      <c r="CR30" s="198"/>
      <c r="CS30" s="198"/>
      <c r="CT30" s="198"/>
      <c r="CU30" s="198"/>
      <c r="CV30" s="198"/>
      <c r="CW30" s="198"/>
      <c r="CX30" s="198"/>
      <c r="CY30" s="198"/>
      <c r="CZ30" s="198"/>
      <c r="DA30" s="198"/>
      <c r="DB30" s="198"/>
      <c r="DC30" s="199"/>
    </row>
    <row r="31" spans="1:107" x14ac:dyDescent="0.25">
      <c r="A31" s="4"/>
      <c r="B31" s="215" t="s">
        <v>46</v>
      </c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6"/>
      <c r="BD31" s="197">
        <v>15</v>
      </c>
      <c r="BE31" s="198"/>
      <c r="BF31" s="198"/>
      <c r="BG31" s="198"/>
      <c r="BH31" s="198"/>
      <c r="BI31" s="198"/>
      <c r="BJ31" s="199"/>
      <c r="BK31" s="197"/>
      <c r="BL31" s="198"/>
      <c r="BM31" s="198"/>
      <c r="BN31" s="198"/>
      <c r="BO31" s="198"/>
      <c r="BP31" s="198"/>
      <c r="BQ31" s="198"/>
      <c r="BR31" s="198"/>
      <c r="BS31" s="198"/>
      <c r="BT31" s="198"/>
      <c r="BU31" s="198"/>
      <c r="BV31" s="199"/>
      <c r="BW31" s="197"/>
      <c r="BX31" s="198"/>
      <c r="BY31" s="198"/>
      <c r="BZ31" s="198"/>
      <c r="CA31" s="198"/>
      <c r="CB31" s="198"/>
      <c r="CC31" s="198"/>
      <c r="CD31" s="198"/>
      <c r="CE31" s="198"/>
      <c r="CF31" s="199"/>
      <c r="CG31" s="197" t="s">
        <v>142</v>
      </c>
      <c r="CH31" s="198"/>
      <c r="CI31" s="198"/>
      <c r="CJ31" s="198"/>
      <c r="CK31" s="198"/>
      <c r="CL31" s="198"/>
      <c r="CM31" s="198"/>
      <c r="CN31" s="198"/>
      <c r="CO31" s="198"/>
      <c r="CP31" s="198"/>
      <c r="CQ31" s="198"/>
      <c r="CR31" s="198"/>
      <c r="CS31" s="198"/>
      <c r="CT31" s="198"/>
      <c r="CU31" s="198"/>
      <c r="CV31" s="198"/>
      <c r="CW31" s="198"/>
      <c r="CX31" s="198"/>
      <c r="CY31" s="198"/>
      <c r="CZ31" s="198"/>
      <c r="DA31" s="198"/>
      <c r="DB31" s="198"/>
      <c r="DC31" s="199"/>
    </row>
    <row r="32" spans="1:107" ht="52.5" customHeight="1" x14ac:dyDescent="0.25">
      <c r="A32" s="4"/>
      <c r="B32" s="215" t="s">
        <v>173</v>
      </c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6"/>
      <c r="BD32" s="197">
        <v>16</v>
      </c>
      <c r="BE32" s="198"/>
      <c r="BF32" s="198"/>
      <c r="BG32" s="198"/>
      <c r="BH32" s="198"/>
      <c r="BI32" s="198"/>
      <c r="BJ32" s="199"/>
      <c r="BK32" s="197"/>
      <c r="BL32" s="198"/>
      <c r="BM32" s="198"/>
      <c r="BN32" s="198"/>
      <c r="BO32" s="198"/>
      <c r="BP32" s="198"/>
      <c r="BQ32" s="198"/>
      <c r="BR32" s="198"/>
      <c r="BS32" s="198"/>
      <c r="BT32" s="198"/>
      <c r="BU32" s="198"/>
      <c r="BV32" s="199"/>
      <c r="BW32" s="197"/>
      <c r="BX32" s="198"/>
      <c r="BY32" s="198"/>
      <c r="BZ32" s="198"/>
      <c r="CA32" s="198"/>
      <c r="CB32" s="198"/>
      <c r="CC32" s="198"/>
      <c r="CD32" s="198"/>
      <c r="CE32" s="198"/>
      <c r="CF32" s="199"/>
      <c r="CG32" s="197" t="s">
        <v>142</v>
      </c>
      <c r="CH32" s="198"/>
      <c r="CI32" s="198"/>
      <c r="CJ32" s="198"/>
      <c r="CK32" s="198"/>
      <c r="CL32" s="198"/>
      <c r="CM32" s="198"/>
      <c r="CN32" s="198"/>
      <c r="CO32" s="198"/>
      <c r="CP32" s="198"/>
      <c r="CQ32" s="198"/>
      <c r="CR32" s="198"/>
      <c r="CS32" s="198"/>
      <c r="CT32" s="198"/>
      <c r="CU32" s="198"/>
      <c r="CV32" s="198"/>
      <c r="CW32" s="198"/>
      <c r="CX32" s="198"/>
      <c r="CY32" s="198"/>
      <c r="CZ32" s="198"/>
      <c r="DA32" s="198"/>
      <c r="DB32" s="198"/>
      <c r="DC32" s="199"/>
    </row>
    <row r="33" spans="1:107" ht="12.75" customHeight="1" x14ac:dyDescent="0.25">
      <c r="A33" s="4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6"/>
      <c r="BD33" s="197">
        <v>17</v>
      </c>
      <c r="BE33" s="198"/>
      <c r="BF33" s="198"/>
      <c r="BG33" s="198"/>
      <c r="BH33" s="198"/>
      <c r="BI33" s="198"/>
      <c r="BJ33" s="199"/>
      <c r="BK33" s="197" t="s">
        <v>142</v>
      </c>
      <c r="BL33" s="198"/>
      <c r="BM33" s="198"/>
      <c r="BN33" s="198"/>
      <c r="BO33" s="198"/>
      <c r="BP33" s="198"/>
      <c r="BQ33" s="198"/>
      <c r="BR33" s="198"/>
      <c r="BS33" s="198"/>
      <c r="BT33" s="198"/>
      <c r="BU33" s="198"/>
      <c r="BV33" s="199"/>
      <c r="BW33" s="197" t="s">
        <v>142</v>
      </c>
      <c r="BX33" s="198"/>
      <c r="BY33" s="198"/>
      <c r="BZ33" s="198"/>
      <c r="CA33" s="198"/>
      <c r="CB33" s="198"/>
      <c r="CC33" s="198"/>
      <c r="CD33" s="198"/>
      <c r="CE33" s="198"/>
      <c r="CF33" s="199"/>
      <c r="CG33" s="197" t="s">
        <v>142</v>
      </c>
      <c r="CH33" s="198"/>
      <c r="CI33" s="198"/>
      <c r="CJ33" s="198"/>
      <c r="CK33" s="198"/>
      <c r="CL33" s="198"/>
      <c r="CM33" s="198"/>
      <c r="CN33" s="198"/>
      <c r="CO33" s="198"/>
      <c r="CP33" s="198"/>
      <c r="CQ33" s="198"/>
      <c r="CR33" s="198"/>
      <c r="CS33" s="198"/>
      <c r="CT33" s="198"/>
      <c r="CU33" s="198"/>
      <c r="CV33" s="198"/>
      <c r="CW33" s="198"/>
      <c r="CX33" s="198"/>
      <c r="CY33" s="198"/>
      <c r="CZ33" s="198"/>
      <c r="DA33" s="198"/>
      <c r="DB33" s="198"/>
      <c r="DC33" s="199"/>
    </row>
    <row r="34" spans="1:107" ht="12.75" customHeight="1" x14ac:dyDescent="0.25">
      <c r="A34" s="4"/>
      <c r="B34" s="215" t="s">
        <v>238</v>
      </c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6"/>
      <c r="BD34" s="197">
        <v>18</v>
      </c>
      <c r="BE34" s="198"/>
      <c r="BF34" s="198"/>
      <c r="BG34" s="198"/>
      <c r="BH34" s="198"/>
      <c r="BI34" s="198"/>
      <c r="BJ34" s="199"/>
      <c r="BK34" s="197" t="s">
        <v>142</v>
      </c>
      <c r="BL34" s="198"/>
      <c r="BM34" s="198"/>
      <c r="BN34" s="198"/>
      <c r="BO34" s="198"/>
      <c r="BP34" s="198"/>
      <c r="BQ34" s="198"/>
      <c r="BR34" s="198"/>
      <c r="BS34" s="198"/>
      <c r="BT34" s="198"/>
      <c r="BU34" s="198"/>
      <c r="BV34" s="199"/>
      <c r="BW34" s="197"/>
      <c r="BX34" s="198"/>
      <c r="BY34" s="198"/>
      <c r="BZ34" s="198"/>
      <c r="CA34" s="198"/>
      <c r="CB34" s="198"/>
      <c r="CC34" s="198"/>
      <c r="CD34" s="198"/>
      <c r="CE34" s="198"/>
      <c r="CF34" s="199"/>
      <c r="CG34" s="197" t="s">
        <v>142</v>
      </c>
      <c r="CH34" s="198"/>
      <c r="CI34" s="198"/>
      <c r="CJ34" s="198"/>
      <c r="CK34" s="198"/>
      <c r="CL34" s="198"/>
      <c r="CM34" s="198"/>
      <c r="CN34" s="198"/>
      <c r="CO34" s="198"/>
      <c r="CP34" s="198"/>
      <c r="CQ34" s="198"/>
      <c r="CR34" s="198"/>
      <c r="CS34" s="198"/>
      <c r="CT34" s="198"/>
      <c r="CU34" s="198"/>
      <c r="CV34" s="198"/>
      <c r="CW34" s="198"/>
      <c r="CX34" s="198"/>
      <c r="CY34" s="198"/>
      <c r="CZ34" s="198"/>
      <c r="DA34" s="198"/>
      <c r="DB34" s="198"/>
      <c r="DC34" s="199"/>
    </row>
    <row r="35" spans="1:107" ht="12.75" customHeight="1" x14ac:dyDescent="0.25">
      <c r="A35" s="4"/>
      <c r="B35" s="215" t="s">
        <v>239</v>
      </c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6"/>
      <c r="BD35" s="197">
        <v>19</v>
      </c>
      <c r="BE35" s="198"/>
      <c r="BF35" s="198"/>
      <c r="BG35" s="198"/>
      <c r="BH35" s="198"/>
      <c r="BI35" s="198"/>
      <c r="BJ35" s="199"/>
      <c r="BK35" s="197" t="s">
        <v>142</v>
      </c>
      <c r="BL35" s="198"/>
      <c r="BM35" s="198"/>
      <c r="BN35" s="198"/>
      <c r="BO35" s="198"/>
      <c r="BP35" s="198"/>
      <c r="BQ35" s="198"/>
      <c r="BR35" s="198"/>
      <c r="BS35" s="198"/>
      <c r="BT35" s="198"/>
      <c r="BU35" s="198"/>
      <c r="BV35" s="199"/>
      <c r="BW35" s="197"/>
      <c r="BX35" s="198"/>
      <c r="BY35" s="198"/>
      <c r="BZ35" s="198"/>
      <c r="CA35" s="198"/>
      <c r="CB35" s="198"/>
      <c r="CC35" s="198"/>
      <c r="CD35" s="198"/>
      <c r="CE35" s="198"/>
      <c r="CF35" s="199"/>
      <c r="CG35" s="197"/>
      <c r="CH35" s="198"/>
      <c r="CI35" s="198"/>
      <c r="CJ35" s="198"/>
      <c r="CK35" s="198"/>
      <c r="CL35" s="198"/>
      <c r="CM35" s="198"/>
      <c r="CN35" s="198"/>
      <c r="CO35" s="198"/>
      <c r="CP35" s="198"/>
      <c r="CQ35" s="198"/>
      <c r="CR35" s="198"/>
      <c r="CS35" s="198"/>
      <c r="CT35" s="198"/>
      <c r="CU35" s="198"/>
      <c r="CV35" s="198"/>
      <c r="CW35" s="198"/>
      <c r="CX35" s="198"/>
      <c r="CY35" s="198"/>
      <c r="CZ35" s="198"/>
      <c r="DA35" s="198"/>
      <c r="DB35" s="198"/>
      <c r="DC35" s="199"/>
    </row>
    <row r="36" spans="1:107" ht="9" customHeight="1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</row>
    <row r="37" spans="1:107" ht="9" customHeight="1" x14ac:dyDescent="0.25">
      <c r="A37" s="51" t="s">
        <v>159</v>
      </c>
    </row>
    <row r="38" spans="1:107" ht="26.25" customHeight="1" x14ac:dyDescent="0.25">
      <c r="A38" s="200" t="s">
        <v>152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  <c r="AA38" s="201"/>
      <c r="AB38" s="201"/>
      <c r="AC38" s="201"/>
      <c r="AD38" s="201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1"/>
      <c r="AT38" s="201"/>
      <c r="AU38" s="201"/>
      <c r="AV38" s="201"/>
      <c r="AW38" s="201"/>
      <c r="AX38" s="201"/>
      <c r="AY38" s="201"/>
      <c r="AZ38" s="201"/>
      <c r="BA38" s="201"/>
      <c r="BB38" s="201"/>
      <c r="BC38" s="202"/>
      <c r="BD38" s="230" t="s">
        <v>5</v>
      </c>
      <c r="BE38" s="231"/>
      <c r="BF38" s="231"/>
      <c r="BG38" s="231"/>
      <c r="BH38" s="231"/>
      <c r="BI38" s="231"/>
      <c r="BJ38" s="232"/>
      <c r="BK38" s="242" t="s">
        <v>153</v>
      </c>
      <c r="BL38" s="242"/>
      <c r="BM38" s="242"/>
      <c r="BN38" s="242"/>
      <c r="BO38" s="242"/>
      <c r="BP38" s="242"/>
      <c r="BQ38" s="242"/>
      <c r="BR38" s="242"/>
      <c r="BS38" s="242"/>
      <c r="BT38" s="242"/>
      <c r="BU38" s="242"/>
      <c r="BV38" s="242"/>
      <c r="BW38" s="242"/>
      <c r="BX38" s="242"/>
      <c r="BY38" s="242"/>
      <c r="BZ38" s="242"/>
      <c r="CA38" s="242"/>
      <c r="CB38" s="242"/>
      <c r="CC38" s="242"/>
      <c r="CD38" s="242"/>
      <c r="CE38" s="242"/>
      <c r="CF38" s="242"/>
      <c r="CG38" s="242"/>
      <c r="CH38" s="242"/>
      <c r="CI38" s="242"/>
      <c r="CJ38" s="242"/>
    </row>
    <row r="39" spans="1:107" ht="12" customHeight="1" x14ac:dyDescent="0.25">
      <c r="A39" s="200">
        <v>1</v>
      </c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1"/>
      <c r="AG39" s="201"/>
      <c r="AH39" s="201"/>
      <c r="AI39" s="201"/>
      <c r="AJ39" s="201"/>
      <c r="AK39" s="201"/>
      <c r="AL39" s="201"/>
      <c r="AM39" s="201"/>
      <c r="AN39" s="201"/>
      <c r="AO39" s="201"/>
      <c r="AP39" s="201"/>
      <c r="AQ39" s="201"/>
      <c r="AR39" s="201"/>
      <c r="AS39" s="201"/>
      <c r="AT39" s="201"/>
      <c r="AU39" s="201"/>
      <c r="AV39" s="201"/>
      <c r="AW39" s="201"/>
      <c r="AX39" s="201"/>
      <c r="AY39" s="201"/>
      <c r="AZ39" s="201"/>
      <c r="BA39" s="201"/>
      <c r="BB39" s="201"/>
      <c r="BC39" s="202"/>
      <c r="BD39" s="200">
        <v>2</v>
      </c>
      <c r="BE39" s="201"/>
      <c r="BF39" s="201"/>
      <c r="BG39" s="201"/>
      <c r="BH39" s="201"/>
      <c r="BI39" s="201"/>
      <c r="BJ39" s="202"/>
      <c r="BK39" s="242">
        <v>3</v>
      </c>
      <c r="BL39" s="242"/>
      <c r="BM39" s="242"/>
      <c r="BN39" s="242"/>
      <c r="BO39" s="242"/>
      <c r="BP39" s="242"/>
      <c r="BQ39" s="242"/>
      <c r="BR39" s="242"/>
      <c r="BS39" s="242"/>
      <c r="BT39" s="242"/>
      <c r="BU39" s="242"/>
      <c r="BV39" s="242"/>
      <c r="BW39" s="242"/>
      <c r="BX39" s="242"/>
      <c r="BY39" s="242"/>
      <c r="BZ39" s="242"/>
      <c r="CA39" s="242"/>
      <c r="CB39" s="242"/>
      <c r="CC39" s="242"/>
      <c r="CD39" s="242"/>
      <c r="CE39" s="242"/>
      <c r="CF39" s="242"/>
      <c r="CG39" s="242"/>
      <c r="CH39" s="242"/>
      <c r="CI39" s="242"/>
      <c r="CJ39" s="242"/>
    </row>
    <row r="40" spans="1:107" ht="12" customHeight="1" x14ac:dyDescent="0.25">
      <c r="A40" s="53"/>
      <c r="B40" s="52"/>
      <c r="C40" s="52" t="s">
        <v>154</v>
      </c>
      <c r="D40" s="52"/>
      <c r="E40" s="52"/>
      <c r="F40" s="52"/>
      <c r="G40" s="52"/>
      <c r="H40" s="52"/>
      <c r="I40" s="52"/>
      <c r="J40" s="52"/>
      <c r="K40" s="52"/>
      <c r="L40" s="52"/>
      <c r="M40" s="216" t="s">
        <v>157</v>
      </c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  <c r="AI40" s="216"/>
      <c r="AJ40" s="216"/>
      <c r="AK40" s="216"/>
      <c r="AL40" s="216"/>
      <c r="AM40" s="216"/>
      <c r="AN40" s="216"/>
      <c r="AO40" s="216"/>
      <c r="AP40" s="216"/>
      <c r="AQ40" s="216"/>
      <c r="AR40" s="216"/>
      <c r="AS40" s="216"/>
      <c r="AT40" s="216"/>
      <c r="AU40" s="216"/>
      <c r="AV40" s="216"/>
      <c r="AW40" s="216"/>
      <c r="AX40" s="216"/>
      <c r="AY40" s="216"/>
      <c r="AZ40" s="216"/>
      <c r="BA40" s="216"/>
      <c r="BB40" s="216"/>
      <c r="BC40" s="54"/>
      <c r="BD40" s="197">
        <v>1</v>
      </c>
      <c r="BE40" s="198"/>
      <c r="BF40" s="198"/>
      <c r="BG40" s="198"/>
      <c r="BH40" s="198"/>
      <c r="BI40" s="198"/>
      <c r="BJ40" s="199"/>
      <c r="BK40" s="243"/>
      <c r="BL40" s="243"/>
      <c r="BM40" s="243"/>
      <c r="BN40" s="243"/>
      <c r="BO40" s="243"/>
      <c r="BP40" s="243"/>
      <c r="BQ40" s="243"/>
      <c r="BR40" s="243"/>
      <c r="BS40" s="243"/>
      <c r="BT40" s="243"/>
      <c r="BU40" s="243"/>
      <c r="BV40" s="243"/>
      <c r="BW40" s="243"/>
      <c r="BX40" s="243"/>
      <c r="BY40" s="243"/>
      <c r="BZ40" s="243"/>
      <c r="CA40" s="243"/>
      <c r="CB40" s="243"/>
      <c r="CC40" s="243"/>
      <c r="CD40" s="243"/>
      <c r="CE40" s="243"/>
      <c r="CF40" s="243"/>
      <c r="CG40" s="243"/>
      <c r="CH40" s="243"/>
      <c r="CI40" s="243"/>
      <c r="CJ40" s="243"/>
    </row>
    <row r="41" spans="1:107" ht="12" customHeight="1" x14ac:dyDescent="0.25">
      <c r="A41" s="53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216" t="s">
        <v>156</v>
      </c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  <c r="AH41" s="216"/>
      <c r="AI41" s="216"/>
      <c r="AJ41" s="216"/>
      <c r="AK41" s="216"/>
      <c r="AL41" s="216"/>
      <c r="AM41" s="216"/>
      <c r="AN41" s="216"/>
      <c r="AO41" s="216"/>
      <c r="AP41" s="216"/>
      <c r="AQ41" s="216"/>
      <c r="AR41" s="216"/>
      <c r="AS41" s="216"/>
      <c r="AT41" s="216"/>
      <c r="AU41" s="216"/>
      <c r="AV41" s="216"/>
      <c r="AW41" s="216"/>
      <c r="AX41" s="216"/>
      <c r="AY41" s="216"/>
      <c r="AZ41" s="216"/>
      <c r="BA41" s="216"/>
      <c r="BB41" s="216"/>
      <c r="BC41" s="54"/>
      <c r="BD41" s="197">
        <v>2</v>
      </c>
      <c r="BE41" s="198"/>
      <c r="BF41" s="198"/>
      <c r="BG41" s="198"/>
      <c r="BH41" s="198"/>
      <c r="BI41" s="198"/>
      <c r="BJ41" s="199"/>
      <c r="BK41" s="243"/>
      <c r="BL41" s="243"/>
      <c r="BM41" s="243"/>
      <c r="BN41" s="243"/>
      <c r="BO41" s="243"/>
      <c r="BP41" s="243"/>
      <c r="BQ41" s="243"/>
      <c r="BR41" s="243"/>
      <c r="BS41" s="243"/>
      <c r="BT41" s="243"/>
      <c r="BU41" s="243"/>
      <c r="BV41" s="243"/>
      <c r="BW41" s="243"/>
      <c r="BX41" s="243"/>
      <c r="BY41" s="243"/>
      <c r="BZ41" s="243"/>
      <c r="CA41" s="243"/>
      <c r="CB41" s="243"/>
      <c r="CC41" s="243"/>
      <c r="CD41" s="243"/>
      <c r="CE41" s="243"/>
      <c r="CF41" s="243"/>
      <c r="CG41" s="243"/>
      <c r="CH41" s="243"/>
      <c r="CI41" s="243"/>
      <c r="CJ41" s="243"/>
    </row>
    <row r="42" spans="1:107" ht="12" customHeight="1" x14ac:dyDescent="0.25">
      <c r="A42" s="53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216" t="s">
        <v>158</v>
      </c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6"/>
      <c r="AR42" s="216"/>
      <c r="AS42" s="216"/>
      <c r="AT42" s="216"/>
      <c r="AU42" s="216"/>
      <c r="AV42" s="216"/>
      <c r="AW42" s="216"/>
      <c r="AX42" s="216"/>
      <c r="AY42" s="216"/>
      <c r="AZ42" s="216"/>
      <c r="BA42" s="216"/>
      <c r="BB42" s="216"/>
      <c r="BC42" s="54"/>
      <c r="BD42" s="197">
        <v>3</v>
      </c>
      <c r="BE42" s="198"/>
      <c r="BF42" s="198"/>
      <c r="BG42" s="198"/>
      <c r="BH42" s="198"/>
      <c r="BI42" s="198"/>
      <c r="BJ42" s="199"/>
      <c r="BK42" s="243"/>
      <c r="BL42" s="243"/>
      <c r="BM42" s="243"/>
      <c r="BN42" s="243"/>
      <c r="BO42" s="243"/>
      <c r="BP42" s="243"/>
      <c r="BQ42" s="243"/>
      <c r="BR42" s="243"/>
      <c r="BS42" s="243"/>
      <c r="BT42" s="243"/>
      <c r="BU42" s="243"/>
      <c r="BV42" s="243"/>
      <c r="BW42" s="243"/>
      <c r="BX42" s="243"/>
      <c r="BY42" s="243"/>
      <c r="BZ42" s="243"/>
      <c r="CA42" s="243"/>
      <c r="CB42" s="243"/>
      <c r="CC42" s="243"/>
      <c r="CD42" s="243"/>
      <c r="CE42" s="243"/>
      <c r="CF42" s="243"/>
      <c r="CG42" s="243"/>
      <c r="CH42" s="243"/>
      <c r="CI42" s="243"/>
      <c r="CJ42" s="243"/>
    </row>
    <row r="43" spans="1:107" ht="12" customHeight="1" x14ac:dyDescent="0.25">
      <c r="A43" s="53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216" t="s">
        <v>233</v>
      </c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6"/>
      <c r="AT43" s="216"/>
      <c r="AU43" s="216"/>
      <c r="AV43" s="216"/>
      <c r="AW43" s="216"/>
      <c r="AX43" s="216"/>
      <c r="AY43" s="216"/>
      <c r="AZ43" s="216"/>
      <c r="BA43" s="216"/>
      <c r="BB43" s="216"/>
      <c r="BC43" s="54"/>
      <c r="BD43" s="197">
        <v>4</v>
      </c>
      <c r="BE43" s="198"/>
      <c r="BF43" s="198"/>
      <c r="BG43" s="198"/>
      <c r="BH43" s="198"/>
      <c r="BI43" s="198"/>
      <c r="BJ43" s="199"/>
      <c r="BK43" s="243"/>
      <c r="BL43" s="243"/>
      <c r="BM43" s="243"/>
      <c r="BN43" s="243"/>
      <c r="BO43" s="243"/>
      <c r="BP43" s="243"/>
      <c r="BQ43" s="243"/>
      <c r="BR43" s="243"/>
      <c r="BS43" s="243"/>
      <c r="BT43" s="243"/>
      <c r="BU43" s="243"/>
      <c r="BV43" s="243"/>
      <c r="BW43" s="243"/>
      <c r="BX43" s="243"/>
      <c r="BY43" s="243"/>
      <c r="BZ43" s="243"/>
      <c r="CA43" s="243"/>
      <c r="CB43" s="243"/>
      <c r="CC43" s="243"/>
      <c r="CD43" s="243"/>
      <c r="CE43" s="243"/>
      <c r="CF43" s="243"/>
      <c r="CG43" s="243"/>
      <c r="CH43" s="243"/>
      <c r="CI43" s="243"/>
      <c r="CJ43" s="243"/>
    </row>
    <row r="44" spans="1:107" ht="12" customHeight="1" x14ac:dyDescent="0.25">
      <c r="A44" s="53"/>
      <c r="B44" s="52"/>
      <c r="C44" s="52" t="s">
        <v>155</v>
      </c>
      <c r="D44" s="52"/>
      <c r="E44" s="52"/>
      <c r="F44" s="52"/>
      <c r="G44" s="52"/>
      <c r="H44" s="52"/>
      <c r="I44" s="52"/>
      <c r="J44" s="52"/>
      <c r="K44" s="52"/>
      <c r="L44" s="52"/>
      <c r="M44" s="216" t="s">
        <v>234</v>
      </c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6"/>
      <c r="AT44" s="216"/>
      <c r="AU44" s="216"/>
      <c r="AV44" s="216"/>
      <c r="AW44" s="216"/>
      <c r="AX44" s="216"/>
      <c r="AY44" s="216"/>
      <c r="AZ44" s="216"/>
      <c r="BA44" s="216"/>
      <c r="BB44" s="216"/>
      <c r="BC44" s="54"/>
      <c r="BD44" s="197">
        <v>5</v>
      </c>
      <c r="BE44" s="198"/>
      <c r="BF44" s="198"/>
      <c r="BG44" s="198"/>
      <c r="BH44" s="198"/>
      <c r="BI44" s="198"/>
      <c r="BJ44" s="199"/>
      <c r="BK44" s="243"/>
      <c r="BL44" s="243"/>
      <c r="BM44" s="243"/>
      <c r="BN44" s="243"/>
      <c r="BO44" s="243"/>
      <c r="BP44" s="243"/>
      <c r="BQ44" s="243"/>
      <c r="BR44" s="243"/>
      <c r="BS44" s="243"/>
      <c r="BT44" s="243"/>
      <c r="BU44" s="243"/>
      <c r="BV44" s="243"/>
      <c r="BW44" s="243"/>
      <c r="BX44" s="243"/>
      <c r="BY44" s="243"/>
      <c r="BZ44" s="243"/>
      <c r="CA44" s="243"/>
      <c r="CB44" s="243"/>
      <c r="CC44" s="243"/>
      <c r="CD44" s="243"/>
      <c r="CE44" s="243"/>
      <c r="CF44" s="243"/>
      <c r="CG44" s="243"/>
      <c r="CH44" s="243"/>
      <c r="CI44" s="243"/>
      <c r="CJ44" s="243"/>
    </row>
    <row r="45" spans="1:107" ht="12.75" customHeight="1" x14ac:dyDescent="0.25"/>
  </sheetData>
  <mergeCells count="138">
    <mergeCell ref="BD38:BJ38"/>
    <mergeCell ref="BK38:CJ38"/>
    <mergeCell ref="BD43:BJ43"/>
    <mergeCell ref="BK43:CJ43"/>
    <mergeCell ref="BD39:BJ39"/>
    <mergeCell ref="BK39:CJ39"/>
    <mergeCell ref="BD40:BJ40"/>
    <mergeCell ref="BK40:CJ40"/>
    <mergeCell ref="BD44:BJ44"/>
    <mergeCell ref="BK44:CJ44"/>
    <mergeCell ref="BD41:BJ41"/>
    <mergeCell ref="BK41:CJ41"/>
    <mergeCell ref="BD42:BJ42"/>
    <mergeCell ref="BK42:CJ42"/>
    <mergeCell ref="CG34:DC34"/>
    <mergeCell ref="B35:BB35"/>
    <mergeCell ref="BD35:BJ35"/>
    <mergeCell ref="BK35:BV35"/>
    <mergeCell ref="BW35:CF35"/>
    <mergeCell ref="CG35:DC35"/>
    <mergeCell ref="B34:BB34"/>
    <mergeCell ref="BD34:BJ34"/>
    <mergeCell ref="BK34:BV34"/>
    <mergeCell ref="BW34:CF34"/>
    <mergeCell ref="CG32:DC32"/>
    <mergeCell ref="CG33:DC33"/>
    <mergeCell ref="BD32:BJ32"/>
    <mergeCell ref="BK32:BV32"/>
    <mergeCell ref="BW32:CF32"/>
    <mergeCell ref="B33:BB33"/>
    <mergeCell ref="BD33:BJ33"/>
    <mergeCell ref="BK33:BV33"/>
    <mergeCell ref="BW33:CF33"/>
    <mergeCell ref="CG30:DC30"/>
    <mergeCell ref="B31:BB31"/>
    <mergeCell ref="BD31:BJ31"/>
    <mergeCell ref="BK31:BV31"/>
    <mergeCell ref="BW31:CF31"/>
    <mergeCell ref="CG31:DC31"/>
    <mergeCell ref="B30:BB30"/>
    <mergeCell ref="BD30:BJ30"/>
    <mergeCell ref="BK30:BV30"/>
    <mergeCell ref="BW30:CF30"/>
    <mergeCell ref="B25:BB25"/>
    <mergeCell ref="BD25:BJ25"/>
    <mergeCell ref="BK25:BV25"/>
    <mergeCell ref="BW25:CF25"/>
    <mergeCell ref="CG25:DC25"/>
    <mergeCell ref="CG26:DC29"/>
    <mergeCell ref="AG27:AI27"/>
    <mergeCell ref="AJ27:AN27"/>
    <mergeCell ref="AO27:BA27"/>
    <mergeCell ref="AO28:BA28"/>
    <mergeCell ref="A26:BC26"/>
    <mergeCell ref="BD26:BJ29"/>
    <mergeCell ref="BK26:BV29"/>
    <mergeCell ref="BW26:CF29"/>
    <mergeCell ref="CG23:DC23"/>
    <mergeCell ref="B24:BB24"/>
    <mergeCell ref="BD24:BJ24"/>
    <mergeCell ref="BK24:BV24"/>
    <mergeCell ref="BW24:CF24"/>
    <mergeCell ref="CG24:DC24"/>
    <mergeCell ref="B23:BB23"/>
    <mergeCell ref="BD23:BJ23"/>
    <mergeCell ref="BK23:BV23"/>
    <mergeCell ref="BW23:CF23"/>
    <mergeCell ref="CG21:DC21"/>
    <mergeCell ref="B22:BB22"/>
    <mergeCell ref="BD22:BJ22"/>
    <mergeCell ref="BK22:BV22"/>
    <mergeCell ref="BW22:CF22"/>
    <mergeCell ref="CG22:DC22"/>
    <mergeCell ref="B21:BB21"/>
    <mergeCell ref="BD21:BJ21"/>
    <mergeCell ref="BK21:BV21"/>
    <mergeCell ref="BW21:CF21"/>
    <mergeCell ref="CG20:DC20"/>
    <mergeCell ref="G20:BB20"/>
    <mergeCell ref="BD20:BJ20"/>
    <mergeCell ref="BK20:BV20"/>
    <mergeCell ref="BW20:CF20"/>
    <mergeCell ref="G19:BB19"/>
    <mergeCell ref="BD19:BJ19"/>
    <mergeCell ref="BK19:BV19"/>
    <mergeCell ref="BW19:CF19"/>
    <mergeCell ref="CG19:DC19"/>
    <mergeCell ref="CG18:DC18"/>
    <mergeCell ref="G17:BB17"/>
    <mergeCell ref="BD17:BJ17"/>
    <mergeCell ref="BK17:BV17"/>
    <mergeCell ref="BW17:CF17"/>
    <mergeCell ref="B18:BB18"/>
    <mergeCell ref="BD18:BJ18"/>
    <mergeCell ref="BK18:BV18"/>
    <mergeCell ref="BW18:CF18"/>
    <mergeCell ref="CG16:DC16"/>
    <mergeCell ref="G13:BB13"/>
    <mergeCell ref="BD13:BJ15"/>
    <mergeCell ref="CG17:DC17"/>
    <mergeCell ref="B16:BB16"/>
    <mergeCell ref="BD16:BJ16"/>
    <mergeCell ref="BK16:BV16"/>
    <mergeCell ref="BW16:CF16"/>
    <mergeCell ref="BW13:CF15"/>
    <mergeCell ref="CG13:DC15"/>
    <mergeCell ref="CG9:DC12"/>
    <mergeCell ref="BD8:BJ8"/>
    <mergeCell ref="BK8:BV8"/>
    <mergeCell ref="BW8:CF8"/>
    <mergeCell ref="A8:BC8"/>
    <mergeCell ref="G14:U14"/>
    <mergeCell ref="V14:AJ14"/>
    <mergeCell ref="A9:BC9"/>
    <mergeCell ref="BD9:BJ12"/>
    <mergeCell ref="BK9:BV12"/>
    <mergeCell ref="BW9:CF12"/>
    <mergeCell ref="Q11:AE11"/>
    <mergeCell ref="BK13:BV15"/>
    <mergeCell ref="A1:DC1"/>
    <mergeCell ref="A2:DC2"/>
    <mergeCell ref="A6:BC7"/>
    <mergeCell ref="BD6:BJ7"/>
    <mergeCell ref="BK6:BV7"/>
    <mergeCell ref="BW6:DC6"/>
    <mergeCell ref="BW7:CF7"/>
    <mergeCell ref="CG7:DC7"/>
    <mergeCell ref="CG8:DC8"/>
    <mergeCell ref="M43:BB43"/>
    <mergeCell ref="M44:BB44"/>
    <mergeCell ref="B27:AF27"/>
    <mergeCell ref="M40:BB40"/>
    <mergeCell ref="M41:BB41"/>
    <mergeCell ref="M42:BB42"/>
    <mergeCell ref="B32:BB32"/>
    <mergeCell ref="A38:BC38"/>
    <mergeCell ref="A39:BC39"/>
    <mergeCell ref="B29:BB29"/>
  </mergeCells>
  <phoneticPr fontId="7" type="noConversion"/>
  <pageMargins left="0.78740157480314965" right="0.19685039370078741" top="0.59055118110236227" bottom="0.31496062992125984" header="0.19685039370078741" footer="0.1968503937007874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K31"/>
  <sheetViews>
    <sheetView topLeftCell="A2" zoomScaleNormal="100" workbookViewId="0">
      <selection activeCell="AO15" sqref="AO15:BS16"/>
    </sheetView>
  </sheetViews>
  <sheetFormatPr defaultColWidth="0.77734375" defaultRowHeight="13.2" x14ac:dyDescent="0.25"/>
  <cols>
    <col min="1" max="16384" width="0.77734375" style="1"/>
  </cols>
  <sheetData>
    <row r="1" spans="1:167" ht="12" customHeight="1" x14ac:dyDescent="0.25">
      <c r="A1" s="119" t="s">
        <v>69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19"/>
      <c r="DN1" s="119"/>
      <c r="DO1" s="119"/>
      <c r="DP1" s="119"/>
      <c r="DQ1" s="119"/>
      <c r="DR1" s="119"/>
      <c r="DS1" s="119"/>
      <c r="DT1" s="119"/>
      <c r="DU1" s="119"/>
      <c r="DV1" s="119"/>
      <c r="DW1" s="119"/>
      <c r="DX1" s="119"/>
      <c r="DY1" s="119"/>
      <c r="DZ1" s="119"/>
      <c r="EA1" s="119"/>
      <c r="EB1" s="119"/>
      <c r="EC1" s="119"/>
      <c r="ED1" s="119"/>
      <c r="EE1" s="119"/>
      <c r="EF1" s="119"/>
      <c r="EG1" s="119"/>
      <c r="EH1" s="119"/>
      <c r="EI1" s="119"/>
      <c r="EJ1" s="119"/>
      <c r="EK1" s="119"/>
      <c r="EL1" s="119"/>
      <c r="EM1" s="119"/>
      <c r="EN1" s="119"/>
      <c r="EO1" s="119"/>
      <c r="EP1" s="119"/>
      <c r="EQ1" s="119"/>
      <c r="ER1" s="119"/>
      <c r="ES1" s="119"/>
      <c r="ET1" s="119"/>
      <c r="EU1" s="119"/>
      <c r="EV1" s="119"/>
      <c r="EW1" s="119"/>
      <c r="EX1" s="119"/>
      <c r="EY1" s="119"/>
      <c r="EZ1" s="119"/>
      <c r="FA1" s="119"/>
      <c r="FB1" s="119"/>
      <c r="FC1" s="119"/>
      <c r="FD1" s="119"/>
      <c r="FE1" s="119"/>
      <c r="FF1" s="119"/>
      <c r="FG1" s="119"/>
      <c r="FH1" s="119"/>
      <c r="FI1" s="119"/>
      <c r="FJ1" s="119"/>
      <c r="FK1" s="119"/>
    </row>
    <row r="2" spans="1:167" s="14" customFormat="1" ht="12" x14ac:dyDescent="0.25">
      <c r="FK2" s="44" t="s">
        <v>70</v>
      </c>
    </row>
    <row r="3" spans="1:167" ht="23.55" customHeight="1" x14ac:dyDescent="0.25">
      <c r="A3" s="190" t="s">
        <v>181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5"/>
      <c r="AP3" s="190" t="s">
        <v>27</v>
      </c>
      <c r="AQ3" s="184"/>
      <c r="AR3" s="184"/>
      <c r="AS3" s="184"/>
      <c r="AT3" s="184"/>
      <c r="AU3" s="184"/>
      <c r="AV3" s="184"/>
      <c r="AW3" s="246" t="s">
        <v>143</v>
      </c>
      <c r="AX3" s="247"/>
      <c r="AY3" s="247"/>
      <c r="AZ3" s="247"/>
      <c r="BA3" s="247"/>
      <c r="BB3" s="247"/>
      <c r="BC3" s="247"/>
      <c r="BD3" s="247"/>
      <c r="BE3" s="247"/>
      <c r="BF3" s="247"/>
      <c r="BG3" s="247"/>
      <c r="BH3" s="247"/>
      <c r="BI3" s="247"/>
      <c r="BJ3" s="247"/>
      <c r="BK3" s="247"/>
      <c r="BL3" s="247"/>
      <c r="BM3" s="247"/>
      <c r="BN3" s="247"/>
      <c r="BO3" s="247"/>
      <c r="BP3" s="247"/>
      <c r="BQ3" s="247"/>
      <c r="BR3" s="247"/>
      <c r="BS3" s="247"/>
      <c r="BT3" s="247"/>
      <c r="BU3" s="247"/>
      <c r="BV3" s="247"/>
      <c r="BW3" s="247"/>
      <c r="BX3" s="247"/>
      <c r="BY3" s="246" t="s">
        <v>240</v>
      </c>
      <c r="BZ3" s="247"/>
      <c r="CA3" s="247"/>
      <c r="CB3" s="247"/>
      <c r="CC3" s="247"/>
      <c r="CD3" s="247"/>
      <c r="CE3" s="247"/>
      <c r="CF3" s="247"/>
      <c r="CG3" s="247"/>
      <c r="CH3" s="247"/>
      <c r="CI3" s="247"/>
      <c r="CJ3" s="247"/>
      <c r="CK3" s="247"/>
      <c r="CL3" s="247"/>
      <c r="CM3" s="247"/>
      <c r="CN3" s="247"/>
      <c r="CO3" s="247"/>
      <c r="CP3" s="247"/>
      <c r="CQ3" s="247"/>
      <c r="CR3" s="247"/>
      <c r="CS3" s="247"/>
      <c r="CT3" s="247"/>
      <c r="CU3" s="247"/>
      <c r="CV3" s="247"/>
      <c r="CW3" s="247"/>
      <c r="CX3" s="247"/>
      <c r="CY3" s="247"/>
      <c r="CZ3" s="247"/>
      <c r="DA3" s="248"/>
      <c r="DB3" s="246" t="s">
        <v>144</v>
      </c>
      <c r="DC3" s="247"/>
      <c r="DD3" s="247"/>
      <c r="DE3" s="247"/>
      <c r="DF3" s="247"/>
      <c r="DG3" s="247"/>
      <c r="DH3" s="247"/>
      <c r="DI3" s="247"/>
      <c r="DJ3" s="247"/>
      <c r="DK3" s="247"/>
      <c r="DL3" s="247"/>
      <c r="DM3" s="247"/>
      <c r="DN3" s="247"/>
      <c r="DO3" s="247"/>
      <c r="DP3" s="247"/>
      <c r="DQ3" s="247"/>
      <c r="DR3" s="247"/>
      <c r="DS3" s="247"/>
      <c r="DT3" s="247"/>
      <c r="DU3" s="247"/>
      <c r="DV3" s="247"/>
      <c r="DW3" s="247"/>
      <c r="DX3" s="247"/>
      <c r="DY3" s="247"/>
      <c r="DZ3" s="247"/>
      <c r="EA3" s="247"/>
      <c r="EB3" s="247"/>
      <c r="EC3" s="247"/>
      <c r="ED3" s="247"/>
      <c r="EE3" s="248"/>
      <c r="EF3" s="244" t="s">
        <v>65</v>
      </c>
      <c r="EG3" s="245"/>
      <c r="EH3" s="245"/>
      <c r="EI3" s="245"/>
      <c r="EJ3" s="245"/>
      <c r="EK3" s="245"/>
      <c r="EL3" s="245"/>
      <c r="EM3" s="245"/>
      <c r="EN3" s="245"/>
      <c r="EO3" s="245"/>
      <c r="EP3" s="245"/>
      <c r="EQ3" s="245"/>
      <c r="ER3" s="245"/>
      <c r="ES3" s="245"/>
      <c r="ET3" s="245"/>
      <c r="EU3" s="245"/>
      <c r="EV3" s="245"/>
      <c r="EW3" s="245"/>
      <c r="EX3" s="245"/>
      <c r="EY3" s="245"/>
      <c r="EZ3" s="245"/>
      <c r="FA3" s="245"/>
      <c r="FB3" s="245"/>
      <c r="FC3" s="245"/>
      <c r="FD3" s="245"/>
      <c r="FE3" s="245"/>
      <c r="FF3" s="245"/>
      <c r="FG3" s="245"/>
      <c r="FH3" s="245"/>
      <c r="FI3" s="245"/>
      <c r="FJ3" s="245"/>
      <c r="FK3" s="245"/>
    </row>
    <row r="4" spans="1:167" ht="23.55" customHeight="1" x14ac:dyDescent="0.25">
      <c r="A4" s="250"/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2"/>
      <c r="AP4" s="250"/>
      <c r="AQ4" s="251"/>
      <c r="AR4" s="251"/>
      <c r="AS4" s="251"/>
      <c r="AT4" s="251"/>
      <c r="AU4" s="251"/>
      <c r="AV4" s="251"/>
      <c r="AW4" s="247"/>
      <c r="AX4" s="247"/>
      <c r="AY4" s="247"/>
      <c r="AZ4" s="247"/>
      <c r="BA4" s="247"/>
      <c r="BB4" s="247"/>
      <c r="BC4" s="247"/>
      <c r="BD4" s="247"/>
      <c r="BE4" s="247"/>
      <c r="BF4" s="247"/>
      <c r="BG4" s="247"/>
      <c r="BH4" s="247"/>
      <c r="BI4" s="247"/>
      <c r="BJ4" s="247"/>
      <c r="BK4" s="247"/>
      <c r="BL4" s="247"/>
      <c r="BM4" s="247"/>
      <c r="BN4" s="247"/>
      <c r="BO4" s="247"/>
      <c r="BP4" s="247"/>
      <c r="BQ4" s="247"/>
      <c r="BR4" s="247"/>
      <c r="BS4" s="247"/>
      <c r="BT4" s="247"/>
      <c r="BU4" s="247"/>
      <c r="BV4" s="247"/>
      <c r="BW4" s="247"/>
      <c r="BX4" s="247"/>
      <c r="BY4" s="247"/>
      <c r="BZ4" s="247"/>
      <c r="CA4" s="247"/>
      <c r="CB4" s="247"/>
      <c r="CC4" s="247"/>
      <c r="CD4" s="247"/>
      <c r="CE4" s="247"/>
      <c r="CF4" s="247"/>
      <c r="CG4" s="247"/>
      <c r="CH4" s="247"/>
      <c r="CI4" s="247"/>
      <c r="CJ4" s="247"/>
      <c r="CK4" s="247"/>
      <c r="CL4" s="247"/>
      <c r="CM4" s="247"/>
      <c r="CN4" s="247"/>
      <c r="CO4" s="247"/>
      <c r="CP4" s="247"/>
      <c r="CQ4" s="247"/>
      <c r="CR4" s="247"/>
      <c r="CS4" s="247"/>
      <c r="CT4" s="247"/>
      <c r="CU4" s="247"/>
      <c r="CV4" s="247"/>
      <c r="CW4" s="247"/>
      <c r="CX4" s="247"/>
      <c r="CY4" s="247"/>
      <c r="CZ4" s="247"/>
      <c r="DA4" s="248"/>
      <c r="DB4" s="247"/>
      <c r="DC4" s="247"/>
      <c r="DD4" s="247"/>
      <c r="DE4" s="247"/>
      <c r="DF4" s="247"/>
      <c r="DG4" s="247"/>
      <c r="DH4" s="247"/>
      <c r="DI4" s="247"/>
      <c r="DJ4" s="247"/>
      <c r="DK4" s="247"/>
      <c r="DL4" s="247"/>
      <c r="DM4" s="247"/>
      <c r="DN4" s="247"/>
      <c r="DO4" s="247"/>
      <c r="DP4" s="247"/>
      <c r="DQ4" s="247"/>
      <c r="DR4" s="247"/>
      <c r="DS4" s="247"/>
      <c r="DT4" s="247"/>
      <c r="DU4" s="247"/>
      <c r="DV4" s="247"/>
      <c r="DW4" s="247"/>
      <c r="DX4" s="247"/>
      <c r="DY4" s="247"/>
      <c r="DZ4" s="247"/>
      <c r="EA4" s="247"/>
      <c r="EB4" s="247"/>
      <c r="EC4" s="247"/>
      <c r="ED4" s="247"/>
      <c r="EE4" s="248"/>
      <c r="EF4" s="160" t="s">
        <v>241</v>
      </c>
      <c r="EG4" s="161"/>
      <c r="EH4" s="161"/>
      <c r="EI4" s="161"/>
      <c r="EJ4" s="161"/>
      <c r="EK4" s="161"/>
      <c r="EL4" s="161"/>
      <c r="EM4" s="161"/>
      <c r="EN4" s="161"/>
      <c r="EO4" s="161"/>
      <c r="EP4" s="161"/>
      <c r="EQ4" s="161"/>
      <c r="ER4" s="161"/>
      <c r="ES4" s="162"/>
      <c r="ET4" s="160" t="s">
        <v>242</v>
      </c>
      <c r="EU4" s="161"/>
      <c r="EV4" s="161"/>
      <c r="EW4" s="161"/>
      <c r="EX4" s="161"/>
      <c r="EY4" s="161"/>
      <c r="EZ4" s="161"/>
      <c r="FA4" s="161"/>
      <c r="FB4" s="161"/>
      <c r="FC4" s="161"/>
      <c r="FD4" s="161"/>
      <c r="FE4" s="161"/>
      <c r="FF4" s="161"/>
      <c r="FG4" s="161"/>
      <c r="FH4" s="161"/>
      <c r="FI4" s="161"/>
      <c r="FJ4" s="161"/>
      <c r="FK4" s="162"/>
    </row>
    <row r="5" spans="1:167" ht="11.1" customHeight="1" x14ac:dyDescent="0.25">
      <c r="A5" s="186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8"/>
      <c r="AP5" s="186"/>
      <c r="AQ5" s="187"/>
      <c r="AR5" s="187"/>
      <c r="AS5" s="187"/>
      <c r="AT5" s="187"/>
      <c r="AU5" s="187"/>
      <c r="AV5" s="187"/>
      <c r="AW5" s="169" t="s">
        <v>67</v>
      </c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 t="s">
        <v>68</v>
      </c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 t="s">
        <v>67</v>
      </c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 t="s">
        <v>68</v>
      </c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93"/>
      <c r="DB5" s="169" t="s">
        <v>67</v>
      </c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 t="s">
        <v>68</v>
      </c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93"/>
      <c r="EF5" s="169" t="s">
        <v>67</v>
      </c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 t="s">
        <v>68</v>
      </c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</row>
    <row r="6" spans="1:167" ht="11.1" customHeight="1" x14ac:dyDescent="0.25">
      <c r="A6" s="93">
        <v>1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5"/>
      <c r="AP6" s="93">
        <v>2</v>
      </c>
      <c r="AQ6" s="94"/>
      <c r="AR6" s="94"/>
      <c r="AS6" s="94"/>
      <c r="AT6" s="94"/>
      <c r="AU6" s="94"/>
      <c r="AV6" s="94"/>
      <c r="AW6" s="169">
        <v>3</v>
      </c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>
        <v>4</v>
      </c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>
        <v>5</v>
      </c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>
        <v>6</v>
      </c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93"/>
      <c r="DB6" s="169">
        <v>7</v>
      </c>
      <c r="DC6" s="169"/>
      <c r="DD6" s="169"/>
      <c r="DE6" s="169"/>
      <c r="DF6" s="169"/>
      <c r="DG6" s="169"/>
      <c r="DH6" s="169"/>
      <c r="DI6" s="169"/>
      <c r="DJ6" s="169"/>
      <c r="DK6" s="169"/>
      <c r="DL6" s="169"/>
      <c r="DM6" s="169"/>
      <c r="DN6" s="169"/>
      <c r="DO6" s="169">
        <v>8</v>
      </c>
      <c r="DP6" s="169"/>
      <c r="DQ6" s="169"/>
      <c r="DR6" s="169"/>
      <c r="DS6" s="169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93"/>
      <c r="EF6" s="169">
        <v>9</v>
      </c>
      <c r="EG6" s="169"/>
      <c r="EH6" s="169"/>
      <c r="EI6" s="169"/>
      <c r="EJ6" s="169"/>
      <c r="EK6" s="169"/>
      <c r="EL6" s="169"/>
      <c r="EM6" s="169"/>
      <c r="EN6" s="169"/>
      <c r="EO6" s="169"/>
      <c r="EP6" s="169"/>
      <c r="EQ6" s="169"/>
      <c r="ER6" s="169"/>
      <c r="ES6" s="169"/>
      <c r="ET6" s="169">
        <v>10</v>
      </c>
      <c r="EU6" s="169"/>
      <c r="EV6" s="169"/>
      <c r="EW6" s="169"/>
      <c r="EX6" s="169"/>
      <c r="EY6" s="169"/>
      <c r="EZ6" s="169"/>
      <c r="FA6" s="169"/>
      <c r="FB6" s="169"/>
      <c r="FC6" s="169"/>
      <c r="FD6" s="169"/>
      <c r="FE6" s="169"/>
      <c r="FF6" s="169"/>
      <c r="FG6" s="169"/>
      <c r="FH6" s="169"/>
      <c r="FI6" s="169"/>
      <c r="FJ6" s="169"/>
      <c r="FK6" s="169"/>
    </row>
    <row r="7" spans="1:167" ht="11.1" customHeight="1" x14ac:dyDescent="0.25">
      <c r="A7" s="16"/>
      <c r="B7" s="125" t="s">
        <v>45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55"/>
      <c r="AP7" s="93">
        <v>1</v>
      </c>
      <c r="AQ7" s="94"/>
      <c r="AR7" s="94"/>
      <c r="AS7" s="94"/>
      <c r="AT7" s="94"/>
      <c r="AU7" s="94"/>
      <c r="AV7" s="94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93"/>
      <c r="DB7" s="169"/>
      <c r="DC7" s="169"/>
      <c r="DD7" s="169"/>
      <c r="DE7" s="169"/>
      <c r="DF7" s="169"/>
      <c r="DG7" s="169"/>
      <c r="DH7" s="169"/>
      <c r="DI7" s="169"/>
      <c r="DJ7" s="169"/>
      <c r="DK7" s="169"/>
      <c r="DL7" s="169"/>
      <c r="DM7" s="169"/>
      <c r="DN7" s="169"/>
      <c r="DO7" s="169"/>
      <c r="DP7" s="169"/>
      <c r="DQ7" s="169"/>
      <c r="DR7" s="169"/>
      <c r="DS7" s="169"/>
      <c r="DT7" s="169"/>
      <c r="DU7" s="169"/>
      <c r="DV7" s="169"/>
      <c r="DW7" s="169"/>
      <c r="DX7" s="169"/>
      <c r="DY7" s="169"/>
      <c r="DZ7" s="169"/>
      <c r="EA7" s="169"/>
      <c r="EB7" s="169"/>
      <c r="EC7" s="169"/>
      <c r="ED7" s="169"/>
      <c r="EE7" s="93"/>
      <c r="EF7" s="169"/>
      <c r="EG7" s="169"/>
      <c r="EH7" s="169"/>
      <c r="EI7" s="169"/>
      <c r="EJ7" s="169"/>
      <c r="EK7" s="169"/>
      <c r="EL7" s="169"/>
      <c r="EM7" s="169"/>
      <c r="EN7" s="169"/>
      <c r="EO7" s="169"/>
      <c r="EP7" s="169"/>
      <c r="EQ7" s="169"/>
      <c r="ER7" s="169"/>
      <c r="ES7" s="169"/>
      <c r="ET7" s="169"/>
      <c r="EU7" s="169"/>
      <c r="EV7" s="169"/>
      <c r="EW7" s="169"/>
      <c r="EX7" s="169"/>
      <c r="EY7" s="169"/>
      <c r="EZ7" s="169"/>
      <c r="FA7" s="169"/>
      <c r="FB7" s="169"/>
      <c r="FC7" s="169"/>
      <c r="FD7" s="169"/>
      <c r="FE7" s="169"/>
      <c r="FF7" s="169"/>
      <c r="FG7" s="169"/>
      <c r="FH7" s="169"/>
      <c r="FI7" s="169"/>
      <c r="FJ7" s="169"/>
      <c r="FK7" s="169"/>
    </row>
    <row r="8" spans="1:167" ht="23.25" customHeight="1" x14ac:dyDescent="0.25">
      <c r="A8" s="16"/>
      <c r="B8" s="125" t="s">
        <v>64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55"/>
      <c r="AP8" s="93">
        <v>2</v>
      </c>
      <c r="AQ8" s="94"/>
      <c r="AR8" s="94"/>
      <c r="AS8" s="94"/>
      <c r="AT8" s="94"/>
      <c r="AU8" s="94"/>
      <c r="AV8" s="94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93"/>
      <c r="DB8" s="169"/>
      <c r="DC8" s="169"/>
      <c r="DD8" s="169"/>
      <c r="DE8" s="169"/>
      <c r="DF8" s="169"/>
      <c r="DG8" s="169"/>
      <c r="DH8" s="169"/>
      <c r="DI8" s="169"/>
      <c r="DJ8" s="169"/>
      <c r="DK8" s="169"/>
      <c r="DL8" s="169"/>
      <c r="DM8" s="169"/>
      <c r="DN8" s="169"/>
      <c r="DO8" s="169"/>
      <c r="DP8" s="169"/>
      <c r="DQ8" s="169"/>
      <c r="DR8" s="169"/>
      <c r="DS8" s="169"/>
      <c r="DT8" s="169"/>
      <c r="DU8" s="169"/>
      <c r="DV8" s="169"/>
      <c r="DW8" s="169"/>
      <c r="DX8" s="169"/>
      <c r="DY8" s="169"/>
      <c r="DZ8" s="169"/>
      <c r="EA8" s="169"/>
      <c r="EB8" s="169"/>
      <c r="EC8" s="169"/>
      <c r="ED8" s="169"/>
      <c r="EE8" s="93"/>
      <c r="EF8" s="169"/>
      <c r="EG8" s="169"/>
      <c r="EH8" s="169"/>
      <c r="EI8" s="169"/>
      <c r="EJ8" s="169"/>
      <c r="EK8" s="169"/>
      <c r="EL8" s="169"/>
      <c r="EM8" s="169"/>
      <c r="EN8" s="169"/>
      <c r="EO8" s="169"/>
      <c r="EP8" s="169"/>
      <c r="EQ8" s="169"/>
      <c r="ER8" s="169"/>
      <c r="ES8" s="169"/>
      <c r="ET8" s="169"/>
      <c r="EU8" s="169"/>
      <c r="EV8" s="169"/>
      <c r="EW8" s="169"/>
      <c r="EX8" s="169"/>
      <c r="EY8" s="169"/>
      <c r="EZ8" s="169"/>
      <c r="FA8" s="169"/>
      <c r="FB8" s="169"/>
      <c r="FC8" s="169"/>
      <c r="FD8" s="169"/>
      <c r="FE8" s="169"/>
      <c r="FF8" s="169"/>
      <c r="FG8" s="169"/>
      <c r="FH8" s="169"/>
      <c r="FI8" s="169"/>
      <c r="FJ8" s="169"/>
      <c r="FK8" s="169"/>
    </row>
    <row r="9" spans="1:167" ht="11.1" customHeight="1" x14ac:dyDescent="0.25">
      <c r="A9" s="16"/>
      <c r="B9" s="125" t="s">
        <v>46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55"/>
      <c r="AP9" s="93">
        <v>3</v>
      </c>
      <c r="AQ9" s="94"/>
      <c r="AR9" s="94"/>
      <c r="AS9" s="94"/>
      <c r="AT9" s="94"/>
      <c r="AU9" s="94"/>
      <c r="AV9" s="94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93"/>
      <c r="DB9" s="169"/>
      <c r="DC9" s="169"/>
      <c r="DD9" s="169"/>
      <c r="DE9" s="169"/>
      <c r="DF9" s="169"/>
      <c r="DG9" s="169"/>
      <c r="DH9" s="169"/>
      <c r="DI9" s="169"/>
      <c r="DJ9" s="169"/>
      <c r="DK9" s="169"/>
      <c r="DL9" s="169"/>
      <c r="DM9" s="169"/>
      <c r="DN9" s="169"/>
      <c r="DO9" s="169"/>
      <c r="DP9" s="169"/>
      <c r="DQ9" s="169"/>
      <c r="DR9" s="169"/>
      <c r="DS9" s="169"/>
      <c r="DT9" s="169"/>
      <c r="DU9" s="169"/>
      <c r="DV9" s="169"/>
      <c r="DW9" s="169"/>
      <c r="DX9" s="169"/>
      <c r="DY9" s="169"/>
      <c r="DZ9" s="169"/>
      <c r="EA9" s="169"/>
      <c r="EB9" s="169"/>
      <c r="EC9" s="169"/>
      <c r="ED9" s="169"/>
      <c r="EE9" s="93"/>
      <c r="EF9" s="169"/>
      <c r="EG9" s="169"/>
      <c r="EH9" s="169"/>
      <c r="EI9" s="169"/>
      <c r="EJ9" s="169"/>
      <c r="EK9" s="169"/>
      <c r="EL9" s="169"/>
      <c r="EM9" s="169"/>
      <c r="EN9" s="169"/>
      <c r="EO9" s="169"/>
      <c r="EP9" s="169"/>
      <c r="EQ9" s="169"/>
      <c r="ER9" s="169"/>
      <c r="ES9" s="169"/>
      <c r="ET9" s="169"/>
      <c r="EU9" s="169"/>
      <c r="EV9" s="169"/>
      <c r="EW9" s="169"/>
      <c r="EX9" s="169"/>
      <c r="EY9" s="169"/>
      <c r="EZ9" s="169"/>
      <c r="FA9" s="169"/>
      <c r="FB9" s="169"/>
      <c r="FC9" s="169"/>
      <c r="FD9" s="169"/>
      <c r="FE9" s="169"/>
      <c r="FF9" s="169"/>
      <c r="FG9" s="169"/>
      <c r="FH9" s="169"/>
      <c r="FI9" s="169"/>
      <c r="FJ9" s="169"/>
      <c r="FK9" s="169"/>
    </row>
    <row r="10" spans="1:167" ht="11.1" customHeight="1" x14ac:dyDescent="0.25">
      <c r="A10" s="16"/>
      <c r="B10" s="249" t="s">
        <v>180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55"/>
      <c r="AP10" s="93">
        <v>4</v>
      </c>
      <c r="AQ10" s="94"/>
      <c r="AR10" s="94"/>
      <c r="AS10" s="94"/>
      <c r="AT10" s="94"/>
      <c r="AU10" s="94"/>
      <c r="AV10" s="94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93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  <c r="EB10" s="169"/>
      <c r="EC10" s="169"/>
      <c r="ED10" s="169"/>
      <c r="EE10" s="93"/>
      <c r="EF10" s="169"/>
      <c r="EG10" s="169"/>
      <c r="EH10" s="169"/>
      <c r="EI10" s="169"/>
      <c r="EJ10" s="169"/>
      <c r="EK10" s="169"/>
      <c r="EL10" s="169"/>
      <c r="EM10" s="169"/>
      <c r="EN10" s="169"/>
      <c r="EO10" s="169"/>
      <c r="EP10" s="169"/>
      <c r="EQ10" s="169"/>
      <c r="ER10" s="169"/>
      <c r="ES10" s="169"/>
      <c r="ET10" s="169"/>
      <c r="EU10" s="169"/>
      <c r="EV10" s="169"/>
      <c r="EW10" s="169"/>
      <c r="EX10" s="169"/>
      <c r="EY10" s="169"/>
      <c r="EZ10" s="169"/>
      <c r="FA10" s="169"/>
      <c r="FB10" s="169"/>
      <c r="FC10" s="169"/>
      <c r="FD10" s="169"/>
      <c r="FE10" s="169"/>
      <c r="FF10" s="169"/>
      <c r="FG10" s="169"/>
      <c r="FH10" s="169"/>
      <c r="FI10" s="169"/>
      <c r="FJ10" s="169"/>
      <c r="FK10" s="169"/>
    </row>
    <row r="11" spans="1:167" ht="11.1" customHeight="1" x14ac:dyDescent="0.25">
      <c r="A11" s="56"/>
      <c r="B11" s="57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  <c r="FK11" s="56"/>
    </row>
    <row r="12" spans="1:167" ht="12" customHeight="1" x14ac:dyDescent="0.25">
      <c r="A12" s="119" t="s">
        <v>71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1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9"/>
      <c r="DG12" s="119"/>
      <c r="DH12" s="119"/>
      <c r="DI12" s="119"/>
      <c r="DJ12" s="119"/>
      <c r="DK12" s="119"/>
      <c r="DL12" s="119"/>
      <c r="DM12" s="119"/>
      <c r="DN12" s="119"/>
      <c r="DO12" s="119"/>
      <c r="DP12" s="119"/>
      <c r="DQ12" s="119"/>
      <c r="DR12" s="119"/>
      <c r="DS12" s="119"/>
      <c r="DT12" s="119"/>
      <c r="DU12" s="119"/>
      <c r="DV12" s="119"/>
      <c r="DW12" s="119"/>
      <c r="DX12" s="119"/>
      <c r="DY12" s="119"/>
      <c r="DZ12" s="119"/>
      <c r="EA12" s="119"/>
      <c r="EB12" s="119"/>
      <c r="EC12" s="119"/>
      <c r="ED12" s="119"/>
      <c r="EE12" s="119"/>
      <c r="EF12" s="119"/>
      <c r="EG12" s="119"/>
      <c r="EH12" s="119"/>
      <c r="EI12" s="119"/>
      <c r="EJ12" s="119"/>
      <c r="EK12" s="119"/>
      <c r="EL12" s="119"/>
      <c r="EM12" s="119"/>
      <c r="EN12" s="119"/>
      <c r="EO12" s="119"/>
      <c r="EP12" s="119"/>
      <c r="EQ12" s="119"/>
      <c r="ER12" s="119"/>
      <c r="ES12" s="119"/>
      <c r="ET12" s="119"/>
      <c r="EU12" s="119"/>
      <c r="EV12" s="119"/>
      <c r="EW12" s="119"/>
      <c r="EX12" s="119"/>
      <c r="EY12" s="119"/>
      <c r="EZ12" s="119"/>
      <c r="FA12" s="119"/>
      <c r="FB12" s="119"/>
      <c r="FC12" s="119"/>
      <c r="FD12" s="119"/>
      <c r="FE12" s="119"/>
      <c r="FF12" s="119"/>
      <c r="FG12" s="119"/>
      <c r="FH12" s="119"/>
      <c r="FI12" s="119"/>
      <c r="FJ12" s="119"/>
      <c r="FK12" s="119"/>
    </row>
    <row r="13" spans="1:167" ht="12" customHeight="1" x14ac:dyDescent="0.25">
      <c r="A13" s="119" t="s">
        <v>163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</row>
    <row r="14" spans="1:167" s="14" customFormat="1" ht="12" x14ac:dyDescent="0.25">
      <c r="FK14" s="44" t="s">
        <v>72</v>
      </c>
    </row>
    <row r="15" spans="1:167" s="14" customFormat="1" ht="11.1" customHeight="1" x14ac:dyDescent="0.25">
      <c r="A15" s="183" t="s">
        <v>26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5"/>
      <c r="AH15" s="190" t="s">
        <v>27</v>
      </c>
      <c r="AI15" s="184"/>
      <c r="AJ15" s="184"/>
      <c r="AK15" s="184"/>
      <c r="AL15" s="184"/>
      <c r="AM15" s="184"/>
      <c r="AN15" s="185"/>
      <c r="AO15" s="183" t="s">
        <v>30</v>
      </c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  <c r="BB15" s="184"/>
      <c r="BC15" s="184"/>
      <c r="BD15" s="184"/>
      <c r="BE15" s="184"/>
      <c r="BF15" s="184"/>
      <c r="BG15" s="184"/>
      <c r="BH15" s="184"/>
      <c r="BI15" s="184"/>
      <c r="BJ15" s="184"/>
      <c r="BK15" s="184"/>
      <c r="BL15" s="184"/>
      <c r="BM15" s="184"/>
      <c r="BN15" s="184"/>
      <c r="BO15" s="184"/>
      <c r="BP15" s="184"/>
      <c r="BQ15" s="184"/>
      <c r="BR15" s="184"/>
      <c r="BS15" s="185"/>
      <c r="BT15" s="93" t="s">
        <v>73</v>
      </c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4"/>
      <c r="CF15" s="94"/>
      <c r="CG15" s="94"/>
      <c r="CH15" s="94"/>
      <c r="CI15" s="94"/>
      <c r="CJ15" s="94"/>
      <c r="CK15" s="94"/>
      <c r="CL15" s="94"/>
      <c r="CM15" s="94"/>
      <c r="CN15" s="94"/>
      <c r="CO15" s="94"/>
      <c r="CP15" s="94"/>
      <c r="CQ15" s="94"/>
      <c r="CR15" s="94"/>
      <c r="CS15" s="94"/>
      <c r="CT15" s="94"/>
      <c r="CU15" s="94"/>
      <c r="CV15" s="94"/>
      <c r="CW15" s="94"/>
      <c r="CX15" s="94"/>
      <c r="CY15" s="94"/>
      <c r="CZ15" s="94"/>
      <c r="DA15" s="94"/>
      <c r="DB15" s="94"/>
      <c r="DC15" s="94"/>
      <c r="DD15" s="94"/>
      <c r="DE15" s="94"/>
      <c r="DF15" s="94"/>
      <c r="DG15" s="94"/>
      <c r="DH15" s="94"/>
      <c r="DI15" s="94"/>
      <c r="DJ15" s="94"/>
      <c r="DK15" s="94"/>
      <c r="DL15" s="94"/>
      <c r="DM15" s="94"/>
      <c r="DN15" s="94"/>
      <c r="DO15" s="94"/>
      <c r="DP15" s="94"/>
      <c r="DQ15" s="94"/>
      <c r="DR15" s="94"/>
      <c r="DS15" s="94"/>
      <c r="DT15" s="94"/>
      <c r="DU15" s="94"/>
      <c r="DV15" s="94"/>
      <c r="DW15" s="94"/>
      <c r="DX15" s="94"/>
      <c r="DY15" s="94"/>
      <c r="DZ15" s="94"/>
      <c r="EA15" s="94"/>
      <c r="EB15" s="94"/>
      <c r="EC15" s="94"/>
      <c r="ED15" s="94"/>
      <c r="EE15" s="94"/>
      <c r="EF15" s="94"/>
      <c r="EG15" s="94"/>
      <c r="EH15" s="94"/>
      <c r="EI15" s="94"/>
      <c r="EJ15" s="94"/>
      <c r="EK15" s="94"/>
      <c r="EL15" s="94"/>
      <c r="EM15" s="94"/>
      <c r="EN15" s="94"/>
      <c r="EO15" s="94"/>
      <c r="EP15" s="94"/>
      <c r="EQ15" s="94"/>
      <c r="ER15" s="94"/>
      <c r="ES15" s="94"/>
      <c r="ET15" s="94"/>
      <c r="EU15" s="94"/>
      <c r="EV15" s="94"/>
      <c r="EW15" s="94"/>
      <c r="EX15" s="94"/>
      <c r="EY15" s="94"/>
      <c r="EZ15" s="94"/>
      <c r="FA15" s="94"/>
      <c r="FB15" s="94"/>
      <c r="FC15" s="94"/>
      <c r="FD15" s="94"/>
      <c r="FE15" s="94"/>
      <c r="FF15" s="94"/>
      <c r="FG15" s="94"/>
      <c r="FH15" s="94"/>
      <c r="FI15" s="94"/>
      <c r="FJ15" s="94"/>
      <c r="FK15" s="95"/>
    </row>
    <row r="16" spans="1:167" s="14" customFormat="1" ht="35.25" customHeight="1" x14ac:dyDescent="0.25">
      <c r="A16" s="250"/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  <c r="AA16" s="251"/>
      <c r="AB16" s="251"/>
      <c r="AC16" s="251"/>
      <c r="AD16" s="251"/>
      <c r="AE16" s="251"/>
      <c r="AF16" s="251"/>
      <c r="AG16" s="252"/>
      <c r="AH16" s="250"/>
      <c r="AI16" s="251"/>
      <c r="AJ16" s="251"/>
      <c r="AK16" s="251"/>
      <c r="AL16" s="251"/>
      <c r="AM16" s="251"/>
      <c r="AN16" s="252"/>
      <c r="AO16" s="186"/>
      <c r="AP16" s="187"/>
      <c r="AQ16" s="187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7"/>
      <c r="BH16" s="187"/>
      <c r="BI16" s="187"/>
      <c r="BJ16" s="187"/>
      <c r="BK16" s="187"/>
      <c r="BL16" s="187"/>
      <c r="BM16" s="187"/>
      <c r="BN16" s="187"/>
      <c r="BO16" s="187"/>
      <c r="BP16" s="187"/>
      <c r="BQ16" s="187"/>
      <c r="BR16" s="187"/>
      <c r="BS16" s="188"/>
      <c r="BT16" s="163" t="s">
        <v>74</v>
      </c>
      <c r="BU16" s="164"/>
      <c r="BV16" s="164"/>
      <c r="BW16" s="164"/>
      <c r="BX16" s="164"/>
      <c r="BY16" s="164"/>
      <c r="BZ16" s="164"/>
      <c r="CA16" s="164"/>
      <c r="CB16" s="164"/>
      <c r="CC16" s="164"/>
      <c r="CD16" s="164"/>
      <c r="CE16" s="164"/>
      <c r="CF16" s="164"/>
      <c r="CG16" s="164"/>
      <c r="CH16" s="164"/>
      <c r="CI16" s="164"/>
      <c r="CJ16" s="164"/>
      <c r="CK16" s="164"/>
      <c r="CL16" s="164"/>
      <c r="CM16" s="165"/>
      <c r="CN16" s="163" t="s">
        <v>75</v>
      </c>
      <c r="CO16" s="164"/>
      <c r="CP16" s="164"/>
      <c r="CQ16" s="164"/>
      <c r="CR16" s="164"/>
      <c r="CS16" s="164"/>
      <c r="CT16" s="164"/>
      <c r="CU16" s="164"/>
      <c r="CV16" s="164"/>
      <c r="CW16" s="164"/>
      <c r="CX16" s="164"/>
      <c r="CY16" s="164"/>
      <c r="CZ16" s="164"/>
      <c r="DA16" s="164"/>
      <c r="DB16" s="164"/>
      <c r="DC16" s="164"/>
      <c r="DD16" s="164"/>
      <c r="DE16" s="164"/>
      <c r="DF16" s="165"/>
      <c r="DG16" s="160" t="s">
        <v>76</v>
      </c>
      <c r="DH16" s="161"/>
      <c r="DI16" s="161"/>
      <c r="DJ16" s="161"/>
      <c r="DK16" s="161"/>
      <c r="DL16" s="161"/>
      <c r="DM16" s="161"/>
      <c r="DN16" s="161"/>
      <c r="DO16" s="161"/>
      <c r="DP16" s="161"/>
      <c r="DQ16" s="161"/>
      <c r="DR16" s="161"/>
      <c r="DS16" s="161"/>
      <c r="DT16" s="161"/>
      <c r="DU16" s="161"/>
      <c r="DV16" s="161"/>
      <c r="DW16" s="161"/>
      <c r="DX16" s="161"/>
      <c r="DY16" s="162"/>
      <c r="DZ16" s="160" t="s">
        <v>176</v>
      </c>
      <c r="EA16" s="161"/>
      <c r="EB16" s="161"/>
      <c r="EC16" s="161"/>
      <c r="ED16" s="161"/>
      <c r="EE16" s="161"/>
      <c r="EF16" s="161"/>
      <c r="EG16" s="161"/>
      <c r="EH16" s="161"/>
      <c r="EI16" s="161"/>
      <c r="EJ16" s="161"/>
      <c r="EK16" s="161"/>
      <c r="EL16" s="161"/>
      <c r="EM16" s="161"/>
      <c r="EN16" s="161"/>
      <c r="EO16" s="161"/>
      <c r="EP16" s="161"/>
      <c r="EQ16" s="161"/>
      <c r="ER16" s="162"/>
      <c r="ES16" s="160" t="s">
        <v>177</v>
      </c>
      <c r="ET16" s="161"/>
      <c r="EU16" s="161"/>
      <c r="EV16" s="161"/>
      <c r="EW16" s="161"/>
      <c r="EX16" s="161"/>
      <c r="EY16" s="161"/>
      <c r="EZ16" s="161"/>
      <c r="FA16" s="161"/>
      <c r="FB16" s="161"/>
      <c r="FC16" s="161"/>
      <c r="FD16" s="161"/>
      <c r="FE16" s="161"/>
      <c r="FF16" s="161"/>
      <c r="FG16" s="161"/>
      <c r="FH16" s="161"/>
      <c r="FI16" s="161"/>
      <c r="FJ16" s="161"/>
      <c r="FK16" s="162"/>
    </row>
    <row r="17" spans="1:167" s="14" customFormat="1" ht="34.5" customHeight="1" x14ac:dyDescent="0.25">
      <c r="A17" s="186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  <c r="AB17" s="187"/>
      <c r="AC17" s="187"/>
      <c r="AD17" s="187"/>
      <c r="AE17" s="187"/>
      <c r="AF17" s="187"/>
      <c r="AG17" s="188"/>
      <c r="AH17" s="186"/>
      <c r="AI17" s="187"/>
      <c r="AJ17" s="187"/>
      <c r="AK17" s="187"/>
      <c r="AL17" s="187"/>
      <c r="AM17" s="187"/>
      <c r="AN17" s="188"/>
      <c r="AO17" s="160" t="s">
        <v>77</v>
      </c>
      <c r="AP17" s="161"/>
      <c r="AQ17" s="161"/>
      <c r="AR17" s="161"/>
      <c r="AS17" s="161"/>
      <c r="AT17" s="161"/>
      <c r="AU17" s="161"/>
      <c r="AV17" s="162"/>
      <c r="AW17" s="160" t="s">
        <v>160</v>
      </c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2"/>
      <c r="BI17" s="160" t="s">
        <v>78</v>
      </c>
      <c r="BJ17" s="161"/>
      <c r="BK17" s="161"/>
      <c r="BL17" s="161"/>
      <c r="BM17" s="161"/>
      <c r="BN17" s="161"/>
      <c r="BO17" s="161"/>
      <c r="BP17" s="161"/>
      <c r="BQ17" s="161"/>
      <c r="BR17" s="161"/>
      <c r="BS17" s="162"/>
      <c r="BT17" s="160" t="s">
        <v>77</v>
      </c>
      <c r="BU17" s="161"/>
      <c r="BV17" s="161"/>
      <c r="BW17" s="161"/>
      <c r="BX17" s="161"/>
      <c r="BY17" s="161"/>
      <c r="BZ17" s="161"/>
      <c r="CA17" s="161"/>
      <c r="CB17" s="162"/>
      <c r="CC17" s="160" t="s">
        <v>78</v>
      </c>
      <c r="CD17" s="161"/>
      <c r="CE17" s="161"/>
      <c r="CF17" s="161"/>
      <c r="CG17" s="161"/>
      <c r="CH17" s="161"/>
      <c r="CI17" s="161"/>
      <c r="CJ17" s="161"/>
      <c r="CK17" s="161"/>
      <c r="CL17" s="161"/>
      <c r="CM17" s="162"/>
      <c r="CN17" s="160" t="s">
        <v>77</v>
      </c>
      <c r="CO17" s="161"/>
      <c r="CP17" s="161"/>
      <c r="CQ17" s="161"/>
      <c r="CR17" s="161"/>
      <c r="CS17" s="161"/>
      <c r="CT17" s="161"/>
      <c r="CU17" s="162"/>
      <c r="CV17" s="160" t="s">
        <v>78</v>
      </c>
      <c r="CW17" s="161"/>
      <c r="CX17" s="161"/>
      <c r="CY17" s="161"/>
      <c r="CZ17" s="161"/>
      <c r="DA17" s="161"/>
      <c r="DB17" s="161"/>
      <c r="DC17" s="161"/>
      <c r="DD17" s="161"/>
      <c r="DE17" s="161"/>
      <c r="DF17" s="162"/>
      <c r="DG17" s="160" t="s">
        <v>77</v>
      </c>
      <c r="DH17" s="161"/>
      <c r="DI17" s="161"/>
      <c r="DJ17" s="161"/>
      <c r="DK17" s="161"/>
      <c r="DL17" s="161"/>
      <c r="DM17" s="161"/>
      <c r="DN17" s="162"/>
      <c r="DO17" s="160" t="s">
        <v>78</v>
      </c>
      <c r="DP17" s="161"/>
      <c r="DQ17" s="161"/>
      <c r="DR17" s="161"/>
      <c r="DS17" s="161"/>
      <c r="DT17" s="161"/>
      <c r="DU17" s="161"/>
      <c r="DV17" s="161"/>
      <c r="DW17" s="161"/>
      <c r="DX17" s="161"/>
      <c r="DY17" s="162"/>
      <c r="DZ17" s="160" t="s">
        <v>77</v>
      </c>
      <c r="EA17" s="161"/>
      <c r="EB17" s="161"/>
      <c r="EC17" s="161"/>
      <c r="ED17" s="161"/>
      <c r="EE17" s="161"/>
      <c r="EF17" s="161"/>
      <c r="EG17" s="162"/>
      <c r="EH17" s="160" t="s">
        <v>78</v>
      </c>
      <c r="EI17" s="161"/>
      <c r="EJ17" s="161"/>
      <c r="EK17" s="161"/>
      <c r="EL17" s="161"/>
      <c r="EM17" s="161"/>
      <c r="EN17" s="161"/>
      <c r="EO17" s="161"/>
      <c r="EP17" s="161"/>
      <c r="EQ17" s="161"/>
      <c r="ER17" s="162"/>
      <c r="ES17" s="160" t="s">
        <v>77</v>
      </c>
      <c r="ET17" s="161"/>
      <c r="EU17" s="161"/>
      <c r="EV17" s="161"/>
      <c r="EW17" s="161"/>
      <c r="EX17" s="161"/>
      <c r="EY17" s="161"/>
      <c r="EZ17" s="162"/>
      <c r="FA17" s="160" t="s">
        <v>78</v>
      </c>
      <c r="FB17" s="161"/>
      <c r="FC17" s="161"/>
      <c r="FD17" s="161"/>
      <c r="FE17" s="161"/>
      <c r="FF17" s="161"/>
      <c r="FG17" s="161"/>
      <c r="FH17" s="161"/>
      <c r="FI17" s="161"/>
      <c r="FJ17" s="161"/>
      <c r="FK17" s="162"/>
    </row>
    <row r="18" spans="1:167" s="14" customFormat="1" ht="11.1" customHeight="1" x14ac:dyDescent="0.25">
      <c r="A18" s="93">
        <v>1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5"/>
      <c r="AH18" s="93">
        <v>2</v>
      </c>
      <c r="AI18" s="94"/>
      <c r="AJ18" s="94"/>
      <c r="AK18" s="94"/>
      <c r="AL18" s="94"/>
      <c r="AM18" s="94"/>
      <c r="AN18" s="95"/>
      <c r="AO18" s="93">
        <v>3</v>
      </c>
      <c r="AP18" s="94"/>
      <c r="AQ18" s="94"/>
      <c r="AR18" s="94"/>
      <c r="AS18" s="94"/>
      <c r="AT18" s="94"/>
      <c r="AU18" s="94"/>
      <c r="AV18" s="95"/>
      <c r="AW18" s="93">
        <v>4</v>
      </c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5"/>
      <c r="BI18" s="93">
        <v>5</v>
      </c>
      <c r="BJ18" s="94"/>
      <c r="BK18" s="94"/>
      <c r="BL18" s="94"/>
      <c r="BM18" s="94"/>
      <c r="BN18" s="94"/>
      <c r="BO18" s="94"/>
      <c r="BP18" s="94"/>
      <c r="BQ18" s="94"/>
      <c r="BR18" s="94"/>
      <c r="BS18" s="95"/>
      <c r="BT18" s="93">
        <v>6</v>
      </c>
      <c r="BU18" s="94"/>
      <c r="BV18" s="94"/>
      <c r="BW18" s="94"/>
      <c r="BX18" s="94"/>
      <c r="BY18" s="94"/>
      <c r="BZ18" s="94"/>
      <c r="CA18" s="94"/>
      <c r="CB18" s="95"/>
      <c r="CC18" s="93">
        <v>7</v>
      </c>
      <c r="CD18" s="94"/>
      <c r="CE18" s="94"/>
      <c r="CF18" s="94"/>
      <c r="CG18" s="94"/>
      <c r="CH18" s="94"/>
      <c r="CI18" s="94"/>
      <c r="CJ18" s="94"/>
      <c r="CK18" s="94"/>
      <c r="CL18" s="94"/>
      <c r="CM18" s="95"/>
      <c r="CN18" s="93">
        <v>8</v>
      </c>
      <c r="CO18" s="94"/>
      <c r="CP18" s="94"/>
      <c r="CQ18" s="94"/>
      <c r="CR18" s="94"/>
      <c r="CS18" s="94"/>
      <c r="CT18" s="94"/>
      <c r="CU18" s="95"/>
      <c r="CV18" s="93">
        <v>9</v>
      </c>
      <c r="CW18" s="94"/>
      <c r="CX18" s="94"/>
      <c r="CY18" s="94"/>
      <c r="CZ18" s="94"/>
      <c r="DA18" s="94"/>
      <c r="DB18" s="94"/>
      <c r="DC18" s="94"/>
      <c r="DD18" s="94"/>
      <c r="DE18" s="94"/>
      <c r="DF18" s="95"/>
      <c r="DG18" s="93">
        <v>10</v>
      </c>
      <c r="DH18" s="94"/>
      <c r="DI18" s="94"/>
      <c r="DJ18" s="94"/>
      <c r="DK18" s="94"/>
      <c r="DL18" s="94"/>
      <c r="DM18" s="94"/>
      <c r="DN18" s="95"/>
      <c r="DO18" s="93">
        <v>11</v>
      </c>
      <c r="DP18" s="94"/>
      <c r="DQ18" s="94"/>
      <c r="DR18" s="94"/>
      <c r="DS18" s="94"/>
      <c r="DT18" s="94"/>
      <c r="DU18" s="94"/>
      <c r="DV18" s="94"/>
      <c r="DW18" s="94"/>
      <c r="DX18" s="94"/>
      <c r="DY18" s="95"/>
      <c r="DZ18" s="93">
        <v>12</v>
      </c>
      <c r="EA18" s="94"/>
      <c r="EB18" s="94"/>
      <c r="EC18" s="94"/>
      <c r="ED18" s="94"/>
      <c r="EE18" s="94"/>
      <c r="EF18" s="94"/>
      <c r="EG18" s="95"/>
      <c r="EH18" s="93">
        <v>13</v>
      </c>
      <c r="EI18" s="94"/>
      <c r="EJ18" s="94"/>
      <c r="EK18" s="94"/>
      <c r="EL18" s="94"/>
      <c r="EM18" s="94"/>
      <c r="EN18" s="94"/>
      <c r="EO18" s="94"/>
      <c r="EP18" s="94"/>
      <c r="EQ18" s="94"/>
      <c r="ER18" s="95"/>
      <c r="ES18" s="93">
        <v>14</v>
      </c>
      <c r="ET18" s="94"/>
      <c r="EU18" s="94"/>
      <c r="EV18" s="94"/>
      <c r="EW18" s="94"/>
      <c r="EX18" s="94"/>
      <c r="EY18" s="94"/>
      <c r="EZ18" s="95"/>
      <c r="FA18" s="93">
        <v>15</v>
      </c>
      <c r="FB18" s="94"/>
      <c r="FC18" s="94"/>
      <c r="FD18" s="94"/>
      <c r="FE18" s="94"/>
      <c r="FF18" s="94"/>
      <c r="FG18" s="94"/>
      <c r="FH18" s="94"/>
      <c r="FI18" s="94"/>
      <c r="FJ18" s="94"/>
      <c r="FK18" s="95"/>
    </row>
    <row r="19" spans="1:167" s="14" customFormat="1" ht="11.1" customHeight="1" x14ac:dyDescent="0.25">
      <c r="A19" s="16"/>
      <c r="B19" s="125" t="s">
        <v>33</v>
      </c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253"/>
      <c r="AH19" s="93">
        <v>1</v>
      </c>
      <c r="AI19" s="94"/>
      <c r="AJ19" s="94"/>
      <c r="AK19" s="94"/>
      <c r="AL19" s="94"/>
      <c r="AM19" s="94"/>
      <c r="AN19" s="95"/>
      <c r="AO19" s="93"/>
      <c r="AP19" s="94"/>
      <c r="AQ19" s="94"/>
      <c r="AR19" s="94"/>
      <c r="AS19" s="94"/>
      <c r="AT19" s="94"/>
      <c r="AU19" s="94"/>
      <c r="AV19" s="95"/>
      <c r="AW19" s="93" t="s">
        <v>142</v>
      </c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5"/>
      <c r="BI19" s="93"/>
      <c r="BJ19" s="94"/>
      <c r="BK19" s="94"/>
      <c r="BL19" s="94"/>
      <c r="BM19" s="94"/>
      <c r="BN19" s="94"/>
      <c r="BO19" s="94"/>
      <c r="BP19" s="94"/>
      <c r="BQ19" s="94"/>
      <c r="BR19" s="94"/>
      <c r="BS19" s="95"/>
      <c r="BT19" s="93"/>
      <c r="BU19" s="94"/>
      <c r="BV19" s="94"/>
      <c r="BW19" s="94"/>
      <c r="BX19" s="94"/>
      <c r="BY19" s="94"/>
      <c r="BZ19" s="94"/>
      <c r="CA19" s="94"/>
      <c r="CB19" s="95"/>
      <c r="CC19" s="93"/>
      <c r="CD19" s="94"/>
      <c r="CE19" s="94"/>
      <c r="CF19" s="94"/>
      <c r="CG19" s="94"/>
      <c r="CH19" s="94"/>
      <c r="CI19" s="94"/>
      <c r="CJ19" s="94"/>
      <c r="CK19" s="94"/>
      <c r="CL19" s="94"/>
      <c r="CM19" s="95"/>
      <c r="CN19" s="93"/>
      <c r="CO19" s="94"/>
      <c r="CP19" s="94"/>
      <c r="CQ19" s="94"/>
      <c r="CR19" s="94"/>
      <c r="CS19" s="94"/>
      <c r="CT19" s="94"/>
      <c r="CU19" s="95"/>
      <c r="CV19" s="93"/>
      <c r="CW19" s="94"/>
      <c r="CX19" s="94"/>
      <c r="CY19" s="94"/>
      <c r="CZ19" s="94"/>
      <c r="DA19" s="94"/>
      <c r="DB19" s="94"/>
      <c r="DC19" s="94"/>
      <c r="DD19" s="94"/>
      <c r="DE19" s="94"/>
      <c r="DF19" s="95"/>
      <c r="DG19" s="93"/>
      <c r="DH19" s="94"/>
      <c r="DI19" s="94"/>
      <c r="DJ19" s="94"/>
      <c r="DK19" s="94"/>
      <c r="DL19" s="94"/>
      <c r="DM19" s="94"/>
      <c r="DN19" s="95"/>
      <c r="DO19" s="93"/>
      <c r="DP19" s="94"/>
      <c r="DQ19" s="94"/>
      <c r="DR19" s="94"/>
      <c r="DS19" s="94"/>
      <c r="DT19" s="94"/>
      <c r="DU19" s="94"/>
      <c r="DV19" s="94"/>
      <c r="DW19" s="94"/>
      <c r="DX19" s="94"/>
      <c r="DY19" s="95"/>
      <c r="DZ19" s="93"/>
      <c r="EA19" s="94"/>
      <c r="EB19" s="94"/>
      <c r="EC19" s="94"/>
      <c r="ED19" s="94"/>
      <c r="EE19" s="94"/>
      <c r="EF19" s="94"/>
      <c r="EG19" s="95"/>
      <c r="EH19" s="93"/>
      <c r="EI19" s="94"/>
      <c r="EJ19" s="94"/>
      <c r="EK19" s="94"/>
      <c r="EL19" s="94"/>
      <c r="EM19" s="94"/>
      <c r="EN19" s="94"/>
      <c r="EO19" s="94"/>
      <c r="EP19" s="94"/>
      <c r="EQ19" s="94"/>
      <c r="ER19" s="95"/>
      <c r="ES19" s="93"/>
      <c r="ET19" s="94"/>
      <c r="EU19" s="94"/>
      <c r="EV19" s="94"/>
      <c r="EW19" s="94"/>
      <c r="EX19" s="94"/>
      <c r="EY19" s="94"/>
      <c r="EZ19" s="95"/>
      <c r="FA19" s="93"/>
      <c r="FB19" s="94"/>
      <c r="FC19" s="94"/>
      <c r="FD19" s="94"/>
      <c r="FE19" s="94"/>
      <c r="FF19" s="94"/>
      <c r="FG19" s="94"/>
      <c r="FH19" s="94"/>
      <c r="FI19" s="94"/>
      <c r="FJ19" s="94"/>
      <c r="FK19" s="95"/>
    </row>
    <row r="20" spans="1:167" s="14" customFormat="1" ht="11.1" customHeight="1" x14ac:dyDescent="0.25">
      <c r="A20" s="16"/>
      <c r="B20" s="125" t="s">
        <v>36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253"/>
      <c r="AH20" s="93">
        <v>2</v>
      </c>
      <c r="AI20" s="94"/>
      <c r="AJ20" s="94"/>
      <c r="AK20" s="94"/>
      <c r="AL20" s="94"/>
      <c r="AM20" s="94"/>
      <c r="AN20" s="95"/>
      <c r="AO20" s="93"/>
      <c r="AP20" s="94"/>
      <c r="AQ20" s="94"/>
      <c r="AR20" s="94"/>
      <c r="AS20" s="94"/>
      <c r="AT20" s="94"/>
      <c r="AU20" s="94"/>
      <c r="AV20" s="95"/>
      <c r="AW20" s="93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5"/>
      <c r="BI20" s="93"/>
      <c r="BJ20" s="94"/>
      <c r="BK20" s="94"/>
      <c r="BL20" s="94"/>
      <c r="BM20" s="94"/>
      <c r="BN20" s="94"/>
      <c r="BO20" s="94"/>
      <c r="BP20" s="94"/>
      <c r="BQ20" s="94"/>
      <c r="BR20" s="94"/>
      <c r="BS20" s="95"/>
      <c r="BT20" s="93"/>
      <c r="BU20" s="94"/>
      <c r="BV20" s="94"/>
      <c r="BW20" s="94"/>
      <c r="BX20" s="94"/>
      <c r="BY20" s="94"/>
      <c r="BZ20" s="94"/>
      <c r="CA20" s="94"/>
      <c r="CB20" s="95"/>
      <c r="CC20" s="93"/>
      <c r="CD20" s="94"/>
      <c r="CE20" s="94"/>
      <c r="CF20" s="94"/>
      <c r="CG20" s="94"/>
      <c r="CH20" s="94"/>
      <c r="CI20" s="94"/>
      <c r="CJ20" s="94"/>
      <c r="CK20" s="94"/>
      <c r="CL20" s="94"/>
      <c r="CM20" s="95"/>
      <c r="CN20" s="93"/>
      <c r="CO20" s="94"/>
      <c r="CP20" s="94"/>
      <c r="CQ20" s="94"/>
      <c r="CR20" s="94"/>
      <c r="CS20" s="94"/>
      <c r="CT20" s="94"/>
      <c r="CU20" s="95"/>
      <c r="CV20" s="93"/>
      <c r="CW20" s="94"/>
      <c r="CX20" s="94"/>
      <c r="CY20" s="94"/>
      <c r="CZ20" s="94"/>
      <c r="DA20" s="94"/>
      <c r="DB20" s="94"/>
      <c r="DC20" s="94"/>
      <c r="DD20" s="94"/>
      <c r="DE20" s="94"/>
      <c r="DF20" s="95"/>
      <c r="DG20" s="93"/>
      <c r="DH20" s="94"/>
      <c r="DI20" s="94"/>
      <c r="DJ20" s="94"/>
      <c r="DK20" s="94"/>
      <c r="DL20" s="94"/>
      <c r="DM20" s="94"/>
      <c r="DN20" s="95"/>
      <c r="DO20" s="93"/>
      <c r="DP20" s="94"/>
      <c r="DQ20" s="94"/>
      <c r="DR20" s="94"/>
      <c r="DS20" s="94"/>
      <c r="DT20" s="94"/>
      <c r="DU20" s="94"/>
      <c r="DV20" s="94"/>
      <c r="DW20" s="94"/>
      <c r="DX20" s="94"/>
      <c r="DY20" s="95"/>
      <c r="DZ20" s="93"/>
      <c r="EA20" s="94"/>
      <c r="EB20" s="94"/>
      <c r="EC20" s="94"/>
      <c r="ED20" s="94"/>
      <c r="EE20" s="94"/>
      <c r="EF20" s="94"/>
      <c r="EG20" s="95"/>
      <c r="EH20" s="93"/>
      <c r="EI20" s="94"/>
      <c r="EJ20" s="94"/>
      <c r="EK20" s="94"/>
      <c r="EL20" s="94"/>
      <c r="EM20" s="94"/>
      <c r="EN20" s="94"/>
      <c r="EO20" s="94"/>
      <c r="EP20" s="94"/>
      <c r="EQ20" s="94"/>
      <c r="ER20" s="95"/>
      <c r="ES20" s="93"/>
      <c r="ET20" s="94"/>
      <c r="EU20" s="94"/>
      <c r="EV20" s="94"/>
      <c r="EW20" s="94"/>
      <c r="EX20" s="94"/>
      <c r="EY20" s="94"/>
      <c r="EZ20" s="95"/>
      <c r="FA20" s="93"/>
      <c r="FB20" s="94"/>
      <c r="FC20" s="94"/>
      <c r="FD20" s="94"/>
      <c r="FE20" s="94"/>
      <c r="FF20" s="94"/>
      <c r="FG20" s="94"/>
      <c r="FH20" s="94"/>
      <c r="FI20" s="94"/>
      <c r="FJ20" s="94"/>
      <c r="FK20" s="95"/>
    </row>
    <row r="21" spans="1:167" s="14" customFormat="1" ht="23.1" customHeight="1" x14ac:dyDescent="0.25">
      <c r="A21" s="16"/>
      <c r="B21" s="125" t="s">
        <v>161</v>
      </c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253"/>
      <c r="AH21" s="93">
        <v>3</v>
      </c>
      <c r="AI21" s="94"/>
      <c r="AJ21" s="94"/>
      <c r="AK21" s="94"/>
      <c r="AL21" s="94"/>
      <c r="AM21" s="94"/>
      <c r="AN21" s="95"/>
      <c r="AO21" s="93"/>
      <c r="AP21" s="94"/>
      <c r="AQ21" s="94"/>
      <c r="AR21" s="94"/>
      <c r="AS21" s="94"/>
      <c r="AT21" s="94"/>
      <c r="AU21" s="94"/>
      <c r="AV21" s="95"/>
      <c r="AW21" s="93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5"/>
      <c r="BI21" s="93"/>
      <c r="BJ21" s="94"/>
      <c r="BK21" s="94"/>
      <c r="BL21" s="94"/>
      <c r="BM21" s="94"/>
      <c r="BN21" s="94"/>
      <c r="BO21" s="94"/>
      <c r="BP21" s="94"/>
      <c r="BQ21" s="94"/>
      <c r="BR21" s="94"/>
      <c r="BS21" s="95"/>
      <c r="BT21" s="93"/>
      <c r="BU21" s="94"/>
      <c r="BV21" s="94"/>
      <c r="BW21" s="94"/>
      <c r="BX21" s="94"/>
      <c r="BY21" s="94"/>
      <c r="BZ21" s="94"/>
      <c r="CA21" s="94"/>
      <c r="CB21" s="95"/>
      <c r="CC21" s="93"/>
      <c r="CD21" s="94"/>
      <c r="CE21" s="94"/>
      <c r="CF21" s="94"/>
      <c r="CG21" s="94"/>
      <c r="CH21" s="94"/>
      <c r="CI21" s="94"/>
      <c r="CJ21" s="94"/>
      <c r="CK21" s="94"/>
      <c r="CL21" s="94"/>
      <c r="CM21" s="95"/>
      <c r="CN21" s="93"/>
      <c r="CO21" s="94"/>
      <c r="CP21" s="94"/>
      <c r="CQ21" s="94"/>
      <c r="CR21" s="94"/>
      <c r="CS21" s="94"/>
      <c r="CT21" s="94"/>
      <c r="CU21" s="95"/>
      <c r="CV21" s="93"/>
      <c r="CW21" s="94"/>
      <c r="CX21" s="94"/>
      <c r="CY21" s="94"/>
      <c r="CZ21" s="94"/>
      <c r="DA21" s="94"/>
      <c r="DB21" s="94"/>
      <c r="DC21" s="94"/>
      <c r="DD21" s="94"/>
      <c r="DE21" s="94"/>
      <c r="DF21" s="95"/>
      <c r="DG21" s="93"/>
      <c r="DH21" s="94"/>
      <c r="DI21" s="94"/>
      <c r="DJ21" s="94"/>
      <c r="DK21" s="94"/>
      <c r="DL21" s="94"/>
      <c r="DM21" s="94"/>
      <c r="DN21" s="95"/>
      <c r="DO21" s="93"/>
      <c r="DP21" s="94"/>
      <c r="DQ21" s="94"/>
      <c r="DR21" s="94"/>
      <c r="DS21" s="94"/>
      <c r="DT21" s="94"/>
      <c r="DU21" s="94"/>
      <c r="DV21" s="94"/>
      <c r="DW21" s="94"/>
      <c r="DX21" s="94"/>
      <c r="DY21" s="95"/>
      <c r="DZ21" s="93"/>
      <c r="EA21" s="94"/>
      <c r="EB21" s="94"/>
      <c r="EC21" s="94"/>
      <c r="ED21" s="94"/>
      <c r="EE21" s="94"/>
      <c r="EF21" s="94"/>
      <c r="EG21" s="95"/>
      <c r="EH21" s="93"/>
      <c r="EI21" s="94"/>
      <c r="EJ21" s="94"/>
      <c r="EK21" s="94"/>
      <c r="EL21" s="94"/>
      <c r="EM21" s="94"/>
      <c r="EN21" s="94"/>
      <c r="EO21" s="94"/>
      <c r="EP21" s="94"/>
      <c r="EQ21" s="94"/>
      <c r="ER21" s="95"/>
      <c r="ES21" s="93"/>
      <c r="ET21" s="94"/>
      <c r="EU21" s="94"/>
      <c r="EV21" s="94"/>
      <c r="EW21" s="94"/>
      <c r="EX21" s="94"/>
      <c r="EY21" s="94"/>
      <c r="EZ21" s="95"/>
      <c r="FA21" s="93"/>
      <c r="FB21" s="94"/>
      <c r="FC21" s="94"/>
      <c r="FD21" s="94"/>
      <c r="FE21" s="94"/>
      <c r="FF21" s="94"/>
      <c r="FG21" s="94"/>
      <c r="FH21" s="94"/>
      <c r="FI21" s="94"/>
      <c r="FJ21" s="94"/>
      <c r="FK21" s="95"/>
    </row>
    <row r="22" spans="1:167" s="14" customFormat="1" ht="23.1" customHeight="1" x14ac:dyDescent="0.25">
      <c r="A22" s="16"/>
      <c r="B22" s="125" t="s">
        <v>162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253"/>
      <c r="AH22" s="93">
        <v>4</v>
      </c>
      <c r="AI22" s="94"/>
      <c r="AJ22" s="94"/>
      <c r="AK22" s="94"/>
      <c r="AL22" s="94"/>
      <c r="AM22" s="94"/>
      <c r="AN22" s="95"/>
      <c r="AO22" s="93"/>
      <c r="AP22" s="94"/>
      <c r="AQ22" s="94"/>
      <c r="AR22" s="94"/>
      <c r="AS22" s="94"/>
      <c r="AT22" s="94"/>
      <c r="AU22" s="94"/>
      <c r="AV22" s="95"/>
      <c r="AW22" s="93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5"/>
      <c r="BI22" s="93"/>
      <c r="BJ22" s="94"/>
      <c r="BK22" s="94"/>
      <c r="BL22" s="94"/>
      <c r="BM22" s="94"/>
      <c r="BN22" s="94"/>
      <c r="BO22" s="94"/>
      <c r="BP22" s="94"/>
      <c r="BQ22" s="94"/>
      <c r="BR22" s="94"/>
      <c r="BS22" s="95"/>
      <c r="BT22" s="93"/>
      <c r="BU22" s="94"/>
      <c r="BV22" s="94"/>
      <c r="BW22" s="94"/>
      <c r="BX22" s="94"/>
      <c r="BY22" s="94"/>
      <c r="BZ22" s="94"/>
      <c r="CA22" s="94"/>
      <c r="CB22" s="95"/>
      <c r="CC22" s="93"/>
      <c r="CD22" s="94"/>
      <c r="CE22" s="94"/>
      <c r="CF22" s="94"/>
      <c r="CG22" s="94"/>
      <c r="CH22" s="94"/>
      <c r="CI22" s="94"/>
      <c r="CJ22" s="94"/>
      <c r="CK22" s="94"/>
      <c r="CL22" s="94"/>
      <c r="CM22" s="95"/>
      <c r="CN22" s="93"/>
      <c r="CO22" s="94"/>
      <c r="CP22" s="94"/>
      <c r="CQ22" s="94"/>
      <c r="CR22" s="94"/>
      <c r="CS22" s="94"/>
      <c r="CT22" s="94"/>
      <c r="CU22" s="95"/>
      <c r="CV22" s="93"/>
      <c r="CW22" s="94"/>
      <c r="CX22" s="94"/>
      <c r="CY22" s="94"/>
      <c r="CZ22" s="94"/>
      <c r="DA22" s="94"/>
      <c r="DB22" s="94"/>
      <c r="DC22" s="94"/>
      <c r="DD22" s="94"/>
      <c r="DE22" s="94"/>
      <c r="DF22" s="95"/>
      <c r="DG22" s="93"/>
      <c r="DH22" s="94"/>
      <c r="DI22" s="94"/>
      <c r="DJ22" s="94"/>
      <c r="DK22" s="94"/>
      <c r="DL22" s="94"/>
      <c r="DM22" s="94"/>
      <c r="DN22" s="95"/>
      <c r="DO22" s="93"/>
      <c r="DP22" s="94"/>
      <c r="DQ22" s="94"/>
      <c r="DR22" s="94"/>
      <c r="DS22" s="94"/>
      <c r="DT22" s="94"/>
      <c r="DU22" s="94"/>
      <c r="DV22" s="94"/>
      <c r="DW22" s="94"/>
      <c r="DX22" s="94"/>
      <c r="DY22" s="95"/>
      <c r="DZ22" s="93"/>
      <c r="EA22" s="94"/>
      <c r="EB22" s="94"/>
      <c r="EC22" s="94"/>
      <c r="ED22" s="94"/>
      <c r="EE22" s="94"/>
      <c r="EF22" s="94"/>
      <c r="EG22" s="95"/>
      <c r="EH22" s="93"/>
      <c r="EI22" s="94"/>
      <c r="EJ22" s="94"/>
      <c r="EK22" s="94"/>
      <c r="EL22" s="94"/>
      <c r="EM22" s="94"/>
      <c r="EN22" s="94"/>
      <c r="EO22" s="94"/>
      <c r="EP22" s="94"/>
      <c r="EQ22" s="94"/>
      <c r="ER22" s="95"/>
      <c r="ES22" s="93"/>
      <c r="ET22" s="94"/>
      <c r="EU22" s="94"/>
      <c r="EV22" s="94"/>
      <c r="EW22" s="94"/>
      <c r="EX22" s="94"/>
      <c r="EY22" s="94"/>
      <c r="EZ22" s="95"/>
      <c r="FA22" s="93"/>
      <c r="FB22" s="94"/>
      <c r="FC22" s="94"/>
      <c r="FD22" s="94"/>
      <c r="FE22" s="94"/>
      <c r="FF22" s="94"/>
      <c r="FG22" s="94"/>
      <c r="FH22" s="94"/>
      <c r="FI22" s="94"/>
      <c r="FJ22" s="94"/>
      <c r="FK22" s="95"/>
    </row>
    <row r="23" spans="1:167" s="14" customFormat="1" ht="11.1" customHeight="1" x14ac:dyDescent="0.25">
      <c r="A23" s="16"/>
      <c r="B23" s="254" t="s">
        <v>150</v>
      </c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5"/>
      <c r="AH23" s="93">
        <v>5</v>
      </c>
      <c r="AI23" s="94"/>
      <c r="AJ23" s="94"/>
      <c r="AK23" s="94"/>
      <c r="AL23" s="94"/>
      <c r="AM23" s="94"/>
      <c r="AN23" s="95"/>
      <c r="AO23" s="93"/>
      <c r="AP23" s="94"/>
      <c r="AQ23" s="94"/>
      <c r="AR23" s="94"/>
      <c r="AS23" s="94"/>
      <c r="AT23" s="94"/>
      <c r="AU23" s="94"/>
      <c r="AV23" s="95"/>
      <c r="AW23" s="93"/>
      <c r="AX23" s="94"/>
      <c r="AY23" s="94"/>
      <c r="AZ23" s="94"/>
      <c r="BA23" s="94"/>
      <c r="BB23" s="94"/>
      <c r="BC23" s="94"/>
      <c r="BD23" s="94"/>
      <c r="BE23" s="94"/>
      <c r="BF23" s="94"/>
      <c r="BG23" s="94"/>
      <c r="BH23" s="95"/>
      <c r="BI23" s="93"/>
      <c r="BJ23" s="94"/>
      <c r="BK23" s="94"/>
      <c r="BL23" s="94"/>
      <c r="BM23" s="94"/>
      <c r="BN23" s="94"/>
      <c r="BO23" s="94"/>
      <c r="BP23" s="94"/>
      <c r="BQ23" s="94"/>
      <c r="BR23" s="94"/>
      <c r="BS23" s="95"/>
      <c r="BT23" s="93"/>
      <c r="BU23" s="94"/>
      <c r="BV23" s="94"/>
      <c r="BW23" s="94"/>
      <c r="BX23" s="94"/>
      <c r="BY23" s="94"/>
      <c r="BZ23" s="94"/>
      <c r="CA23" s="94"/>
      <c r="CB23" s="95"/>
      <c r="CC23" s="93"/>
      <c r="CD23" s="94"/>
      <c r="CE23" s="94"/>
      <c r="CF23" s="94"/>
      <c r="CG23" s="94"/>
      <c r="CH23" s="94"/>
      <c r="CI23" s="94"/>
      <c r="CJ23" s="94"/>
      <c r="CK23" s="94"/>
      <c r="CL23" s="94"/>
      <c r="CM23" s="95"/>
      <c r="CN23" s="93"/>
      <c r="CO23" s="94"/>
      <c r="CP23" s="94"/>
      <c r="CQ23" s="94"/>
      <c r="CR23" s="94"/>
      <c r="CS23" s="94"/>
      <c r="CT23" s="94"/>
      <c r="CU23" s="95"/>
      <c r="CV23" s="93"/>
      <c r="CW23" s="94"/>
      <c r="CX23" s="94"/>
      <c r="CY23" s="94"/>
      <c r="CZ23" s="94"/>
      <c r="DA23" s="94"/>
      <c r="DB23" s="94"/>
      <c r="DC23" s="94"/>
      <c r="DD23" s="94"/>
      <c r="DE23" s="94"/>
      <c r="DF23" s="95"/>
      <c r="DG23" s="93"/>
      <c r="DH23" s="94"/>
      <c r="DI23" s="94"/>
      <c r="DJ23" s="94"/>
      <c r="DK23" s="94"/>
      <c r="DL23" s="94"/>
      <c r="DM23" s="94"/>
      <c r="DN23" s="95"/>
      <c r="DO23" s="93"/>
      <c r="DP23" s="94"/>
      <c r="DQ23" s="94"/>
      <c r="DR23" s="94"/>
      <c r="DS23" s="94"/>
      <c r="DT23" s="94"/>
      <c r="DU23" s="94"/>
      <c r="DV23" s="94"/>
      <c r="DW23" s="94"/>
      <c r="DX23" s="94"/>
      <c r="DY23" s="95"/>
      <c r="DZ23" s="93"/>
      <c r="EA23" s="94"/>
      <c r="EB23" s="94"/>
      <c r="EC23" s="94"/>
      <c r="ED23" s="94"/>
      <c r="EE23" s="94"/>
      <c r="EF23" s="94"/>
      <c r="EG23" s="95"/>
      <c r="EH23" s="93"/>
      <c r="EI23" s="94"/>
      <c r="EJ23" s="94"/>
      <c r="EK23" s="94"/>
      <c r="EL23" s="94"/>
      <c r="EM23" s="94"/>
      <c r="EN23" s="94"/>
      <c r="EO23" s="94"/>
      <c r="EP23" s="94"/>
      <c r="EQ23" s="94"/>
      <c r="ER23" s="95"/>
      <c r="ES23" s="93"/>
      <c r="ET23" s="94"/>
      <c r="EU23" s="94"/>
      <c r="EV23" s="94"/>
      <c r="EW23" s="94"/>
      <c r="EX23" s="94"/>
      <c r="EY23" s="94"/>
      <c r="EZ23" s="95"/>
      <c r="FA23" s="93"/>
      <c r="FB23" s="94"/>
      <c r="FC23" s="94"/>
      <c r="FD23" s="94"/>
      <c r="FE23" s="94"/>
      <c r="FF23" s="94"/>
      <c r="FG23" s="94"/>
      <c r="FH23" s="94"/>
      <c r="FI23" s="94"/>
      <c r="FJ23" s="94"/>
      <c r="FK23" s="95"/>
    </row>
    <row r="24" spans="1:167" s="14" customFormat="1" ht="23.1" customHeight="1" x14ac:dyDescent="0.25">
      <c r="A24" s="16"/>
      <c r="B24" s="254" t="s">
        <v>151</v>
      </c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5"/>
      <c r="AH24" s="93">
        <v>6</v>
      </c>
      <c r="AI24" s="94"/>
      <c r="AJ24" s="94"/>
      <c r="AK24" s="94"/>
      <c r="AL24" s="94"/>
      <c r="AM24" s="94"/>
      <c r="AN24" s="95"/>
      <c r="AO24" s="93"/>
      <c r="AP24" s="94"/>
      <c r="AQ24" s="94"/>
      <c r="AR24" s="94"/>
      <c r="AS24" s="94"/>
      <c r="AT24" s="94"/>
      <c r="AU24" s="94"/>
      <c r="AV24" s="95"/>
      <c r="AW24" s="93"/>
      <c r="AX24" s="94"/>
      <c r="AY24" s="94"/>
      <c r="AZ24" s="94"/>
      <c r="BA24" s="94"/>
      <c r="BB24" s="94"/>
      <c r="BC24" s="94"/>
      <c r="BD24" s="94"/>
      <c r="BE24" s="94"/>
      <c r="BF24" s="94"/>
      <c r="BG24" s="94"/>
      <c r="BH24" s="95"/>
      <c r="BI24" s="93"/>
      <c r="BJ24" s="94"/>
      <c r="BK24" s="94"/>
      <c r="BL24" s="94"/>
      <c r="BM24" s="94"/>
      <c r="BN24" s="94"/>
      <c r="BO24" s="94"/>
      <c r="BP24" s="94"/>
      <c r="BQ24" s="94"/>
      <c r="BR24" s="94"/>
      <c r="BS24" s="95"/>
      <c r="BT24" s="93"/>
      <c r="BU24" s="94"/>
      <c r="BV24" s="94"/>
      <c r="BW24" s="94"/>
      <c r="BX24" s="94"/>
      <c r="BY24" s="94"/>
      <c r="BZ24" s="94"/>
      <c r="CA24" s="94"/>
      <c r="CB24" s="95"/>
      <c r="CC24" s="93"/>
      <c r="CD24" s="94"/>
      <c r="CE24" s="94"/>
      <c r="CF24" s="94"/>
      <c r="CG24" s="94"/>
      <c r="CH24" s="94"/>
      <c r="CI24" s="94"/>
      <c r="CJ24" s="94"/>
      <c r="CK24" s="94"/>
      <c r="CL24" s="94"/>
      <c r="CM24" s="95"/>
      <c r="CN24" s="93"/>
      <c r="CO24" s="94"/>
      <c r="CP24" s="94"/>
      <c r="CQ24" s="94"/>
      <c r="CR24" s="94"/>
      <c r="CS24" s="94"/>
      <c r="CT24" s="94"/>
      <c r="CU24" s="95"/>
      <c r="CV24" s="93"/>
      <c r="CW24" s="94"/>
      <c r="CX24" s="94"/>
      <c r="CY24" s="94"/>
      <c r="CZ24" s="94"/>
      <c r="DA24" s="94"/>
      <c r="DB24" s="94"/>
      <c r="DC24" s="94"/>
      <c r="DD24" s="94"/>
      <c r="DE24" s="94"/>
      <c r="DF24" s="95"/>
      <c r="DG24" s="93"/>
      <c r="DH24" s="94"/>
      <c r="DI24" s="94"/>
      <c r="DJ24" s="94"/>
      <c r="DK24" s="94"/>
      <c r="DL24" s="94"/>
      <c r="DM24" s="94"/>
      <c r="DN24" s="95"/>
      <c r="DO24" s="93"/>
      <c r="DP24" s="94"/>
      <c r="DQ24" s="94"/>
      <c r="DR24" s="94"/>
      <c r="DS24" s="94"/>
      <c r="DT24" s="94"/>
      <c r="DU24" s="94"/>
      <c r="DV24" s="94"/>
      <c r="DW24" s="94"/>
      <c r="DX24" s="94"/>
      <c r="DY24" s="95"/>
      <c r="DZ24" s="93"/>
      <c r="EA24" s="94"/>
      <c r="EB24" s="94"/>
      <c r="EC24" s="94"/>
      <c r="ED24" s="94"/>
      <c r="EE24" s="94"/>
      <c r="EF24" s="94"/>
      <c r="EG24" s="95"/>
      <c r="EH24" s="93"/>
      <c r="EI24" s="94"/>
      <c r="EJ24" s="94"/>
      <c r="EK24" s="94"/>
      <c r="EL24" s="94"/>
      <c r="EM24" s="94"/>
      <c r="EN24" s="94"/>
      <c r="EO24" s="94"/>
      <c r="EP24" s="94"/>
      <c r="EQ24" s="94"/>
      <c r="ER24" s="95"/>
      <c r="ES24" s="93"/>
      <c r="ET24" s="94"/>
      <c r="EU24" s="94"/>
      <c r="EV24" s="94"/>
      <c r="EW24" s="94"/>
      <c r="EX24" s="94"/>
      <c r="EY24" s="94"/>
      <c r="EZ24" s="95"/>
      <c r="FA24" s="93"/>
      <c r="FB24" s="94"/>
      <c r="FC24" s="94"/>
      <c r="FD24" s="94"/>
      <c r="FE24" s="94"/>
      <c r="FF24" s="94"/>
      <c r="FG24" s="94"/>
      <c r="FH24" s="94"/>
      <c r="FI24" s="94"/>
      <c r="FJ24" s="94"/>
      <c r="FK24" s="95"/>
    </row>
    <row r="25" spans="1:167" s="14" customFormat="1" ht="33.75" customHeight="1" x14ac:dyDescent="0.25">
      <c r="A25" s="16"/>
      <c r="B25" s="125" t="s">
        <v>178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253"/>
      <c r="AH25" s="93">
        <v>7</v>
      </c>
      <c r="AI25" s="94"/>
      <c r="AJ25" s="94"/>
      <c r="AK25" s="94"/>
      <c r="AL25" s="94"/>
      <c r="AM25" s="94"/>
      <c r="AN25" s="95"/>
      <c r="AO25" s="93"/>
      <c r="AP25" s="94"/>
      <c r="AQ25" s="94"/>
      <c r="AR25" s="94"/>
      <c r="AS25" s="94"/>
      <c r="AT25" s="94"/>
      <c r="AU25" s="94"/>
      <c r="AV25" s="95"/>
      <c r="AW25" s="93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5"/>
      <c r="BI25" s="93"/>
      <c r="BJ25" s="94"/>
      <c r="BK25" s="94"/>
      <c r="BL25" s="94"/>
      <c r="BM25" s="94"/>
      <c r="BN25" s="94"/>
      <c r="BO25" s="94"/>
      <c r="BP25" s="94"/>
      <c r="BQ25" s="94"/>
      <c r="BR25" s="94"/>
      <c r="BS25" s="95"/>
      <c r="BT25" s="93"/>
      <c r="BU25" s="94"/>
      <c r="BV25" s="94"/>
      <c r="BW25" s="94"/>
      <c r="BX25" s="94"/>
      <c r="BY25" s="94"/>
      <c r="BZ25" s="94"/>
      <c r="CA25" s="94"/>
      <c r="CB25" s="95"/>
      <c r="CC25" s="93"/>
      <c r="CD25" s="94"/>
      <c r="CE25" s="94"/>
      <c r="CF25" s="94"/>
      <c r="CG25" s="94"/>
      <c r="CH25" s="94"/>
      <c r="CI25" s="94"/>
      <c r="CJ25" s="94"/>
      <c r="CK25" s="94"/>
      <c r="CL25" s="94"/>
      <c r="CM25" s="95"/>
      <c r="CN25" s="93"/>
      <c r="CO25" s="94"/>
      <c r="CP25" s="94"/>
      <c r="CQ25" s="94"/>
      <c r="CR25" s="94"/>
      <c r="CS25" s="94"/>
      <c r="CT25" s="94"/>
      <c r="CU25" s="95"/>
      <c r="CV25" s="93"/>
      <c r="CW25" s="94"/>
      <c r="CX25" s="94"/>
      <c r="CY25" s="94"/>
      <c r="CZ25" s="94"/>
      <c r="DA25" s="94"/>
      <c r="DB25" s="94"/>
      <c r="DC25" s="94"/>
      <c r="DD25" s="94"/>
      <c r="DE25" s="94"/>
      <c r="DF25" s="95"/>
      <c r="DG25" s="93"/>
      <c r="DH25" s="94"/>
      <c r="DI25" s="94"/>
      <c r="DJ25" s="94"/>
      <c r="DK25" s="94"/>
      <c r="DL25" s="94"/>
      <c r="DM25" s="94"/>
      <c r="DN25" s="95"/>
      <c r="DO25" s="93"/>
      <c r="DP25" s="94"/>
      <c r="DQ25" s="94"/>
      <c r="DR25" s="94"/>
      <c r="DS25" s="94"/>
      <c r="DT25" s="94"/>
      <c r="DU25" s="94"/>
      <c r="DV25" s="94"/>
      <c r="DW25" s="94"/>
      <c r="DX25" s="94"/>
      <c r="DY25" s="95"/>
      <c r="DZ25" s="93"/>
      <c r="EA25" s="94"/>
      <c r="EB25" s="94"/>
      <c r="EC25" s="94"/>
      <c r="ED25" s="94"/>
      <c r="EE25" s="94"/>
      <c r="EF25" s="94"/>
      <c r="EG25" s="95"/>
      <c r="EH25" s="93"/>
      <c r="EI25" s="94"/>
      <c r="EJ25" s="94"/>
      <c r="EK25" s="94"/>
      <c r="EL25" s="94"/>
      <c r="EM25" s="94"/>
      <c r="EN25" s="94"/>
      <c r="EO25" s="94"/>
      <c r="EP25" s="94"/>
      <c r="EQ25" s="94"/>
      <c r="ER25" s="95"/>
      <c r="ES25" s="93"/>
      <c r="ET25" s="94"/>
      <c r="EU25" s="94"/>
      <c r="EV25" s="94"/>
      <c r="EW25" s="94"/>
      <c r="EX25" s="94"/>
      <c r="EY25" s="94"/>
      <c r="EZ25" s="95"/>
      <c r="FA25" s="93"/>
      <c r="FB25" s="94"/>
      <c r="FC25" s="94"/>
      <c r="FD25" s="94"/>
      <c r="FE25" s="94"/>
      <c r="FF25" s="94"/>
      <c r="FG25" s="94"/>
      <c r="FH25" s="94"/>
      <c r="FI25" s="94"/>
      <c r="FJ25" s="94"/>
      <c r="FK25" s="95"/>
    </row>
    <row r="26" spans="1:167" s="14" customFormat="1" ht="11.1" customHeight="1" x14ac:dyDescent="0.25">
      <c r="A26" s="16"/>
      <c r="B26" s="254" t="s">
        <v>150</v>
      </c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5"/>
      <c r="AH26" s="93">
        <v>8</v>
      </c>
      <c r="AI26" s="94"/>
      <c r="AJ26" s="94"/>
      <c r="AK26" s="94"/>
      <c r="AL26" s="94"/>
      <c r="AM26" s="94"/>
      <c r="AN26" s="95"/>
      <c r="AO26" s="93"/>
      <c r="AP26" s="94"/>
      <c r="AQ26" s="94"/>
      <c r="AR26" s="94"/>
      <c r="AS26" s="94"/>
      <c r="AT26" s="94"/>
      <c r="AU26" s="94"/>
      <c r="AV26" s="95"/>
      <c r="AW26" s="93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5"/>
      <c r="BI26" s="93"/>
      <c r="BJ26" s="94"/>
      <c r="BK26" s="94"/>
      <c r="BL26" s="94"/>
      <c r="BM26" s="94"/>
      <c r="BN26" s="94"/>
      <c r="BO26" s="94"/>
      <c r="BP26" s="94"/>
      <c r="BQ26" s="94"/>
      <c r="BR26" s="94"/>
      <c r="BS26" s="95"/>
      <c r="BT26" s="93"/>
      <c r="BU26" s="94"/>
      <c r="BV26" s="94"/>
      <c r="BW26" s="94"/>
      <c r="BX26" s="94"/>
      <c r="BY26" s="94"/>
      <c r="BZ26" s="94"/>
      <c r="CA26" s="94"/>
      <c r="CB26" s="95"/>
      <c r="CC26" s="93"/>
      <c r="CD26" s="94"/>
      <c r="CE26" s="94"/>
      <c r="CF26" s="94"/>
      <c r="CG26" s="94"/>
      <c r="CH26" s="94"/>
      <c r="CI26" s="94"/>
      <c r="CJ26" s="94"/>
      <c r="CK26" s="94"/>
      <c r="CL26" s="94"/>
      <c r="CM26" s="95"/>
      <c r="CN26" s="93"/>
      <c r="CO26" s="94"/>
      <c r="CP26" s="94"/>
      <c r="CQ26" s="94"/>
      <c r="CR26" s="94"/>
      <c r="CS26" s="94"/>
      <c r="CT26" s="94"/>
      <c r="CU26" s="95"/>
      <c r="CV26" s="93"/>
      <c r="CW26" s="94"/>
      <c r="CX26" s="94"/>
      <c r="CY26" s="94"/>
      <c r="CZ26" s="94"/>
      <c r="DA26" s="94"/>
      <c r="DB26" s="94"/>
      <c r="DC26" s="94"/>
      <c r="DD26" s="94"/>
      <c r="DE26" s="94"/>
      <c r="DF26" s="95"/>
      <c r="DG26" s="93"/>
      <c r="DH26" s="94"/>
      <c r="DI26" s="94"/>
      <c r="DJ26" s="94"/>
      <c r="DK26" s="94"/>
      <c r="DL26" s="94"/>
      <c r="DM26" s="94"/>
      <c r="DN26" s="95"/>
      <c r="DO26" s="93"/>
      <c r="DP26" s="94"/>
      <c r="DQ26" s="94"/>
      <c r="DR26" s="94"/>
      <c r="DS26" s="94"/>
      <c r="DT26" s="94"/>
      <c r="DU26" s="94"/>
      <c r="DV26" s="94"/>
      <c r="DW26" s="94"/>
      <c r="DX26" s="94"/>
      <c r="DY26" s="95"/>
      <c r="DZ26" s="93"/>
      <c r="EA26" s="94"/>
      <c r="EB26" s="94"/>
      <c r="EC26" s="94"/>
      <c r="ED26" s="94"/>
      <c r="EE26" s="94"/>
      <c r="EF26" s="94"/>
      <c r="EG26" s="95"/>
      <c r="EH26" s="93"/>
      <c r="EI26" s="94"/>
      <c r="EJ26" s="94"/>
      <c r="EK26" s="94"/>
      <c r="EL26" s="94"/>
      <c r="EM26" s="94"/>
      <c r="EN26" s="94"/>
      <c r="EO26" s="94"/>
      <c r="EP26" s="94"/>
      <c r="EQ26" s="94"/>
      <c r="ER26" s="95"/>
      <c r="ES26" s="93"/>
      <c r="ET26" s="94"/>
      <c r="EU26" s="94"/>
      <c r="EV26" s="94"/>
      <c r="EW26" s="94"/>
      <c r="EX26" s="94"/>
      <c r="EY26" s="94"/>
      <c r="EZ26" s="95"/>
      <c r="FA26" s="93"/>
      <c r="FB26" s="94"/>
      <c r="FC26" s="94"/>
      <c r="FD26" s="94"/>
      <c r="FE26" s="94"/>
      <c r="FF26" s="94"/>
      <c r="FG26" s="94"/>
      <c r="FH26" s="94"/>
      <c r="FI26" s="94"/>
      <c r="FJ26" s="94"/>
      <c r="FK26" s="95"/>
    </row>
    <row r="27" spans="1:167" s="14" customFormat="1" ht="23.1" customHeight="1" x14ac:dyDescent="0.25">
      <c r="A27" s="16"/>
      <c r="B27" s="254" t="s">
        <v>151</v>
      </c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5"/>
      <c r="AH27" s="93">
        <v>9</v>
      </c>
      <c r="AI27" s="94"/>
      <c r="AJ27" s="94"/>
      <c r="AK27" s="94"/>
      <c r="AL27" s="94"/>
      <c r="AM27" s="94"/>
      <c r="AN27" s="95"/>
      <c r="AO27" s="93"/>
      <c r="AP27" s="94"/>
      <c r="AQ27" s="94"/>
      <c r="AR27" s="94"/>
      <c r="AS27" s="94"/>
      <c r="AT27" s="94"/>
      <c r="AU27" s="94"/>
      <c r="AV27" s="95"/>
      <c r="AW27" s="93"/>
      <c r="AX27" s="94"/>
      <c r="AY27" s="94"/>
      <c r="AZ27" s="94"/>
      <c r="BA27" s="94"/>
      <c r="BB27" s="94"/>
      <c r="BC27" s="94"/>
      <c r="BD27" s="94"/>
      <c r="BE27" s="94"/>
      <c r="BF27" s="94"/>
      <c r="BG27" s="94"/>
      <c r="BH27" s="95"/>
      <c r="BI27" s="93"/>
      <c r="BJ27" s="94"/>
      <c r="BK27" s="94"/>
      <c r="BL27" s="94"/>
      <c r="BM27" s="94"/>
      <c r="BN27" s="94"/>
      <c r="BO27" s="94"/>
      <c r="BP27" s="94"/>
      <c r="BQ27" s="94"/>
      <c r="BR27" s="94"/>
      <c r="BS27" s="95"/>
      <c r="BT27" s="93"/>
      <c r="BU27" s="94"/>
      <c r="BV27" s="94"/>
      <c r="BW27" s="94"/>
      <c r="BX27" s="94"/>
      <c r="BY27" s="94"/>
      <c r="BZ27" s="94"/>
      <c r="CA27" s="94"/>
      <c r="CB27" s="95"/>
      <c r="CC27" s="93"/>
      <c r="CD27" s="94"/>
      <c r="CE27" s="94"/>
      <c r="CF27" s="94"/>
      <c r="CG27" s="94"/>
      <c r="CH27" s="94"/>
      <c r="CI27" s="94"/>
      <c r="CJ27" s="94"/>
      <c r="CK27" s="94"/>
      <c r="CL27" s="94"/>
      <c r="CM27" s="95"/>
      <c r="CN27" s="93"/>
      <c r="CO27" s="94"/>
      <c r="CP27" s="94"/>
      <c r="CQ27" s="94"/>
      <c r="CR27" s="94"/>
      <c r="CS27" s="94"/>
      <c r="CT27" s="94"/>
      <c r="CU27" s="95"/>
      <c r="CV27" s="93"/>
      <c r="CW27" s="94"/>
      <c r="CX27" s="94"/>
      <c r="CY27" s="94"/>
      <c r="CZ27" s="94"/>
      <c r="DA27" s="94"/>
      <c r="DB27" s="94"/>
      <c r="DC27" s="94"/>
      <c r="DD27" s="94"/>
      <c r="DE27" s="94"/>
      <c r="DF27" s="95"/>
      <c r="DG27" s="93"/>
      <c r="DH27" s="94"/>
      <c r="DI27" s="94"/>
      <c r="DJ27" s="94"/>
      <c r="DK27" s="94"/>
      <c r="DL27" s="94"/>
      <c r="DM27" s="94"/>
      <c r="DN27" s="95"/>
      <c r="DO27" s="93"/>
      <c r="DP27" s="94"/>
      <c r="DQ27" s="94"/>
      <c r="DR27" s="94"/>
      <c r="DS27" s="94"/>
      <c r="DT27" s="94"/>
      <c r="DU27" s="94"/>
      <c r="DV27" s="94"/>
      <c r="DW27" s="94"/>
      <c r="DX27" s="94"/>
      <c r="DY27" s="95"/>
      <c r="DZ27" s="93"/>
      <c r="EA27" s="94"/>
      <c r="EB27" s="94"/>
      <c r="EC27" s="94"/>
      <c r="ED27" s="94"/>
      <c r="EE27" s="94"/>
      <c r="EF27" s="94"/>
      <c r="EG27" s="95"/>
      <c r="EH27" s="93"/>
      <c r="EI27" s="94"/>
      <c r="EJ27" s="94"/>
      <c r="EK27" s="94"/>
      <c r="EL27" s="94"/>
      <c r="EM27" s="94"/>
      <c r="EN27" s="94"/>
      <c r="EO27" s="94"/>
      <c r="EP27" s="94"/>
      <c r="EQ27" s="94"/>
      <c r="ER27" s="95"/>
      <c r="ES27" s="93"/>
      <c r="ET27" s="94"/>
      <c r="EU27" s="94"/>
      <c r="EV27" s="94"/>
      <c r="EW27" s="94"/>
      <c r="EX27" s="94"/>
      <c r="EY27" s="94"/>
      <c r="EZ27" s="95"/>
      <c r="FA27" s="93"/>
      <c r="FB27" s="94"/>
      <c r="FC27" s="94"/>
      <c r="FD27" s="94"/>
      <c r="FE27" s="94"/>
      <c r="FF27" s="94"/>
      <c r="FG27" s="94"/>
      <c r="FH27" s="94"/>
      <c r="FI27" s="94"/>
      <c r="FJ27" s="94"/>
      <c r="FK27" s="95"/>
    </row>
    <row r="28" spans="1:167" s="14" customFormat="1" ht="47.25" customHeight="1" x14ac:dyDescent="0.25">
      <c r="A28" s="16"/>
      <c r="B28" s="125" t="s">
        <v>39</v>
      </c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253"/>
      <c r="AH28" s="93">
        <v>10</v>
      </c>
      <c r="AI28" s="94"/>
      <c r="AJ28" s="94"/>
      <c r="AK28" s="94"/>
      <c r="AL28" s="94"/>
      <c r="AM28" s="94"/>
      <c r="AN28" s="95"/>
      <c r="AO28" s="93"/>
      <c r="AP28" s="94"/>
      <c r="AQ28" s="94"/>
      <c r="AR28" s="94"/>
      <c r="AS28" s="94"/>
      <c r="AT28" s="94"/>
      <c r="AU28" s="94"/>
      <c r="AV28" s="95"/>
      <c r="AW28" s="93" t="s">
        <v>142</v>
      </c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5"/>
      <c r="BI28" s="93"/>
      <c r="BJ28" s="94"/>
      <c r="BK28" s="94"/>
      <c r="BL28" s="94"/>
      <c r="BM28" s="94"/>
      <c r="BN28" s="94"/>
      <c r="BO28" s="94"/>
      <c r="BP28" s="94"/>
      <c r="BQ28" s="94"/>
      <c r="BR28" s="94"/>
      <c r="BS28" s="95"/>
      <c r="BT28" s="93"/>
      <c r="BU28" s="94"/>
      <c r="BV28" s="94"/>
      <c r="BW28" s="94"/>
      <c r="BX28" s="94"/>
      <c r="BY28" s="94"/>
      <c r="BZ28" s="94"/>
      <c r="CA28" s="94"/>
      <c r="CB28" s="95"/>
      <c r="CC28" s="93"/>
      <c r="CD28" s="94"/>
      <c r="CE28" s="94"/>
      <c r="CF28" s="94"/>
      <c r="CG28" s="94"/>
      <c r="CH28" s="94"/>
      <c r="CI28" s="94"/>
      <c r="CJ28" s="94"/>
      <c r="CK28" s="94"/>
      <c r="CL28" s="94"/>
      <c r="CM28" s="95"/>
      <c r="CN28" s="93"/>
      <c r="CO28" s="94"/>
      <c r="CP28" s="94"/>
      <c r="CQ28" s="94"/>
      <c r="CR28" s="94"/>
      <c r="CS28" s="94"/>
      <c r="CT28" s="94"/>
      <c r="CU28" s="95"/>
      <c r="CV28" s="93"/>
      <c r="CW28" s="94"/>
      <c r="CX28" s="94"/>
      <c r="CY28" s="94"/>
      <c r="CZ28" s="94"/>
      <c r="DA28" s="94"/>
      <c r="DB28" s="94"/>
      <c r="DC28" s="94"/>
      <c r="DD28" s="94"/>
      <c r="DE28" s="94"/>
      <c r="DF28" s="95"/>
      <c r="DG28" s="93"/>
      <c r="DH28" s="94"/>
      <c r="DI28" s="94"/>
      <c r="DJ28" s="94"/>
      <c r="DK28" s="94"/>
      <c r="DL28" s="94"/>
      <c r="DM28" s="94"/>
      <c r="DN28" s="95"/>
      <c r="DO28" s="93"/>
      <c r="DP28" s="94"/>
      <c r="DQ28" s="94"/>
      <c r="DR28" s="94"/>
      <c r="DS28" s="94"/>
      <c r="DT28" s="94"/>
      <c r="DU28" s="94"/>
      <c r="DV28" s="94"/>
      <c r="DW28" s="94"/>
      <c r="DX28" s="94"/>
      <c r="DY28" s="95"/>
      <c r="DZ28" s="93"/>
      <c r="EA28" s="94"/>
      <c r="EB28" s="94"/>
      <c r="EC28" s="94"/>
      <c r="ED28" s="94"/>
      <c r="EE28" s="94"/>
      <c r="EF28" s="94"/>
      <c r="EG28" s="95"/>
      <c r="EH28" s="93"/>
      <c r="EI28" s="94"/>
      <c r="EJ28" s="94"/>
      <c r="EK28" s="94"/>
      <c r="EL28" s="94"/>
      <c r="EM28" s="94"/>
      <c r="EN28" s="94"/>
      <c r="EO28" s="94"/>
      <c r="EP28" s="94"/>
      <c r="EQ28" s="94"/>
      <c r="ER28" s="95"/>
      <c r="ES28" s="93"/>
      <c r="ET28" s="94"/>
      <c r="EU28" s="94"/>
      <c r="EV28" s="94"/>
      <c r="EW28" s="94"/>
      <c r="EX28" s="94"/>
      <c r="EY28" s="94"/>
      <c r="EZ28" s="95"/>
      <c r="FA28" s="93"/>
      <c r="FB28" s="94"/>
      <c r="FC28" s="94"/>
      <c r="FD28" s="94"/>
      <c r="FE28" s="94"/>
      <c r="FF28" s="94"/>
      <c r="FG28" s="94"/>
      <c r="FH28" s="94"/>
      <c r="FI28" s="94"/>
      <c r="FJ28" s="94"/>
      <c r="FK28" s="95"/>
    </row>
    <row r="29" spans="1:167" s="14" customFormat="1" ht="12" x14ac:dyDescent="0.25">
      <c r="A29" s="16"/>
      <c r="B29" s="249" t="s">
        <v>182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55"/>
      <c r="AH29" s="93">
        <v>11</v>
      </c>
      <c r="AI29" s="94"/>
      <c r="AJ29" s="94"/>
      <c r="AK29" s="94"/>
      <c r="AL29" s="94"/>
      <c r="AM29" s="94"/>
      <c r="AN29" s="95"/>
      <c r="AO29" s="93"/>
      <c r="AP29" s="94"/>
      <c r="AQ29" s="94"/>
      <c r="AR29" s="94"/>
      <c r="AS29" s="94"/>
      <c r="AT29" s="94"/>
      <c r="AU29" s="94"/>
      <c r="AV29" s="95"/>
      <c r="AW29" s="93" t="s">
        <v>142</v>
      </c>
      <c r="AX29" s="94"/>
      <c r="AY29" s="94"/>
      <c r="AZ29" s="94"/>
      <c r="BA29" s="94"/>
      <c r="BB29" s="94"/>
      <c r="BC29" s="94"/>
      <c r="BD29" s="94"/>
      <c r="BE29" s="94"/>
      <c r="BF29" s="94"/>
      <c r="BG29" s="94"/>
      <c r="BH29" s="95"/>
      <c r="BI29" s="93"/>
      <c r="BJ29" s="94"/>
      <c r="BK29" s="94"/>
      <c r="BL29" s="94"/>
      <c r="BM29" s="94"/>
      <c r="BN29" s="94"/>
      <c r="BO29" s="94"/>
      <c r="BP29" s="94"/>
      <c r="BQ29" s="94"/>
      <c r="BR29" s="94"/>
      <c r="BS29" s="95"/>
      <c r="BT29" s="93"/>
      <c r="BU29" s="94"/>
      <c r="BV29" s="94"/>
      <c r="BW29" s="94"/>
      <c r="BX29" s="94"/>
      <c r="BY29" s="94"/>
      <c r="BZ29" s="94"/>
      <c r="CA29" s="94"/>
      <c r="CB29" s="95"/>
      <c r="CC29" s="93"/>
      <c r="CD29" s="94"/>
      <c r="CE29" s="94"/>
      <c r="CF29" s="94"/>
      <c r="CG29" s="94"/>
      <c r="CH29" s="94"/>
      <c r="CI29" s="94"/>
      <c r="CJ29" s="94"/>
      <c r="CK29" s="94"/>
      <c r="CL29" s="94"/>
      <c r="CM29" s="95"/>
      <c r="CN29" s="93"/>
      <c r="CO29" s="94"/>
      <c r="CP29" s="94"/>
      <c r="CQ29" s="94"/>
      <c r="CR29" s="94"/>
      <c r="CS29" s="94"/>
      <c r="CT29" s="94"/>
      <c r="CU29" s="95"/>
      <c r="CV29" s="93"/>
      <c r="CW29" s="94"/>
      <c r="CX29" s="94"/>
      <c r="CY29" s="94"/>
      <c r="CZ29" s="94"/>
      <c r="DA29" s="94"/>
      <c r="DB29" s="94"/>
      <c r="DC29" s="94"/>
      <c r="DD29" s="94"/>
      <c r="DE29" s="94"/>
      <c r="DF29" s="95"/>
      <c r="DG29" s="93"/>
      <c r="DH29" s="94"/>
      <c r="DI29" s="94"/>
      <c r="DJ29" s="94"/>
      <c r="DK29" s="94"/>
      <c r="DL29" s="94"/>
      <c r="DM29" s="94"/>
      <c r="DN29" s="95"/>
      <c r="DO29" s="93"/>
      <c r="DP29" s="94"/>
      <c r="DQ29" s="94"/>
      <c r="DR29" s="94"/>
      <c r="DS29" s="94"/>
      <c r="DT29" s="94"/>
      <c r="DU29" s="94"/>
      <c r="DV29" s="94"/>
      <c r="DW29" s="94"/>
      <c r="DX29" s="94"/>
      <c r="DY29" s="95"/>
      <c r="DZ29" s="93"/>
      <c r="EA29" s="94"/>
      <c r="EB29" s="94"/>
      <c r="EC29" s="94"/>
      <c r="ED29" s="94"/>
      <c r="EE29" s="94"/>
      <c r="EF29" s="94"/>
      <c r="EG29" s="95"/>
      <c r="EH29" s="93"/>
      <c r="EI29" s="94"/>
      <c r="EJ29" s="94"/>
      <c r="EK29" s="94"/>
      <c r="EL29" s="94"/>
      <c r="EM29" s="94"/>
      <c r="EN29" s="94"/>
      <c r="EO29" s="94"/>
      <c r="EP29" s="94"/>
      <c r="EQ29" s="94"/>
      <c r="ER29" s="95"/>
      <c r="ES29" s="93"/>
      <c r="ET29" s="94"/>
      <c r="EU29" s="94"/>
      <c r="EV29" s="94"/>
      <c r="EW29" s="94"/>
      <c r="EX29" s="94"/>
      <c r="EY29" s="94"/>
      <c r="EZ29" s="95"/>
      <c r="FA29" s="93"/>
      <c r="FB29" s="94"/>
      <c r="FC29" s="94"/>
      <c r="FD29" s="94"/>
      <c r="FE29" s="94"/>
      <c r="FF29" s="94"/>
      <c r="FG29" s="94"/>
      <c r="FH29" s="94"/>
      <c r="FI29" s="94"/>
      <c r="FJ29" s="94"/>
      <c r="FK29" s="95"/>
    </row>
    <row r="30" spans="1:167" ht="24" customHeight="1" x14ac:dyDescent="0.25">
      <c r="A30" s="167" t="s">
        <v>179</v>
      </c>
      <c r="B30" s="256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256"/>
      <c r="BL30" s="256"/>
      <c r="BM30" s="256"/>
      <c r="BN30" s="256"/>
      <c r="BO30" s="256"/>
      <c r="BP30" s="256"/>
      <c r="BQ30" s="256"/>
      <c r="BR30" s="256"/>
      <c r="BS30" s="256"/>
      <c r="BT30" s="256"/>
      <c r="BU30" s="256"/>
      <c r="BV30" s="256"/>
      <c r="BW30" s="256"/>
      <c r="BX30" s="256"/>
      <c r="BY30" s="256"/>
      <c r="BZ30" s="256"/>
      <c r="CA30" s="256"/>
      <c r="CB30" s="256"/>
      <c r="CC30" s="256"/>
      <c r="CD30" s="256"/>
      <c r="CE30" s="256"/>
      <c r="CF30" s="256"/>
      <c r="CG30" s="256"/>
      <c r="CH30" s="256"/>
      <c r="CI30" s="256"/>
      <c r="CJ30" s="256"/>
      <c r="CK30" s="256"/>
      <c r="CL30" s="256"/>
      <c r="CM30" s="256"/>
      <c r="CN30" s="256"/>
      <c r="CO30" s="256"/>
      <c r="CP30" s="256"/>
      <c r="CQ30" s="256"/>
      <c r="CR30" s="256"/>
      <c r="CS30" s="256"/>
      <c r="CT30" s="256"/>
      <c r="CU30" s="256"/>
      <c r="CV30" s="256"/>
      <c r="CW30" s="256"/>
      <c r="CX30" s="256"/>
      <c r="CY30" s="256"/>
      <c r="CZ30" s="256"/>
      <c r="DA30" s="256"/>
      <c r="DB30" s="256"/>
      <c r="DC30" s="256"/>
      <c r="DD30" s="256"/>
      <c r="DE30" s="256"/>
      <c r="DF30" s="256"/>
      <c r="DG30" s="256"/>
      <c r="DH30" s="256"/>
      <c r="DI30" s="256"/>
      <c r="DJ30" s="256"/>
      <c r="DK30" s="256"/>
      <c r="DL30" s="256"/>
      <c r="DM30" s="256"/>
      <c r="DN30" s="256"/>
      <c r="DO30" s="256"/>
      <c r="DP30" s="256"/>
      <c r="DQ30" s="256"/>
      <c r="DR30" s="256"/>
      <c r="DS30" s="256"/>
      <c r="DT30" s="256"/>
      <c r="DU30" s="256"/>
      <c r="DV30" s="256"/>
      <c r="DW30" s="256"/>
      <c r="DX30" s="256"/>
      <c r="DY30" s="256"/>
      <c r="DZ30" s="256"/>
      <c r="EA30" s="256"/>
      <c r="EB30" s="256"/>
      <c r="EC30" s="256"/>
      <c r="ED30" s="256"/>
      <c r="EE30" s="256"/>
      <c r="EF30" s="256"/>
      <c r="EG30" s="256"/>
      <c r="EH30" s="256"/>
      <c r="EI30" s="256"/>
      <c r="EJ30" s="256"/>
      <c r="EK30" s="256"/>
      <c r="EL30" s="256"/>
      <c r="EM30" s="256"/>
      <c r="EN30" s="256"/>
      <c r="EO30" s="256"/>
      <c r="EP30" s="256"/>
      <c r="EQ30" s="256"/>
      <c r="ER30" s="256"/>
      <c r="ES30" s="256"/>
      <c r="ET30" s="256"/>
      <c r="EU30" s="256"/>
      <c r="EV30" s="256"/>
      <c r="EW30" s="256"/>
      <c r="EX30" s="256"/>
      <c r="EY30" s="256"/>
      <c r="EZ30" s="256"/>
      <c r="FA30" s="256"/>
      <c r="FB30" s="256"/>
      <c r="FC30" s="256"/>
      <c r="FD30" s="256"/>
      <c r="FE30" s="256"/>
      <c r="FF30" s="256"/>
      <c r="FG30" s="256"/>
      <c r="FH30" s="256"/>
      <c r="FI30" s="256"/>
      <c r="FJ30" s="256"/>
      <c r="FK30" s="256"/>
    </row>
    <row r="31" spans="1:167" ht="3" customHeight="1" x14ac:dyDescent="0.25"/>
  </sheetData>
  <mergeCells count="272">
    <mergeCell ref="A30:FK30"/>
    <mergeCell ref="DZ29:EG29"/>
    <mergeCell ref="EH29:ER29"/>
    <mergeCell ref="ES29:EZ29"/>
    <mergeCell ref="FA29:FK29"/>
    <mergeCell ref="CN29:CU29"/>
    <mergeCell ref="CV29:DF29"/>
    <mergeCell ref="DG29:DN29"/>
    <mergeCell ref="DO29:DY29"/>
    <mergeCell ref="EH28:ER28"/>
    <mergeCell ref="ES28:EZ28"/>
    <mergeCell ref="FA28:FK28"/>
    <mergeCell ref="B29:AF29"/>
    <mergeCell ref="AH29:AN29"/>
    <mergeCell ref="AO29:AV29"/>
    <mergeCell ref="AW29:BH29"/>
    <mergeCell ref="BI29:BS29"/>
    <mergeCell ref="BT29:CB29"/>
    <mergeCell ref="CC29:CM29"/>
    <mergeCell ref="B28:AG28"/>
    <mergeCell ref="AH28:AN28"/>
    <mergeCell ref="AO28:AV28"/>
    <mergeCell ref="AW28:BH28"/>
    <mergeCell ref="CV28:DF28"/>
    <mergeCell ref="DG28:DN28"/>
    <mergeCell ref="DO28:DY28"/>
    <mergeCell ref="DZ28:EG28"/>
    <mergeCell ref="BI28:BS28"/>
    <mergeCell ref="BT28:CB28"/>
    <mergeCell ref="CC28:CM28"/>
    <mergeCell ref="CN28:CU28"/>
    <mergeCell ref="EH26:ER26"/>
    <mergeCell ref="ES26:EZ26"/>
    <mergeCell ref="FA26:FK26"/>
    <mergeCell ref="B27:AG27"/>
    <mergeCell ref="AH27:AN27"/>
    <mergeCell ref="AO27:AV27"/>
    <mergeCell ref="AW27:BH27"/>
    <mergeCell ref="BI27:BS27"/>
    <mergeCell ref="BT27:CB27"/>
    <mergeCell ref="CC27:CM27"/>
    <mergeCell ref="ES27:EZ27"/>
    <mergeCell ref="FA27:FK27"/>
    <mergeCell ref="CN27:CU27"/>
    <mergeCell ref="CV27:DF27"/>
    <mergeCell ref="DG27:DN27"/>
    <mergeCell ref="DO27:DY27"/>
    <mergeCell ref="DZ27:EG27"/>
    <mergeCell ref="EH27:ER27"/>
    <mergeCell ref="B26:AG26"/>
    <mergeCell ref="AH26:AN26"/>
    <mergeCell ref="AO26:AV26"/>
    <mergeCell ref="AW26:BH26"/>
    <mergeCell ref="CV26:DF26"/>
    <mergeCell ref="DG26:DN26"/>
    <mergeCell ref="DO26:DY26"/>
    <mergeCell ref="DZ26:EG26"/>
    <mergeCell ref="BI26:BS26"/>
    <mergeCell ref="BT26:CB26"/>
    <mergeCell ref="CC26:CM26"/>
    <mergeCell ref="CN26:CU26"/>
    <mergeCell ref="EH24:ER24"/>
    <mergeCell ref="ES24:EZ24"/>
    <mergeCell ref="FA24:FK24"/>
    <mergeCell ref="B25:AG25"/>
    <mergeCell ref="AH25:AN25"/>
    <mergeCell ref="AO25:AV25"/>
    <mergeCell ref="AW25:BH25"/>
    <mergeCell ref="BI25:BS25"/>
    <mergeCell ref="BT25:CB25"/>
    <mergeCell ref="CC25:CM25"/>
    <mergeCell ref="ES25:EZ25"/>
    <mergeCell ref="FA25:FK25"/>
    <mergeCell ref="CN25:CU25"/>
    <mergeCell ref="CV25:DF25"/>
    <mergeCell ref="DG25:DN25"/>
    <mergeCell ref="DO25:DY25"/>
    <mergeCell ref="DZ25:EG25"/>
    <mergeCell ref="EH25:ER25"/>
    <mergeCell ref="B24:AG24"/>
    <mergeCell ref="AH24:AN24"/>
    <mergeCell ref="AO24:AV24"/>
    <mergeCell ref="AW24:BH24"/>
    <mergeCell ref="CV24:DF24"/>
    <mergeCell ref="DG24:DN24"/>
    <mergeCell ref="DO24:DY24"/>
    <mergeCell ref="DZ24:EG24"/>
    <mergeCell ref="BI24:BS24"/>
    <mergeCell ref="BT24:CB24"/>
    <mergeCell ref="CC24:CM24"/>
    <mergeCell ref="CN24:CU24"/>
    <mergeCell ref="EH22:ER22"/>
    <mergeCell ref="ES22:EZ22"/>
    <mergeCell ref="FA22:FK22"/>
    <mergeCell ref="B23:AG23"/>
    <mergeCell ref="AH23:AN23"/>
    <mergeCell ref="AO23:AV23"/>
    <mergeCell ref="AW23:BH23"/>
    <mergeCell ref="BI23:BS23"/>
    <mergeCell ref="BT23:CB23"/>
    <mergeCell ref="CC23:CM23"/>
    <mergeCell ref="ES23:EZ23"/>
    <mergeCell ref="FA23:FK23"/>
    <mergeCell ref="CN23:CU23"/>
    <mergeCell ref="CV23:DF23"/>
    <mergeCell ref="DG23:DN23"/>
    <mergeCell ref="DO23:DY23"/>
    <mergeCell ref="DZ23:EG23"/>
    <mergeCell ref="EH23:ER23"/>
    <mergeCell ref="B22:AG22"/>
    <mergeCell ref="AH22:AN22"/>
    <mergeCell ref="AO22:AV22"/>
    <mergeCell ref="AW22:BH22"/>
    <mergeCell ref="CV22:DF22"/>
    <mergeCell ref="DG22:DN22"/>
    <mergeCell ref="DO22:DY22"/>
    <mergeCell ref="DZ22:EG22"/>
    <mergeCell ref="BI22:BS22"/>
    <mergeCell ref="BT22:CB22"/>
    <mergeCell ref="CC22:CM22"/>
    <mergeCell ref="CN22:CU22"/>
    <mergeCell ref="EH20:ER20"/>
    <mergeCell ref="ES20:EZ20"/>
    <mergeCell ref="FA20:FK20"/>
    <mergeCell ref="B21:AG21"/>
    <mergeCell ref="AH21:AN21"/>
    <mergeCell ref="AO21:AV21"/>
    <mergeCell ref="AW21:BH21"/>
    <mergeCell ref="BI21:BS21"/>
    <mergeCell ref="BT21:CB21"/>
    <mergeCell ref="CC21:CM21"/>
    <mergeCell ref="ES21:EZ21"/>
    <mergeCell ref="FA21:FK21"/>
    <mergeCell ref="CN21:CU21"/>
    <mergeCell ref="CV21:DF21"/>
    <mergeCell ref="DG21:DN21"/>
    <mergeCell ref="DO21:DY21"/>
    <mergeCell ref="DZ21:EG21"/>
    <mergeCell ref="EH21:ER21"/>
    <mergeCell ref="B20:AG20"/>
    <mergeCell ref="AH20:AN20"/>
    <mergeCell ref="AO20:AV20"/>
    <mergeCell ref="AW20:BH20"/>
    <mergeCell ref="CV20:DF20"/>
    <mergeCell ref="DG20:DN20"/>
    <mergeCell ref="DO20:DY20"/>
    <mergeCell ref="DZ20:EG20"/>
    <mergeCell ref="BI20:BS20"/>
    <mergeCell ref="BT20:CB20"/>
    <mergeCell ref="CC20:CM20"/>
    <mergeCell ref="CN20:CU20"/>
    <mergeCell ref="ES18:EZ18"/>
    <mergeCell ref="FA18:FK18"/>
    <mergeCell ref="B19:AG19"/>
    <mergeCell ref="AH19:AN19"/>
    <mergeCell ref="AO19:AV19"/>
    <mergeCell ref="AW19:BH19"/>
    <mergeCell ref="BI19:BS19"/>
    <mergeCell ref="BT19:CB19"/>
    <mergeCell ref="CC19:CM19"/>
    <mergeCell ref="ES19:EZ19"/>
    <mergeCell ref="FA19:FK19"/>
    <mergeCell ref="CN19:CU19"/>
    <mergeCell ref="CV19:DF19"/>
    <mergeCell ref="DG19:DN19"/>
    <mergeCell ref="DO19:DY19"/>
    <mergeCell ref="DZ19:EG19"/>
    <mergeCell ref="EH19:ER19"/>
    <mergeCell ref="A18:AG18"/>
    <mergeCell ref="AH18:AN18"/>
    <mergeCell ref="AO18:AV18"/>
    <mergeCell ref="AW18:BH18"/>
    <mergeCell ref="DZ17:EG17"/>
    <mergeCell ref="EH17:ER17"/>
    <mergeCell ref="DG17:DN17"/>
    <mergeCell ref="DO17:DY17"/>
    <mergeCell ref="CV18:DF18"/>
    <mergeCell ref="DG18:DN18"/>
    <mergeCell ref="DO18:DY18"/>
    <mergeCell ref="DZ18:EG18"/>
    <mergeCell ref="BI18:BS18"/>
    <mergeCell ref="BT18:CB18"/>
    <mergeCell ref="CC18:CM18"/>
    <mergeCell ref="CN18:CU18"/>
    <mergeCell ref="EH18:ER18"/>
    <mergeCell ref="A12:FK12"/>
    <mergeCell ref="A13:FK13"/>
    <mergeCell ref="A15:AG17"/>
    <mergeCell ref="AH15:AN17"/>
    <mergeCell ref="AO15:BS16"/>
    <mergeCell ref="BT15:FK15"/>
    <mergeCell ref="BT16:CM16"/>
    <mergeCell ref="CN16:DF16"/>
    <mergeCell ref="DG16:DY16"/>
    <mergeCell ref="DZ16:ER16"/>
    <mergeCell ref="ES17:EZ17"/>
    <mergeCell ref="FA17:FK17"/>
    <mergeCell ref="ES16:FK16"/>
    <mergeCell ref="AO17:AV17"/>
    <mergeCell ref="AW17:BH17"/>
    <mergeCell ref="BI17:BS17"/>
    <mergeCell ref="BT17:CB17"/>
    <mergeCell ref="CC17:CM17"/>
    <mergeCell ref="CN17:CU17"/>
    <mergeCell ref="CV17:DF17"/>
    <mergeCell ref="DO8:EE8"/>
    <mergeCell ref="B8:AN8"/>
    <mergeCell ref="AP8:AV8"/>
    <mergeCell ref="DB9:DN9"/>
    <mergeCell ref="B7:AN7"/>
    <mergeCell ref="AP7:AV7"/>
    <mergeCell ref="A6:AO6"/>
    <mergeCell ref="AP6:AV6"/>
    <mergeCell ref="A1:FK1"/>
    <mergeCell ref="A3:AO5"/>
    <mergeCell ref="AP3:AV5"/>
    <mergeCell ref="CK7:DA7"/>
    <mergeCell ref="CK6:DA6"/>
    <mergeCell ref="CK5:DA5"/>
    <mergeCell ref="B10:AN10"/>
    <mergeCell ref="AP10:AV10"/>
    <mergeCell ref="CK10:DA10"/>
    <mergeCell ref="CK9:DA9"/>
    <mergeCell ref="DB10:DN10"/>
    <mergeCell ref="AW3:BX4"/>
    <mergeCell ref="BY3:DA4"/>
    <mergeCell ref="AW10:BH10"/>
    <mergeCell ref="BI10:BX10"/>
    <mergeCell ref="AW9:BH9"/>
    <mergeCell ref="B9:AN9"/>
    <mergeCell ref="AP9:AV9"/>
    <mergeCell ref="BI8:BX8"/>
    <mergeCell ref="CK8:DA8"/>
    <mergeCell ref="DB8:DN8"/>
    <mergeCell ref="BY10:CJ10"/>
    <mergeCell ref="BY9:CJ9"/>
    <mergeCell ref="BY8:CJ8"/>
    <mergeCell ref="BY7:CJ7"/>
    <mergeCell ref="BY6:CJ6"/>
    <mergeCell ref="BY5:CJ5"/>
    <mergeCell ref="AW8:BH8"/>
    <mergeCell ref="AW7:BH7"/>
    <mergeCell ref="AW6:BH6"/>
    <mergeCell ref="AW5:BH5"/>
    <mergeCell ref="BI9:BX9"/>
    <mergeCell ref="BI7:BX7"/>
    <mergeCell ref="BI6:BX6"/>
    <mergeCell ref="BI5:BX5"/>
    <mergeCell ref="ET4:FK4"/>
    <mergeCell ref="ET6:FK6"/>
    <mergeCell ref="ET7:FK7"/>
    <mergeCell ref="ET8:FK8"/>
    <mergeCell ref="ET9:FK9"/>
    <mergeCell ref="ET10:FK10"/>
    <mergeCell ref="DO10:EE10"/>
    <mergeCell ref="EF3:FK3"/>
    <mergeCell ref="EF5:ES5"/>
    <mergeCell ref="ET5:FK5"/>
    <mergeCell ref="EF4:ES4"/>
    <mergeCell ref="EF6:ES6"/>
    <mergeCell ref="EF7:ES7"/>
    <mergeCell ref="EF8:ES8"/>
    <mergeCell ref="EF9:ES9"/>
    <mergeCell ref="EF10:ES10"/>
    <mergeCell ref="DB3:EE4"/>
    <mergeCell ref="DB5:DN5"/>
    <mergeCell ref="DB6:DN6"/>
    <mergeCell ref="DB7:DN7"/>
    <mergeCell ref="DO5:EE5"/>
    <mergeCell ref="DO6:EE6"/>
    <mergeCell ref="DO7:EE7"/>
    <mergeCell ref="DO9:EE9"/>
  </mergeCells>
  <phoneticPr fontId="7" type="noConversion"/>
  <pageMargins left="0.39370078740157483" right="0.31496062992125984" top="0.59055118110236227" bottom="0.31496062992125984" header="0.19685039370078741" footer="0.19685039370078741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6"/>
  <sheetViews>
    <sheetView topLeftCell="A12" zoomScaleNormal="100" workbookViewId="0">
      <selection activeCell="CE35" sqref="CE35:CM35"/>
    </sheetView>
  </sheetViews>
  <sheetFormatPr defaultColWidth="0.77734375" defaultRowHeight="13.2" x14ac:dyDescent="0.25"/>
  <cols>
    <col min="1" max="16384" width="0.77734375" style="1"/>
  </cols>
  <sheetData>
    <row r="1" spans="1:107" x14ac:dyDescent="0.25">
      <c r="A1" s="119" t="s">
        <v>79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</row>
    <row r="2" spans="1:107" x14ac:dyDescent="0.25">
      <c r="A2" s="119" t="s">
        <v>80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</row>
    <row r="3" spans="1:107" x14ac:dyDescent="0.25">
      <c r="A3" s="119" t="s">
        <v>81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</row>
    <row r="4" spans="1:107" x14ac:dyDescent="0.25">
      <c r="A4" s="119" t="s">
        <v>82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</row>
    <row r="5" spans="1:107" s="14" customFormat="1" ht="16.5" customHeight="1" x14ac:dyDescent="0.25">
      <c r="DC5" s="44" t="s">
        <v>83</v>
      </c>
    </row>
    <row r="6" spans="1:107" s="14" customFormat="1" ht="2.25" customHeight="1" x14ac:dyDescent="0.25">
      <c r="DC6" s="15"/>
    </row>
    <row r="7" spans="1:107" s="14" customFormat="1" ht="12" x14ac:dyDescent="0.25">
      <c r="A7" s="257" t="s">
        <v>51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9"/>
      <c r="Y7" s="131" t="s">
        <v>52</v>
      </c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  <c r="BE7" s="133"/>
      <c r="BF7" s="257" t="s">
        <v>84</v>
      </c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9"/>
      <c r="BR7" s="257" t="s">
        <v>166</v>
      </c>
      <c r="BS7" s="258"/>
      <c r="BT7" s="258"/>
      <c r="BU7" s="258"/>
      <c r="BV7" s="258"/>
      <c r="BW7" s="258"/>
      <c r="BX7" s="258"/>
      <c r="BY7" s="258"/>
      <c r="BZ7" s="259"/>
      <c r="CA7" s="257" t="s">
        <v>85</v>
      </c>
      <c r="CB7" s="258"/>
      <c r="CC7" s="258"/>
      <c r="CD7" s="258"/>
      <c r="CE7" s="258"/>
      <c r="CF7" s="258"/>
      <c r="CG7" s="258"/>
      <c r="CH7" s="258"/>
      <c r="CI7" s="258"/>
      <c r="CJ7" s="258"/>
      <c r="CK7" s="258"/>
      <c r="CL7" s="258"/>
      <c r="CM7" s="258"/>
      <c r="CN7" s="258"/>
      <c r="CO7" s="258"/>
      <c r="CP7" s="259"/>
      <c r="CQ7" s="257" t="s">
        <v>86</v>
      </c>
      <c r="CR7" s="258"/>
      <c r="CS7" s="258"/>
      <c r="CT7" s="258"/>
      <c r="CU7" s="258"/>
      <c r="CV7" s="258"/>
      <c r="CW7" s="258"/>
      <c r="CX7" s="258"/>
      <c r="CY7" s="258"/>
      <c r="CZ7" s="258"/>
      <c r="DA7" s="258"/>
      <c r="DB7" s="258"/>
      <c r="DC7" s="259"/>
    </row>
    <row r="8" spans="1:107" s="14" customFormat="1" ht="25.5" customHeight="1" x14ac:dyDescent="0.25">
      <c r="A8" s="263"/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  <c r="X8" s="265"/>
      <c r="Y8" s="113" t="s">
        <v>87</v>
      </c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5"/>
      <c r="AX8" s="257" t="s">
        <v>88</v>
      </c>
      <c r="AY8" s="258"/>
      <c r="AZ8" s="258"/>
      <c r="BA8" s="258"/>
      <c r="BB8" s="258"/>
      <c r="BC8" s="258"/>
      <c r="BD8" s="258"/>
      <c r="BE8" s="259"/>
      <c r="BF8" s="260"/>
      <c r="BG8" s="261"/>
      <c r="BH8" s="261"/>
      <c r="BI8" s="261"/>
      <c r="BJ8" s="261"/>
      <c r="BK8" s="261"/>
      <c r="BL8" s="261"/>
      <c r="BM8" s="261"/>
      <c r="BN8" s="261"/>
      <c r="BO8" s="261"/>
      <c r="BP8" s="261"/>
      <c r="BQ8" s="262"/>
      <c r="BR8" s="260"/>
      <c r="BS8" s="261"/>
      <c r="BT8" s="261"/>
      <c r="BU8" s="261"/>
      <c r="BV8" s="261"/>
      <c r="BW8" s="261"/>
      <c r="BX8" s="261"/>
      <c r="BY8" s="261"/>
      <c r="BZ8" s="262"/>
      <c r="CA8" s="263"/>
      <c r="CB8" s="264"/>
      <c r="CC8" s="264"/>
      <c r="CD8" s="264"/>
      <c r="CE8" s="264"/>
      <c r="CF8" s="264"/>
      <c r="CG8" s="264"/>
      <c r="CH8" s="264"/>
      <c r="CI8" s="264"/>
      <c r="CJ8" s="264"/>
      <c r="CK8" s="264"/>
      <c r="CL8" s="264"/>
      <c r="CM8" s="264"/>
      <c r="CN8" s="264"/>
      <c r="CO8" s="264"/>
      <c r="CP8" s="265"/>
      <c r="CQ8" s="260"/>
      <c r="CR8" s="261"/>
      <c r="CS8" s="261"/>
      <c r="CT8" s="261"/>
      <c r="CU8" s="261"/>
      <c r="CV8" s="261"/>
      <c r="CW8" s="261"/>
      <c r="CX8" s="261"/>
      <c r="CY8" s="261"/>
      <c r="CZ8" s="261"/>
      <c r="DA8" s="261"/>
      <c r="DB8" s="261"/>
      <c r="DC8" s="262"/>
    </row>
    <row r="9" spans="1:107" s="14" customFormat="1" ht="12" customHeight="1" x14ac:dyDescent="0.25">
      <c r="A9" s="257" t="s">
        <v>92</v>
      </c>
      <c r="B9" s="258"/>
      <c r="C9" s="258"/>
      <c r="D9" s="258"/>
      <c r="E9" s="258"/>
      <c r="F9" s="258"/>
      <c r="G9" s="258"/>
      <c r="H9" s="246" t="s">
        <v>16</v>
      </c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 t="s">
        <v>92</v>
      </c>
      <c r="Z9" s="246"/>
      <c r="AA9" s="246"/>
      <c r="AB9" s="246"/>
      <c r="AC9" s="246"/>
      <c r="AD9" s="246"/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58" t="s">
        <v>165</v>
      </c>
      <c r="AP9" s="258"/>
      <c r="AQ9" s="258"/>
      <c r="AR9" s="258"/>
      <c r="AS9" s="258"/>
      <c r="AT9" s="258"/>
      <c r="AU9" s="258"/>
      <c r="AV9" s="258"/>
      <c r="AW9" s="259"/>
      <c r="AX9" s="260"/>
      <c r="AY9" s="261"/>
      <c r="AZ9" s="261"/>
      <c r="BA9" s="261"/>
      <c r="BB9" s="261"/>
      <c r="BC9" s="261"/>
      <c r="BD9" s="261"/>
      <c r="BE9" s="262"/>
      <c r="BF9" s="260"/>
      <c r="BG9" s="261"/>
      <c r="BH9" s="261"/>
      <c r="BI9" s="261"/>
      <c r="BJ9" s="261"/>
      <c r="BK9" s="261"/>
      <c r="BL9" s="261"/>
      <c r="BM9" s="261"/>
      <c r="BN9" s="261"/>
      <c r="BO9" s="261"/>
      <c r="BP9" s="261"/>
      <c r="BQ9" s="262"/>
      <c r="BR9" s="260"/>
      <c r="BS9" s="261"/>
      <c r="BT9" s="261"/>
      <c r="BU9" s="261"/>
      <c r="BV9" s="261"/>
      <c r="BW9" s="261"/>
      <c r="BX9" s="261"/>
      <c r="BY9" s="261"/>
      <c r="BZ9" s="262"/>
      <c r="CA9" s="246" t="s">
        <v>89</v>
      </c>
      <c r="CB9" s="246"/>
      <c r="CC9" s="246"/>
      <c r="CD9" s="246"/>
      <c r="CE9" s="246"/>
      <c r="CF9" s="246"/>
      <c r="CG9" s="246"/>
      <c r="CH9" s="246"/>
      <c r="CI9" s="246"/>
      <c r="CJ9" s="246"/>
      <c r="CK9" s="258" t="s">
        <v>90</v>
      </c>
      <c r="CL9" s="258"/>
      <c r="CM9" s="258"/>
      <c r="CN9" s="258"/>
      <c r="CO9" s="258"/>
      <c r="CP9" s="259"/>
      <c r="CQ9" s="260"/>
      <c r="CR9" s="261"/>
      <c r="CS9" s="261"/>
      <c r="CT9" s="261"/>
      <c r="CU9" s="261"/>
      <c r="CV9" s="261"/>
      <c r="CW9" s="261"/>
      <c r="CX9" s="261"/>
      <c r="CY9" s="261"/>
      <c r="CZ9" s="261"/>
      <c r="DA9" s="261"/>
      <c r="DB9" s="261"/>
      <c r="DC9" s="262"/>
    </row>
    <row r="10" spans="1:107" s="14" customFormat="1" ht="100.5" customHeight="1" x14ac:dyDescent="0.25">
      <c r="A10" s="263"/>
      <c r="B10" s="264"/>
      <c r="C10" s="264"/>
      <c r="D10" s="264"/>
      <c r="E10" s="264"/>
      <c r="F10" s="264"/>
      <c r="G10" s="264"/>
      <c r="H10" s="246" t="s">
        <v>164</v>
      </c>
      <c r="I10" s="246"/>
      <c r="J10" s="246"/>
      <c r="K10" s="246"/>
      <c r="L10" s="246"/>
      <c r="M10" s="246"/>
      <c r="N10" s="246"/>
      <c r="O10" s="246" t="s">
        <v>167</v>
      </c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64"/>
      <c r="AP10" s="264"/>
      <c r="AQ10" s="264"/>
      <c r="AR10" s="264"/>
      <c r="AS10" s="264"/>
      <c r="AT10" s="264"/>
      <c r="AU10" s="264"/>
      <c r="AV10" s="264"/>
      <c r="AW10" s="265"/>
      <c r="AX10" s="263"/>
      <c r="AY10" s="264"/>
      <c r="AZ10" s="264"/>
      <c r="BA10" s="264"/>
      <c r="BB10" s="264"/>
      <c r="BC10" s="264"/>
      <c r="BD10" s="264"/>
      <c r="BE10" s="265"/>
      <c r="BF10" s="263"/>
      <c r="BG10" s="264"/>
      <c r="BH10" s="264"/>
      <c r="BI10" s="264"/>
      <c r="BJ10" s="264"/>
      <c r="BK10" s="264"/>
      <c r="BL10" s="264"/>
      <c r="BM10" s="264"/>
      <c r="BN10" s="264"/>
      <c r="BO10" s="264"/>
      <c r="BP10" s="264"/>
      <c r="BQ10" s="265"/>
      <c r="BR10" s="263"/>
      <c r="BS10" s="264"/>
      <c r="BT10" s="264"/>
      <c r="BU10" s="264"/>
      <c r="BV10" s="264"/>
      <c r="BW10" s="264"/>
      <c r="BX10" s="264"/>
      <c r="BY10" s="264"/>
      <c r="BZ10" s="265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64"/>
      <c r="CL10" s="264"/>
      <c r="CM10" s="264"/>
      <c r="CN10" s="264"/>
      <c r="CO10" s="264"/>
      <c r="CP10" s="265"/>
      <c r="CQ10" s="263"/>
      <c r="CR10" s="264"/>
      <c r="CS10" s="264"/>
      <c r="CT10" s="264"/>
      <c r="CU10" s="264"/>
      <c r="CV10" s="264"/>
      <c r="CW10" s="264"/>
      <c r="CX10" s="264"/>
      <c r="CY10" s="264"/>
      <c r="CZ10" s="264"/>
      <c r="DA10" s="264"/>
      <c r="DB10" s="264"/>
      <c r="DC10" s="265"/>
    </row>
    <row r="11" spans="1:107" s="14" customFormat="1" ht="12" x14ac:dyDescent="0.25">
      <c r="A11" s="93">
        <v>1</v>
      </c>
      <c r="B11" s="94"/>
      <c r="C11" s="94"/>
      <c r="D11" s="94"/>
      <c r="E11" s="94"/>
      <c r="F11" s="94"/>
      <c r="G11" s="95"/>
      <c r="H11" s="169">
        <v>2</v>
      </c>
      <c r="I11" s="169"/>
      <c r="J11" s="169"/>
      <c r="K11" s="169"/>
      <c r="L11" s="169"/>
      <c r="M11" s="169"/>
      <c r="N11" s="169"/>
      <c r="O11" s="169">
        <v>3</v>
      </c>
      <c r="P11" s="169"/>
      <c r="Q11" s="169"/>
      <c r="R11" s="169"/>
      <c r="S11" s="169"/>
      <c r="T11" s="169"/>
      <c r="U11" s="169"/>
      <c r="V11" s="169"/>
      <c r="W11" s="169"/>
      <c r="X11" s="169"/>
      <c r="Y11" s="93">
        <v>4</v>
      </c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5"/>
      <c r="AO11" s="93">
        <v>5</v>
      </c>
      <c r="AP11" s="94"/>
      <c r="AQ11" s="94"/>
      <c r="AR11" s="94"/>
      <c r="AS11" s="94"/>
      <c r="AT11" s="94"/>
      <c r="AU11" s="94"/>
      <c r="AV11" s="94"/>
      <c r="AW11" s="95"/>
      <c r="AX11" s="93">
        <v>6</v>
      </c>
      <c r="AY11" s="94"/>
      <c r="AZ11" s="94"/>
      <c r="BA11" s="94"/>
      <c r="BB11" s="94"/>
      <c r="BC11" s="94"/>
      <c r="BD11" s="94"/>
      <c r="BE11" s="95"/>
      <c r="BF11" s="93">
        <v>7</v>
      </c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5"/>
      <c r="BR11" s="93">
        <v>8</v>
      </c>
      <c r="BS11" s="94"/>
      <c r="BT11" s="94"/>
      <c r="BU11" s="94"/>
      <c r="BV11" s="94"/>
      <c r="BW11" s="94"/>
      <c r="BX11" s="94"/>
      <c r="BY11" s="94"/>
      <c r="BZ11" s="95"/>
      <c r="CA11" s="93">
        <v>9</v>
      </c>
      <c r="CB11" s="94"/>
      <c r="CC11" s="94"/>
      <c r="CD11" s="94"/>
      <c r="CE11" s="94"/>
      <c r="CF11" s="94"/>
      <c r="CG11" s="94"/>
      <c r="CH11" s="94"/>
      <c r="CI11" s="94"/>
      <c r="CJ11" s="95"/>
      <c r="CK11" s="93">
        <v>10</v>
      </c>
      <c r="CL11" s="94"/>
      <c r="CM11" s="94"/>
      <c r="CN11" s="94"/>
      <c r="CO11" s="94"/>
      <c r="CP11" s="95"/>
      <c r="CQ11" s="93">
        <v>11</v>
      </c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5"/>
    </row>
    <row r="12" spans="1:107" s="14" customFormat="1" ht="12.75" customHeight="1" x14ac:dyDescent="0.25">
      <c r="A12" s="102"/>
      <c r="B12" s="103"/>
      <c r="C12" s="103"/>
      <c r="D12" s="103"/>
      <c r="E12" s="103"/>
      <c r="F12" s="103"/>
      <c r="G12" s="104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94" t="s">
        <v>91</v>
      </c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2"/>
      <c r="AX12" s="266"/>
      <c r="AY12" s="267"/>
      <c r="AZ12" s="267"/>
      <c r="BA12" s="267"/>
      <c r="BB12" s="267"/>
      <c r="BC12" s="267"/>
      <c r="BD12" s="267"/>
      <c r="BE12" s="268"/>
      <c r="BF12" s="102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4"/>
      <c r="BR12" s="102"/>
      <c r="BS12" s="103"/>
      <c r="BT12" s="103"/>
      <c r="BU12" s="103"/>
      <c r="BV12" s="103"/>
      <c r="BW12" s="103"/>
      <c r="BX12" s="103"/>
      <c r="BY12" s="103"/>
      <c r="BZ12" s="104"/>
      <c r="CA12" s="280"/>
      <c r="CB12" s="281"/>
      <c r="CC12" s="281"/>
      <c r="CD12" s="281"/>
      <c r="CE12" s="281"/>
      <c r="CF12" s="281"/>
      <c r="CG12" s="281"/>
      <c r="CH12" s="281"/>
      <c r="CI12" s="281"/>
      <c r="CJ12" s="282"/>
      <c r="CK12" s="102"/>
      <c r="CL12" s="103"/>
      <c r="CM12" s="103"/>
      <c r="CN12" s="103"/>
      <c r="CO12" s="103"/>
      <c r="CP12" s="104"/>
      <c r="CQ12" s="102">
        <f>TarifTravm</f>
        <v>0</v>
      </c>
      <c r="CR12" s="103"/>
      <c r="CS12" s="103"/>
      <c r="CT12" s="103"/>
      <c r="CU12" s="103"/>
      <c r="CV12" s="103"/>
      <c r="CW12" s="103"/>
      <c r="CX12" s="103"/>
      <c r="CY12" s="103"/>
      <c r="CZ12" s="103"/>
      <c r="DA12" s="103"/>
      <c r="DB12" s="103"/>
      <c r="DC12" s="104"/>
    </row>
    <row r="13" spans="1:107" s="14" customFormat="1" ht="12" x14ac:dyDescent="0.25">
      <c r="A13" s="105"/>
      <c r="B13" s="106"/>
      <c r="C13" s="106"/>
      <c r="D13" s="106"/>
      <c r="E13" s="106"/>
      <c r="F13" s="106"/>
      <c r="G13" s="107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93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5"/>
      <c r="AO13" s="93"/>
      <c r="AP13" s="94"/>
      <c r="AQ13" s="94"/>
      <c r="AR13" s="94"/>
      <c r="AS13" s="94"/>
      <c r="AT13" s="94"/>
      <c r="AU13" s="94"/>
      <c r="AV13" s="94"/>
      <c r="AW13" s="95"/>
      <c r="AX13" s="270"/>
      <c r="AY13" s="271"/>
      <c r="AZ13" s="271"/>
      <c r="BA13" s="271"/>
      <c r="BB13" s="271"/>
      <c r="BC13" s="271"/>
      <c r="BD13" s="271"/>
      <c r="BE13" s="272"/>
      <c r="BF13" s="105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7"/>
      <c r="BR13" s="105"/>
      <c r="BS13" s="106"/>
      <c r="BT13" s="106"/>
      <c r="BU13" s="106"/>
      <c r="BV13" s="106"/>
      <c r="BW13" s="106"/>
      <c r="BX13" s="106"/>
      <c r="BY13" s="106"/>
      <c r="BZ13" s="107"/>
      <c r="CA13" s="273"/>
      <c r="CB13" s="274"/>
      <c r="CC13" s="274"/>
      <c r="CD13" s="274"/>
      <c r="CE13" s="274"/>
      <c r="CF13" s="274"/>
      <c r="CG13" s="274"/>
      <c r="CH13" s="274"/>
      <c r="CI13" s="274"/>
      <c r="CJ13" s="275"/>
      <c r="CK13" s="105"/>
      <c r="CL13" s="106"/>
      <c r="CM13" s="106"/>
      <c r="CN13" s="106"/>
      <c r="CO13" s="106"/>
      <c r="CP13" s="107"/>
      <c r="CQ13" s="105"/>
      <c r="CR13" s="106"/>
      <c r="CS13" s="106"/>
      <c r="CT13" s="106"/>
      <c r="CU13" s="106"/>
      <c r="CV13" s="106"/>
      <c r="CW13" s="106"/>
      <c r="CX13" s="106"/>
      <c r="CY13" s="106"/>
      <c r="CZ13" s="106"/>
      <c r="DA13" s="106"/>
      <c r="DB13" s="106"/>
      <c r="DC13" s="107"/>
    </row>
    <row r="14" spans="1:107" s="14" customFormat="1" ht="13.5" customHeight="1" x14ac:dyDescent="0.25">
      <c r="A14" s="105"/>
      <c r="B14" s="106"/>
      <c r="C14" s="106"/>
      <c r="D14" s="106"/>
      <c r="E14" s="106"/>
      <c r="F14" s="106"/>
      <c r="G14" s="107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7" t="s">
        <v>11</v>
      </c>
      <c r="Z14" s="278"/>
      <c r="AA14" s="278"/>
      <c r="AB14" s="278"/>
      <c r="AC14" s="278"/>
      <c r="AD14" s="278"/>
      <c r="AE14" s="278"/>
      <c r="AF14" s="278"/>
      <c r="AG14" s="278"/>
      <c r="AH14" s="278"/>
      <c r="AI14" s="278"/>
      <c r="AJ14" s="278"/>
      <c r="AK14" s="278"/>
      <c r="AL14" s="278"/>
      <c r="AM14" s="278"/>
      <c r="AN14" s="278"/>
      <c r="AO14" s="278"/>
      <c r="AP14" s="278"/>
      <c r="AQ14" s="278"/>
      <c r="AR14" s="278"/>
      <c r="AS14" s="278"/>
      <c r="AT14" s="278"/>
      <c r="AU14" s="278"/>
      <c r="AV14" s="278"/>
      <c r="AW14" s="279"/>
      <c r="AX14" s="270"/>
      <c r="AY14" s="271"/>
      <c r="AZ14" s="271"/>
      <c r="BA14" s="271"/>
      <c r="BB14" s="271"/>
      <c r="BC14" s="271"/>
      <c r="BD14" s="271"/>
      <c r="BE14" s="272"/>
      <c r="BF14" s="105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7"/>
      <c r="BR14" s="105"/>
      <c r="BS14" s="106"/>
      <c r="BT14" s="106"/>
      <c r="BU14" s="106"/>
      <c r="BV14" s="106"/>
      <c r="BW14" s="106"/>
      <c r="BX14" s="106"/>
      <c r="BY14" s="106"/>
      <c r="BZ14" s="107"/>
      <c r="CA14" s="273"/>
      <c r="CB14" s="274"/>
      <c r="CC14" s="274"/>
      <c r="CD14" s="274"/>
      <c r="CE14" s="274"/>
      <c r="CF14" s="274"/>
      <c r="CG14" s="274"/>
      <c r="CH14" s="274"/>
      <c r="CI14" s="274"/>
      <c r="CJ14" s="275"/>
      <c r="CK14" s="105"/>
      <c r="CL14" s="106"/>
      <c r="CM14" s="106"/>
      <c r="CN14" s="106"/>
      <c r="CO14" s="106"/>
      <c r="CP14" s="107"/>
      <c r="CQ14" s="105"/>
      <c r="CR14" s="106"/>
      <c r="CS14" s="106"/>
      <c r="CT14" s="106"/>
      <c r="CU14" s="106"/>
      <c r="CV14" s="106"/>
      <c r="CW14" s="106"/>
      <c r="CX14" s="106"/>
      <c r="CY14" s="106"/>
      <c r="CZ14" s="106"/>
      <c r="DA14" s="106"/>
      <c r="DB14" s="106"/>
      <c r="DC14" s="107"/>
    </row>
    <row r="15" spans="1:107" s="14" customFormat="1" ht="12" x14ac:dyDescent="0.25">
      <c r="A15" s="105"/>
      <c r="B15" s="106"/>
      <c r="C15" s="106"/>
      <c r="D15" s="106"/>
      <c r="E15" s="106"/>
      <c r="F15" s="106"/>
      <c r="G15" s="107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153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5"/>
      <c r="AO15" s="93"/>
      <c r="AP15" s="94"/>
      <c r="AQ15" s="94"/>
      <c r="AR15" s="94"/>
      <c r="AS15" s="94"/>
      <c r="AT15" s="94"/>
      <c r="AU15" s="94"/>
      <c r="AV15" s="94"/>
      <c r="AW15" s="95"/>
      <c r="AX15" s="270"/>
      <c r="AY15" s="271"/>
      <c r="AZ15" s="271"/>
      <c r="BA15" s="271"/>
      <c r="BB15" s="271"/>
      <c r="BC15" s="271"/>
      <c r="BD15" s="271"/>
      <c r="BE15" s="272"/>
      <c r="BF15" s="105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7"/>
      <c r="BR15" s="105"/>
      <c r="BS15" s="106"/>
      <c r="BT15" s="106"/>
      <c r="BU15" s="106"/>
      <c r="BV15" s="106"/>
      <c r="BW15" s="106"/>
      <c r="BX15" s="106"/>
      <c r="BY15" s="106"/>
      <c r="BZ15" s="107"/>
      <c r="CA15" s="273"/>
      <c r="CB15" s="274"/>
      <c r="CC15" s="274"/>
      <c r="CD15" s="274"/>
      <c r="CE15" s="274"/>
      <c r="CF15" s="274"/>
      <c r="CG15" s="274"/>
      <c r="CH15" s="274"/>
      <c r="CI15" s="274"/>
      <c r="CJ15" s="275"/>
      <c r="CK15" s="105"/>
      <c r="CL15" s="106"/>
      <c r="CM15" s="106"/>
      <c r="CN15" s="106"/>
      <c r="CO15" s="106"/>
      <c r="CP15" s="107"/>
      <c r="CQ15" s="105"/>
      <c r="CR15" s="106"/>
      <c r="CS15" s="106"/>
      <c r="CT15" s="106"/>
      <c r="CU15" s="106"/>
      <c r="CV15" s="106"/>
      <c r="CW15" s="106"/>
      <c r="CX15" s="106"/>
      <c r="CY15" s="106"/>
      <c r="CZ15" s="106"/>
      <c r="DA15" s="106"/>
      <c r="DB15" s="106"/>
      <c r="DC15" s="107"/>
    </row>
    <row r="16" spans="1:107" s="14" customFormat="1" ht="12" x14ac:dyDescent="0.25">
      <c r="A16" s="105"/>
      <c r="B16" s="106"/>
      <c r="C16" s="106"/>
      <c r="D16" s="106"/>
      <c r="E16" s="106"/>
      <c r="F16" s="106"/>
      <c r="G16" s="107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153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5"/>
      <c r="AO16" s="93"/>
      <c r="AP16" s="94"/>
      <c r="AQ16" s="94"/>
      <c r="AR16" s="94"/>
      <c r="AS16" s="94"/>
      <c r="AT16" s="94"/>
      <c r="AU16" s="94"/>
      <c r="AV16" s="94"/>
      <c r="AW16" s="95"/>
      <c r="AX16" s="270"/>
      <c r="AY16" s="271"/>
      <c r="AZ16" s="271"/>
      <c r="BA16" s="271"/>
      <c r="BB16" s="271"/>
      <c r="BC16" s="271"/>
      <c r="BD16" s="271"/>
      <c r="BE16" s="272"/>
      <c r="BF16" s="105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7"/>
      <c r="BR16" s="105"/>
      <c r="BS16" s="106"/>
      <c r="BT16" s="106"/>
      <c r="BU16" s="106"/>
      <c r="BV16" s="106"/>
      <c r="BW16" s="106"/>
      <c r="BX16" s="106"/>
      <c r="BY16" s="106"/>
      <c r="BZ16" s="107"/>
      <c r="CA16" s="273"/>
      <c r="CB16" s="274"/>
      <c r="CC16" s="274"/>
      <c r="CD16" s="274"/>
      <c r="CE16" s="274"/>
      <c r="CF16" s="274"/>
      <c r="CG16" s="274"/>
      <c r="CH16" s="274"/>
      <c r="CI16" s="274"/>
      <c r="CJ16" s="275"/>
      <c r="CK16" s="105"/>
      <c r="CL16" s="106"/>
      <c r="CM16" s="106"/>
      <c r="CN16" s="106"/>
      <c r="CO16" s="106"/>
      <c r="CP16" s="107"/>
      <c r="CQ16" s="105"/>
      <c r="CR16" s="106"/>
      <c r="CS16" s="106"/>
      <c r="CT16" s="106"/>
      <c r="CU16" s="106"/>
      <c r="CV16" s="106"/>
      <c r="CW16" s="106"/>
      <c r="CX16" s="106"/>
      <c r="CY16" s="106"/>
      <c r="CZ16" s="106"/>
      <c r="DA16" s="106"/>
      <c r="DB16" s="106"/>
      <c r="DC16" s="107"/>
    </row>
    <row r="17" spans="1:107" s="14" customFormat="1" ht="12" x14ac:dyDescent="0.25">
      <c r="A17" s="108"/>
      <c r="B17" s="109"/>
      <c r="C17" s="109"/>
      <c r="D17" s="109"/>
      <c r="E17" s="109"/>
      <c r="F17" s="109"/>
      <c r="G17" s="110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153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5"/>
      <c r="AO17" s="93"/>
      <c r="AP17" s="94"/>
      <c r="AQ17" s="94"/>
      <c r="AR17" s="94"/>
      <c r="AS17" s="94"/>
      <c r="AT17" s="94"/>
      <c r="AU17" s="94"/>
      <c r="AV17" s="94"/>
      <c r="AW17" s="95"/>
      <c r="AX17" s="296"/>
      <c r="AY17" s="297"/>
      <c r="AZ17" s="297"/>
      <c r="BA17" s="297"/>
      <c r="BB17" s="297"/>
      <c r="BC17" s="297"/>
      <c r="BD17" s="297"/>
      <c r="BE17" s="298"/>
      <c r="BF17" s="108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10"/>
      <c r="BR17" s="108"/>
      <c r="BS17" s="109"/>
      <c r="BT17" s="109"/>
      <c r="BU17" s="109"/>
      <c r="BV17" s="109"/>
      <c r="BW17" s="109"/>
      <c r="BX17" s="109"/>
      <c r="BY17" s="109"/>
      <c r="BZ17" s="110"/>
      <c r="CA17" s="283"/>
      <c r="CB17" s="284"/>
      <c r="CC17" s="284"/>
      <c r="CD17" s="284"/>
      <c r="CE17" s="284"/>
      <c r="CF17" s="284"/>
      <c r="CG17" s="284"/>
      <c r="CH17" s="284"/>
      <c r="CI17" s="284"/>
      <c r="CJ17" s="285"/>
      <c r="CK17" s="108"/>
      <c r="CL17" s="109"/>
      <c r="CM17" s="109"/>
      <c r="CN17" s="109"/>
      <c r="CO17" s="109"/>
      <c r="CP17" s="110"/>
      <c r="CQ17" s="108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10"/>
    </row>
    <row r="20" spans="1:107" x14ac:dyDescent="0.25">
      <c r="A20" s="119" t="s">
        <v>93</v>
      </c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</row>
    <row r="21" spans="1:107" x14ac:dyDescent="0.25">
      <c r="A21" s="119" t="s">
        <v>94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</row>
    <row r="22" spans="1:107" x14ac:dyDescent="0.25">
      <c r="A22" s="119" t="s">
        <v>95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</row>
    <row r="23" spans="1:107" s="14" customFormat="1" ht="15.75" customHeight="1" x14ac:dyDescent="0.25">
      <c r="DC23" s="44" t="s">
        <v>96</v>
      </c>
    </row>
    <row r="24" spans="1:107" s="14" customFormat="1" ht="2.25" customHeight="1" x14ac:dyDescent="0.25">
      <c r="DC24" s="15"/>
    </row>
    <row r="25" spans="1:107" s="14" customFormat="1" ht="27" customHeight="1" x14ac:dyDescent="0.25">
      <c r="A25" s="197"/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9"/>
      <c r="AK25" s="211" t="s">
        <v>27</v>
      </c>
      <c r="AL25" s="212"/>
      <c r="AM25" s="212"/>
      <c r="AN25" s="212"/>
      <c r="AO25" s="212"/>
      <c r="AP25" s="212"/>
      <c r="AQ25" s="213"/>
      <c r="AR25" s="179" t="s">
        <v>10</v>
      </c>
      <c r="AS25" s="180"/>
      <c r="AT25" s="180"/>
      <c r="AU25" s="180"/>
      <c r="AV25" s="180"/>
      <c r="AW25" s="180"/>
      <c r="AX25" s="180"/>
      <c r="AY25" s="180"/>
      <c r="AZ25" s="181"/>
      <c r="BA25" s="1"/>
      <c r="BB25" s="20"/>
      <c r="BC25" s="1"/>
      <c r="BD25" s="197"/>
      <c r="BE25" s="198"/>
      <c r="BF25" s="198"/>
      <c r="BG25" s="198"/>
      <c r="BH25" s="198"/>
      <c r="BI25" s="198"/>
      <c r="BJ25" s="198"/>
      <c r="BK25" s="198"/>
      <c r="BL25" s="198"/>
      <c r="BM25" s="198"/>
      <c r="BN25" s="198"/>
      <c r="BO25" s="198"/>
      <c r="BP25" s="198"/>
      <c r="BQ25" s="198"/>
      <c r="BR25" s="198"/>
      <c r="BS25" s="198"/>
      <c r="BT25" s="198"/>
      <c r="BU25" s="198"/>
      <c r="BV25" s="198"/>
      <c r="BW25" s="198"/>
      <c r="BX25" s="198"/>
      <c r="BY25" s="198"/>
      <c r="BZ25" s="198"/>
      <c r="CA25" s="198"/>
      <c r="CB25" s="198"/>
      <c r="CC25" s="198"/>
      <c r="CD25" s="198"/>
      <c r="CE25" s="198"/>
      <c r="CF25" s="198"/>
      <c r="CG25" s="198"/>
      <c r="CH25" s="198"/>
      <c r="CI25" s="198"/>
      <c r="CJ25" s="198"/>
      <c r="CK25" s="198"/>
      <c r="CL25" s="198"/>
      <c r="CM25" s="199"/>
      <c r="CN25" s="211" t="s">
        <v>27</v>
      </c>
      <c r="CO25" s="212"/>
      <c r="CP25" s="212"/>
      <c r="CQ25" s="212"/>
      <c r="CR25" s="212"/>
      <c r="CS25" s="212"/>
      <c r="CT25" s="213"/>
      <c r="CU25" s="179" t="s">
        <v>10</v>
      </c>
      <c r="CV25" s="180"/>
      <c r="CW25" s="180"/>
      <c r="CX25" s="180"/>
      <c r="CY25" s="180"/>
      <c r="CZ25" s="180"/>
      <c r="DA25" s="180"/>
      <c r="DB25" s="180"/>
      <c r="DC25" s="181"/>
    </row>
    <row r="26" spans="1:107" s="14" customFormat="1" x14ac:dyDescent="0.25">
      <c r="A26" s="197">
        <v>1</v>
      </c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9"/>
      <c r="AK26" s="197">
        <v>2</v>
      </c>
      <c r="AL26" s="198"/>
      <c r="AM26" s="198"/>
      <c r="AN26" s="198"/>
      <c r="AO26" s="198"/>
      <c r="AP26" s="198"/>
      <c r="AQ26" s="199"/>
      <c r="AR26" s="197">
        <v>3</v>
      </c>
      <c r="AS26" s="198"/>
      <c r="AT26" s="198"/>
      <c r="AU26" s="198"/>
      <c r="AV26" s="198"/>
      <c r="AW26" s="198"/>
      <c r="AX26" s="198"/>
      <c r="AY26" s="198"/>
      <c r="AZ26" s="199"/>
      <c r="BA26" s="1"/>
      <c r="BB26" s="1"/>
      <c r="BC26" s="1"/>
      <c r="BD26" s="197">
        <v>1</v>
      </c>
      <c r="BE26" s="198"/>
      <c r="BF26" s="198"/>
      <c r="BG26" s="198"/>
      <c r="BH26" s="198"/>
      <c r="BI26" s="198"/>
      <c r="BJ26" s="198"/>
      <c r="BK26" s="198"/>
      <c r="BL26" s="198"/>
      <c r="BM26" s="198"/>
      <c r="BN26" s="198"/>
      <c r="BO26" s="198"/>
      <c r="BP26" s="198"/>
      <c r="BQ26" s="198"/>
      <c r="BR26" s="198"/>
      <c r="BS26" s="198"/>
      <c r="BT26" s="198"/>
      <c r="BU26" s="198"/>
      <c r="BV26" s="198"/>
      <c r="BW26" s="198"/>
      <c r="BX26" s="198"/>
      <c r="BY26" s="198"/>
      <c r="BZ26" s="198"/>
      <c r="CA26" s="198"/>
      <c r="CB26" s="198"/>
      <c r="CC26" s="198"/>
      <c r="CD26" s="198"/>
      <c r="CE26" s="198"/>
      <c r="CF26" s="198"/>
      <c r="CG26" s="198"/>
      <c r="CH26" s="198"/>
      <c r="CI26" s="198"/>
      <c r="CJ26" s="198"/>
      <c r="CK26" s="198"/>
      <c r="CL26" s="198"/>
      <c r="CM26" s="199"/>
      <c r="CN26" s="197">
        <v>2</v>
      </c>
      <c r="CO26" s="198"/>
      <c r="CP26" s="198"/>
      <c r="CQ26" s="198"/>
      <c r="CR26" s="198"/>
      <c r="CS26" s="198"/>
      <c r="CT26" s="199"/>
      <c r="CU26" s="197">
        <v>3</v>
      </c>
      <c r="CV26" s="198"/>
      <c r="CW26" s="198"/>
      <c r="CX26" s="198"/>
      <c r="CY26" s="198"/>
      <c r="CZ26" s="198"/>
      <c r="DA26" s="198"/>
      <c r="DB26" s="198"/>
      <c r="DC26" s="199"/>
    </row>
    <row r="27" spans="1:107" s="14" customFormat="1" ht="12" customHeight="1" x14ac:dyDescent="0.25">
      <c r="A27" s="25"/>
      <c r="B27" s="126" t="s">
        <v>130</v>
      </c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45"/>
      <c r="AK27" s="102">
        <v>1</v>
      </c>
      <c r="AL27" s="103"/>
      <c r="AM27" s="103"/>
      <c r="AN27" s="103"/>
      <c r="AO27" s="103"/>
      <c r="AP27" s="103"/>
      <c r="AQ27" s="104"/>
      <c r="AR27" s="102"/>
      <c r="AS27" s="103"/>
      <c r="AT27" s="103"/>
      <c r="AU27" s="103"/>
      <c r="AV27" s="103"/>
      <c r="AW27" s="103"/>
      <c r="AX27" s="103"/>
      <c r="AY27" s="103"/>
      <c r="AZ27" s="104"/>
      <c r="BD27" s="25"/>
      <c r="BE27" s="126" t="s">
        <v>19</v>
      </c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45"/>
      <c r="CN27" s="102">
        <v>9</v>
      </c>
      <c r="CO27" s="103"/>
      <c r="CP27" s="103"/>
      <c r="CQ27" s="103"/>
      <c r="CR27" s="103"/>
      <c r="CS27" s="103"/>
      <c r="CT27" s="104"/>
      <c r="CU27" s="102"/>
      <c r="CV27" s="103"/>
      <c r="CW27" s="103"/>
      <c r="CX27" s="103"/>
      <c r="CY27" s="103"/>
      <c r="CZ27" s="103"/>
      <c r="DA27" s="103"/>
      <c r="DB27" s="103"/>
      <c r="DC27" s="104"/>
    </row>
    <row r="28" spans="1:107" s="14" customFormat="1" ht="12" customHeight="1" x14ac:dyDescent="0.25">
      <c r="A28" s="26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46"/>
      <c r="AK28" s="108"/>
      <c r="AL28" s="109"/>
      <c r="AM28" s="109"/>
      <c r="AN28" s="109"/>
      <c r="AO28" s="109"/>
      <c r="AP28" s="109"/>
      <c r="AQ28" s="110"/>
      <c r="AR28" s="108"/>
      <c r="AS28" s="109"/>
      <c r="AT28" s="109"/>
      <c r="AU28" s="109"/>
      <c r="AV28" s="109"/>
      <c r="AW28" s="109"/>
      <c r="AX28" s="109"/>
      <c r="AY28" s="109"/>
      <c r="AZ28" s="110"/>
      <c r="BD28" s="26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/>
      <c r="BO28" s="128"/>
      <c r="BP28" s="128"/>
      <c r="BQ28" s="128"/>
      <c r="BR28" s="128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8"/>
      <c r="CD28" s="128"/>
      <c r="CE28" s="128"/>
      <c r="CF28" s="128"/>
      <c r="CG28" s="128"/>
      <c r="CH28" s="128"/>
      <c r="CI28" s="128"/>
      <c r="CJ28" s="128"/>
      <c r="CK28" s="128"/>
      <c r="CL28" s="128"/>
      <c r="CM28" s="46"/>
      <c r="CN28" s="108"/>
      <c r="CO28" s="109"/>
      <c r="CP28" s="109"/>
      <c r="CQ28" s="109"/>
      <c r="CR28" s="109"/>
      <c r="CS28" s="109"/>
      <c r="CT28" s="110"/>
      <c r="CU28" s="108"/>
      <c r="CV28" s="109"/>
      <c r="CW28" s="109"/>
      <c r="CX28" s="109"/>
      <c r="CY28" s="109"/>
      <c r="CZ28" s="109"/>
      <c r="DA28" s="109"/>
      <c r="DB28" s="109"/>
      <c r="DC28" s="110"/>
    </row>
    <row r="29" spans="1:107" s="14" customFormat="1" ht="12" customHeight="1" x14ac:dyDescent="0.25">
      <c r="A29" s="25"/>
      <c r="B29" s="126" t="s">
        <v>97</v>
      </c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45"/>
      <c r="AK29" s="102">
        <v>2</v>
      </c>
      <c r="AL29" s="103"/>
      <c r="AM29" s="103"/>
      <c r="AN29" s="103"/>
      <c r="AO29" s="103"/>
      <c r="AP29" s="103"/>
      <c r="AQ29" s="104"/>
      <c r="AR29" s="102">
        <f>AB31+AB32</f>
        <v>0</v>
      </c>
      <c r="AS29" s="103"/>
      <c r="AT29" s="103"/>
      <c r="AU29" s="103"/>
      <c r="AV29" s="103"/>
      <c r="AW29" s="103"/>
      <c r="AX29" s="103"/>
      <c r="AY29" s="103"/>
      <c r="AZ29" s="104"/>
      <c r="BD29" s="25"/>
      <c r="BE29" s="126" t="s">
        <v>100</v>
      </c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45"/>
      <c r="CN29" s="102">
        <v>10</v>
      </c>
      <c r="CO29" s="103"/>
      <c r="CP29" s="103"/>
      <c r="CQ29" s="103"/>
      <c r="CR29" s="103"/>
      <c r="CS29" s="103"/>
      <c r="CT29" s="104"/>
      <c r="CU29" s="102">
        <f>ExpensesTravmBegin+CE32</f>
        <v>0</v>
      </c>
      <c r="CV29" s="103"/>
      <c r="CW29" s="103"/>
      <c r="CX29" s="103"/>
      <c r="CY29" s="103"/>
      <c r="CZ29" s="103"/>
      <c r="DA29" s="103"/>
      <c r="DB29" s="103"/>
      <c r="DC29" s="104"/>
    </row>
    <row r="30" spans="1:107" s="14" customFormat="1" ht="12" customHeight="1" x14ac:dyDescent="0.25">
      <c r="A30" s="26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46"/>
      <c r="AK30" s="105"/>
      <c r="AL30" s="106"/>
      <c r="AM30" s="106"/>
      <c r="AN30" s="106"/>
      <c r="AO30" s="106"/>
      <c r="AP30" s="106"/>
      <c r="AQ30" s="107"/>
      <c r="AR30" s="105"/>
      <c r="AS30" s="106"/>
      <c r="AT30" s="106"/>
      <c r="AU30" s="106"/>
      <c r="AV30" s="106"/>
      <c r="AW30" s="106"/>
      <c r="AX30" s="106"/>
      <c r="AY30" s="106"/>
      <c r="AZ30" s="107"/>
      <c r="BD30" s="26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8"/>
      <c r="CF30" s="128"/>
      <c r="CG30" s="128"/>
      <c r="CH30" s="128"/>
      <c r="CI30" s="128"/>
      <c r="CJ30" s="128"/>
      <c r="CK30" s="128"/>
      <c r="CL30" s="128"/>
      <c r="CM30" s="46"/>
      <c r="CN30" s="105"/>
      <c r="CO30" s="106"/>
      <c r="CP30" s="106"/>
      <c r="CQ30" s="106"/>
      <c r="CR30" s="106"/>
      <c r="CS30" s="106"/>
      <c r="CT30" s="107"/>
      <c r="CU30" s="105"/>
      <c r="CV30" s="106"/>
      <c r="CW30" s="106"/>
      <c r="CX30" s="106"/>
      <c r="CY30" s="106"/>
      <c r="CZ30" s="106"/>
      <c r="DA30" s="106"/>
      <c r="DB30" s="106"/>
      <c r="DC30" s="107"/>
    </row>
    <row r="31" spans="1:107" s="14" customFormat="1" ht="12" customHeight="1" x14ac:dyDescent="0.25">
      <c r="A31" s="28"/>
      <c r="B31" s="87" t="s">
        <v>14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8"/>
      <c r="AB31" s="94"/>
      <c r="AC31" s="94"/>
      <c r="AD31" s="94"/>
      <c r="AE31" s="94"/>
      <c r="AF31" s="94"/>
      <c r="AG31" s="94"/>
      <c r="AH31" s="94"/>
      <c r="AI31" s="94"/>
      <c r="AJ31" s="95"/>
      <c r="AK31" s="105"/>
      <c r="AL31" s="106"/>
      <c r="AM31" s="106"/>
      <c r="AN31" s="106"/>
      <c r="AO31" s="106"/>
      <c r="AP31" s="106"/>
      <c r="AQ31" s="107"/>
      <c r="AR31" s="105"/>
      <c r="AS31" s="106"/>
      <c r="AT31" s="106"/>
      <c r="AU31" s="106"/>
      <c r="AV31" s="106"/>
      <c r="AW31" s="106"/>
      <c r="AX31" s="106"/>
      <c r="AY31" s="106"/>
      <c r="AZ31" s="107"/>
      <c r="BD31" s="28"/>
      <c r="BE31" s="87" t="s">
        <v>14</v>
      </c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8"/>
      <c r="CE31" s="93"/>
      <c r="CF31" s="94"/>
      <c r="CG31" s="94"/>
      <c r="CH31" s="94"/>
      <c r="CI31" s="94"/>
      <c r="CJ31" s="94"/>
      <c r="CK31" s="94"/>
      <c r="CL31" s="94"/>
      <c r="CM31" s="95"/>
      <c r="CN31" s="105"/>
      <c r="CO31" s="106"/>
      <c r="CP31" s="106"/>
      <c r="CQ31" s="106"/>
      <c r="CR31" s="106"/>
      <c r="CS31" s="106"/>
      <c r="CT31" s="107"/>
      <c r="CU31" s="105"/>
      <c r="CV31" s="106"/>
      <c r="CW31" s="106"/>
      <c r="CX31" s="106"/>
      <c r="CY31" s="106"/>
      <c r="CZ31" s="106"/>
      <c r="DA31" s="106"/>
      <c r="DB31" s="106"/>
      <c r="DC31" s="107"/>
    </row>
    <row r="32" spans="1:107" s="14" customFormat="1" ht="12" x14ac:dyDescent="0.25">
      <c r="A32" s="28"/>
      <c r="B32" s="35" t="s">
        <v>11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87">
        <f>AB33+AB34+AB35</f>
        <v>0</v>
      </c>
      <c r="AC32" s="87"/>
      <c r="AD32" s="87"/>
      <c r="AE32" s="87"/>
      <c r="AF32" s="87"/>
      <c r="AG32" s="87"/>
      <c r="AH32" s="87"/>
      <c r="AI32" s="87"/>
      <c r="AJ32" s="88"/>
      <c r="AK32" s="105"/>
      <c r="AL32" s="106"/>
      <c r="AM32" s="106"/>
      <c r="AN32" s="106"/>
      <c r="AO32" s="106"/>
      <c r="AP32" s="106"/>
      <c r="AQ32" s="107"/>
      <c r="AR32" s="105"/>
      <c r="AS32" s="106"/>
      <c r="AT32" s="106"/>
      <c r="AU32" s="106"/>
      <c r="AV32" s="106"/>
      <c r="AW32" s="106"/>
      <c r="AX32" s="106"/>
      <c r="AY32" s="106"/>
      <c r="AZ32" s="107"/>
      <c r="BD32" s="28"/>
      <c r="BE32" s="35" t="s">
        <v>11</v>
      </c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94">
        <f>ExpensesTravm1+ExpensesTravm2+ExpensesTravm3</f>
        <v>0</v>
      </c>
      <c r="CF32" s="94"/>
      <c r="CG32" s="94"/>
      <c r="CH32" s="94"/>
      <c r="CI32" s="94"/>
      <c r="CJ32" s="94"/>
      <c r="CK32" s="94"/>
      <c r="CL32" s="94"/>
      <c r="CM32" s="95"/>
      <c r="CN32" s="105"/>
      <c r="CO32" s="106"/>
      <c r="CP32" s="106"/>
      <c r="CQ32" s="106"/>
      <c r="CR32" s="106"/>
      <c r="CS32" s="106"/>
      <c r="CT32" s="107"/>
      <c r="CU32" s="105"/>
      <c r="CV32" s="106"/>
      <c r="CW32" s="106"/>
      <c r="CX32" s="106"/>
      <c r="CY32" s="106"/>
      <c r="CZ32" s="106"/>
      <c r="DA32" s="106"/>
      <c r="DB32" s="106"/>
      <c r="DC32" s="107"/>
    </row>
    <row r="33" spans="1:107" s="14" customFormat="1" ht="12" x14ac:dyDescent="0.25">
      <c r="A33" s="28"/>
      <c r="B33" s="87">
        <f>стр.2_Табл.1_2!B27</f>
        <v>0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8"/>
      <c r="AB33" s="93"/>
      <c r="AC33" s="94"/>
      <c r="AD33" s="94"/>
      <c r="AE33" s="94"/>
      <c r="AF33" s="94"/>
      <c r="AG33" s="94"/>
      <c r="AH33" s="94"/>
      <c r="AI33" s="94"/>
      <c r="AJ33" s="95"/>
      <c r="AK33" s="105"/>
      <c r="AL33" s="106"/>
      <c r="AM33" s="106"/>
      <c r="AN33" s="106"/>
      <c r="AO33" s="106"/>
      <c r="AP33" s="106"/>
      <c r="AQ33" s="107"/>
      <c r="AR33" s="105"/>
      <c r="AS33" s="106"/>
      <c r="AT33" s="106"/>
      <c r="AU33" s="106"/>
      <c r="AV33" s="106"/>
      <c r="AW33" s="106"/>
      <c r="AX33" s="106"/>
      <c r="AY33" s="106"/>
      <c r="AZ33" s="107"/>
      <c r="BD33" s="28"/>
      <c r="BE33" s="87">
        <f>B33</f>
        <v>0</v>
      </c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8"/>
      <c r="CE33" s="93"/>
      <c r="CF33" s="94"/>
      <c r="CG33" s="94"/>
      <c r="CH33" s="94"/>
      <c r="CI33" s="94"/>
      <c r="CJ33" s="94"/>
      <c r="CK33" s="94"/>
      <c r="CL33" s="94"/>
      <c r="CM33" s="95"/>
      <c r="CN33" s="105"/>
      <c r="CO33" s="106"/>
      <c r="CP33" s="106"/>
      <c r="CQ33" s="106"/>
      <c r="CR33" s="106"/>
      <c r="CS33" s="106"/>
      <c r="CT33" s="107"/>
      <c r="CU33" s="105"/>
      <c r="CV33" s="106"/>
      <c r="CW33" s="106"/>
      <c r="CX33" s="106"/>
      <c r="CY33" s="106"/>
      <c r="CZ33" s="106"/>
      <c r="DA33" s="106"/>
      <c r="DB33" s="106"/>
      <c r="DC33" s="107"/>
    </row>
    <row r="34" spans="1:107" s="14" customFormat="1" ht="12" x14ac:dyDescent="0.25">
      <c r="A34" s="28"/>
      <c r="B34" s="87">
        <f>стр.2_Табл.1_2!B28</f>
        <v>0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8"/>
      <c r="AB34" s="93"/>
      <c r="AC34" s="94"/>
      <c r="AD34" s="94"/>
      <c r="AE34" s="94"/>
      <c r="AF34" s="94"/>
      <c r="AG34" s="94"/>
      <c r="AH34" s="94"/>
      <c r="AI34" s="94"/>
      <c r="AJ34" s="95"/>
      <c r="AK34" s="105"/>
      <c r="AL34" s="106"/>
      <c r="AM34" s="106"/>
      <c r="AN34" s="106"/>
      <c r="AO34" s="106"/>
      <c r="AP34" s="106"/>
      <c r="AQ34" s="107"/>
      <c r="AR34" s="105"/>
      <c r="AS34" s="106"/>
      <c r="AT34" s="106"/>
      <c r="AU34" s="106"/>
      <c r="AV34" s="106"/>
      <c r="AW34" s="106"/>
      <c r="AX34" s="106"/>
      <c r="AY34" s="106"/>
      <c r="AZ34" s="107"/>
      <c r="BD34" s="28"/>
      <c r="BE34" s="87">
        <f>B34</f>
        <v>0</v>
      </c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8"/>
      <c r="CE34" s="93"/>
      <c r="CF34" s="94"/>
      <c r="CG34" s="94"/>
      <c r="CH34" s="94"/>
      <c r="CI34" s="94"/>
      <c r="CJ34" s="94"/>
      <c r="CK34" s="94"/>
      <c r="CL34" s="94"/>
      <c r="CM34" s="95"/>
      <c r="CN34" s="105"/>
      <c r="CO34" s="106"/>
      <c r="CP34" s="106"/>
      <c r="CQ34" s="106"/>
      <c r="CR34" s="106"/>
      <c r="CS34" s="106"/>
      <c r="CT34" s="107"/>
      <c r="CU34" s="105"/>
      <c r="CV34" s="106"/>
      <c r="CW34" s="106"/>
      <c r="CX34" s="106"/>
      <c r="CY34" s="106"/>
      <c r="CZ34" s="106"/>
      <c r="DA34" s="106"/>
      <c r="DB34" s="106"/>
      <c r="DC34" s="107"/>
    </row>
    <row r="35" spans="1:107" s="14" customFormat="1" ht="12" x14ac:dyDescent="0.25">
      <c r="A35" s="28"/>
      <c r="B35" s="87">
        <f>стр.2_Табл.1_2!B29</f>
        <v>0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8"/>
      <c r="AB35" s="93"/>
      <c r="AC35" s="94"/>
      <c r="AD35" s="94"/>
      <c r="AE35" s="94"/>
      <c r="AF35" s="94"/>
      <c r="AG35" s="94"/>
      <c r="AH35" s="94"/>
      <c r="AI35" s="94"/>
      <c r="AJ35" s="95"/>
      <c r="AK35" s="108"/>
      <c r="AL35" s="109"/>
      <c r="AM35" s="109"/>
      <c r="AN35" s="109"/>
      <c r="AO35" s="109"/>
      <c r="AP35" s="109"/>
      <c r="AQ35" s="110"/>
      <c r="AR35" s="108"/>
      <c r="AS35" s="109"/>
      <c r="AT35" s="109"/>
      <c r="AU35" s="109"/>
      <c r="AV35" s="109"/>
      <c r="AW35" s="109"/>
      <c r="AX35" s="109"/>
      <c r="AY35" s="109"/>
      <c r="AZ35" s="110"/>
      <c r="BD35" s="28"/>
      <c r="BE35" s="87">
        <f>B35</f>
        <v>0</v>
      </c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8"/>
      <c r="CE35" s="93"/>
      <c r="CF35" s="94"/>
      <c r="CG35" s="94"/>
      <c r="CH35" s="94"/>
      <c r="CI35" s="94"/>
      <c r="CJ35" s="94"/>
      <c r="CK35" s="94"/>
      <c r="CL35" s="94"/>
      <c r="CM35" s="95"/>
      <c r="CN35" s="108"/>
      <c r="CO35" s="109"/>
      <c r="CP35" s="109"/>
      <c r="CQ35" s="109"/>
      <c r="CR35" s="109"/>
      <c r="CS35" s="109"/>
      <c r="CT35" s="110"/>
      <c r="CU35" s="108"/>
      <c r="CV35" s="109"/>
      <c r="CW35" s="109"/>
      <c r="CX35" s="109"/>
      <c r="CY35" s="109"/>
      <c r="CZ35" s="109"/>
      <c r="DA35" s="109"/>
      <c r="DB35" s="109"/>
      <c r="DC35" s="110"/>
    </row>
    <row r="36" spans="1:107" s="14" customFormat="1" ht="24.75" customHeight="1" x14ac:dyDescent="0.25">
      <c r="A36" s="47"/>
      <c r="B36" s="286" t="s">
        <v>138</v>
      </c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286"/>
      <c r="AB36" s="286"/>
      <c r="AC36" s="286"/>
      <c r="AD36" s="286"/>
      <c r="AE36" s="286"/>
      <c r="AF36" s="286"/>
      <c r="AG36" s="286"/>
      <c r="AH36" s="286"/>
      <c r="AI36" s="286"/>
      <c r="AJ36" s="287"/>
      <c r="AK36" s="93">
        <v>3</v>
      </c>
      <c r="AL36" s="94"/>
      <c r="AM36" s="94"/>
      <c r="AN36" s="94"/>
      <c r="AO36" s="94"/>
      <c r="AP36" s="94"/>
      <c r="AQ36" s="95"/>
      <c r="AR36" s="93"/>
      <c r="AS36" s="94"/>
      <c r="AT36" s="94"/>
      <c r="AU36" s="94"/>
      <c r="AV36" s="94"/>
      <c r="AW36" s="94"/>
      <c r="AX36" s="94"/>
      <c r="AY36" s="94"/>
      <c r="AZ36" s="95"/>
      <c r="BD36" s="28"/>
      <c r="BE36" s="166" t="s">
        <v>56</v>
      </c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66"/>
      <c r="CJ36" s="166"/>
      <c r="CK36" s="166"/>
      <c r="CL36" s="166"/>
      <c r="CM36" s="49"/>
      <c r="CN36" s="102">
        <v>11</v>
      </c>
      <c r="CO36" s="103"/>
      <c r="CP36" s="103"/>
      <c r="CQ36" s="103"/>
      <c r="CR36" s="103"/>
      <c r="CS36" s="103"/>
      <c r="CT36" s="104"/>
      <c r="CU36" s="102">
        <f>PayTravmBegin+CE38</f>
        <v>0</v>
      </c>
      <c r="CV36" s="103"/>
      <c r="CW36" s="103"/>
      <c r="CX36" s="103"/>
      <c r="CY36" s="103"/>
      <c r="CZ36" s="103"/>
      <c r="DA36" s="103"/>
      <c r="DB36" s="103"/>
      <c r="DC36" s="104"/>
    </row>
    <row r="37" spans="1:107" s="14" customFormat="1" ht="24.75" customHeight="1" x14ac:dyDescent="0.25">
      <c r="A37" s="26"/>
      <c r="B37" s="286" t="s">
        <v>20</v>
      </c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O37" s="286"/>
      <c r="P37" s="286"/>
      <c r="Q37" s="286"/>
      <c r="R37" s="286"/>
      <c r="S37" s="286"/>
      <c r="T37" s="286"/>
      <c r="U37" s="286"/>
      <c r="V37" s="286"/>
      <c r="W37" s="286"/>
      <c r="X37" s="286"/>
      <c r="Y37" s="286"/>
      <c r="Z37" s="286"/>
      <c r="AA37" s="286"/>
      <c r="AB37" s="286"/>
      <c r="AC37" s="286"/>
      <c r="AD37" s="286"/>
      <c r="AE37" s="286"/>
      <c r="AF37" s="286"/>
      <c r="AG37" s="286"/>
      <c r="AH37" s="286"/>
      <c r="AI37" s="286"/>
      <c r="AJ37" s="287"/>
      <c r="AK37" s="93">
        <v>4</v>
      </c>
      <c r="AL37" s="94"/>
      <c r="AM37" s="94"/>
      <c r="AN37" s="94"/>
      <c r="AO37" s="94"/>
      <c r="AP37" s="94"/>
      <c r="AQ37" s="95"/>
      <c r="AR37" s="93"/>
      <c r="AS37" s="94"/>
      <c r="AT37" s="94"/>
      <c r="AU37" s="94"/>
      <c r="AV37" s="94"/>
      <c r="AW37" s="94"/>
      <c r="AX37" s="94"/>
      <c r="AY37" s="94"/>
      <c r="AZ37" s="95"/>
      <c r="BD37" s="28"/>
      <c r="BE37" s="166" t="s">
        <v>14</v>
      </c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291"/>
      <c r="CE37" s="93"/>
      <c r="CF37" s="94"/>
      <c r="CG37" s="94"/>
      <c r="CH37" s="94"/>
      <c r="CI37" s="94"/>
      <c r="CJ37" s="94"/>
      <c r="CK37" s="94"/>
      <c r="CL37" s="94"/>
      <c r="CM37" s="95"/>
      <c r="CN37" s="105"/>
      <c r="CO37" s="106"/>
      <c r="CP37" s="106"/>
      <c r="CQ37" s="106"/>
      <c r="CR37" s="106"/>
      <c r="CS37" s="106"/>
      <c r="CT37" s="107"/>
      <c r="CU37" s="105"/>
      <c r="CV37" s="106"/>
      <c r="CW37" s="106"/>
      <c r="CX37" s="106"/>
      <c r="CY37" s="106"/>
      <c r="CZ37" s="106"/>
      <c r="DA37" s="106"/>
      <c r="DB37" s="106"/>
      <c r="DC37" s="107"/>
    </row>
    <row r="38" spans="1:107" s="14" customFormat="1" ht="12" customHeight="1" x14ac:dyDescent="0.25">
      <c r="A38" s="25"/>
      <c r="B38" s="135" t="s">
        <v>139</v>
      </c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6"/>
      <c r="AK38" s="102">
        <v>5</v>
      </c>
      <c r="AL38" s="103"/>
      <c r="AM38" s="103"/>
      <c r="AN38" s="103"/>
      <c r="AO38" s="103"/>
      <c r="AP38" s="103"/>
      <c r="AQ38" s="104"/>
      <c r="AR38" s="102"/>
      <c r="AS38" s="103"/>
      <c r="AT38" s="103"/>
      <c r="AU38" s="103"/>
      <c r="AV38" s="103"/>
      <c r="AW38" s="103"/>
      <c r="AX38" s="103"/>
      <c r="AY38" s="103"/>
      <c r="AZ38" s="104"/>
      <c r="BD38" s="25"/>
      <c r="BE38" s="126" t="s">
        <v>137</v>
      </c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48">
        <f>PayTravm1+PayTravm2+PayTravm3</f>
        <v>0</v>
      </c>
      <c r="CF38" s="148"/>
      <c r="CG38" s="148"/>
      <c r="CH38" s="148"/>
      <c r="CI38" s="148"/>
      <c r="CJ38" s="148"/>
      <c r="CK38" s="148"/>
      <c r="CL38" s="148"/>
      <c r="CM38" s="149"/>
      <c r="CN38" s="105"/>
      <c r="CO38" s="106"/>
      <c r="CP38" s="106"/>
      <c r="CQ38" s="106"/>
      <c r="CR38" s="106"/>
      <c r="CS38" s="106"/>
      <c r="CT38" s="107"/>
      <c r="CU38" s="105"/>
      <c r="CV38" s="106"/>
      <c r="CW38" s="106"/>
      <c r="CX38" s="106"/>
      <c r="CY38" s="106"/>
      <c r="CZ38" s="106"/>
      <c r="DA38" s="106"/>
      <c r="DB38" s="106"/>
      <c r="DC38" s="107"/>
    </row>
    <row r="39" spans="1:107" s="14" customFormat="1" ht="12" x14ac:dyDescent="0.25">
      <c r="A39" s="29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8"/>
      <c r="AK39" s="105"/>
      <c r="AL39" s="106"/>
      <c r="AM39" s="106"/>
      <c r="AN39" s="106"/>
      <c r="AO39" s="106"/>
      <c r="AP39" s="106"/>
      <c r="AQ39" s="107"/>
      <c r="AR39" s="105"/>
      <c r="AS39" s="106"/>
      <c r="AT39" s="106"/>
      <c r="AU39" s="106"/>
      <c r="AV39" s="106"/>
      <c r="AW39" s="106"/>
      <c r="AX39" s="106"/>
      <c r="AY39" s="106"/>
      <c r="AZ39" s="107"/>
      <c r="BD39" s="26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  <c r="CC39" s="128"/>
      <c r="CD39" s="128"/>
      <c r="CE39" s="151"/>
      <c r="CF39" s="151"/>
      <c r="CG39" s="151"/>
      <c r="CH39" s="151"/>
      <c r="CI39" s="151"/>
      <c r="CJ39" s="151"/>
      <c r="CK39" s="151"/>
      <c r="CL39" s="151"/>
      <c r="CM39" s="152"/>
      <c r="CN39" s="105"/>
      <c r="CO39" s="106"/>
      <c r="CP39" s="106"/>
      <c r="CQ39" s="106"/>
      <c r="CR39" s="106"/>
      <c r="CS39" s="106"/>
      <c r="CT39" s="107"/>
      <c r="CU39" s="105"/>
      <c r="CV39" s="106"/>
      <c r="CW39" s="106"/>
      <c r="CX39" s="106"/>
      <c r="CY39" s="106"/>
      <c r="CZ39" s="106"/>
      <c r="DA39" s="106"/>
      <c r="DB39" s="106"/>
      <c r="DC39" s="107"/>
    </row>
    <row r="40" spans="1:107" s="14" customFormat="1" ht="24" customHeight="1" x14ac:dyDescent="0.25">
      <c r="A40" s="26"/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40"/>
      <c r="AK40" s="108"/>
      <c r="AL40" s="109"/>
      <c r="AM40" s="109"/>
      <c r="AN40" s="109"/>
      <c r="AO40" s="109"/>
      <c r="AP40" s="109"/>
      <c r="AQ40" s="110"/>
      <c r="AR40" s="108"/>
      <c r="AS40" s="109"/>
      <c r="AT40" s="109"/>
      <c r="AU40" s="109"/>
      <c r="AV40" s="109"/>
      <c r="AW40" s="109"/>
      <c r="AX40" s="109"/>
      <c r="AY40" s="109"/>
      <c r="AZ40" s="110"/>
      <c r="BD40" s="28"/>
      <c r="BE40" s="292"/>
      <c r="BF40" s="292"/>
      <c r="BG40" s="292"/>
      <c r="BH40" s="292"/>
      <c r="BI40" s="292"/>
      <c r="BJ40" s="292"/>
      <c r="BK40" s="292"/>
      <c r="BL40" s="292"/>
      <c r="BM40" s="292"/>
      <c r="BN40" s="292"/>
      <c r="BO40" s="292"/>
      <c r="BP40" s="292"/>
      <c r="BQ40" s="292"/>
      <c r="BR40" s="292"/>
      <c r="BS40" s="292"/>
      <c r="BT40" s="292"/>
      <c r="BU40" s="292"/>
      <c r="BV40" s="292"/>
      <c r="BW40" s="292"/>
      <c r="BX40" s="292"/>
      <c r="BY40" s="292"/>
      <c r="BZ40" s="292"/>
      <c r="CA40" s="292"/>
      <c r="CB40" s="292"/>
      <c r="CC40" s="292"/>
      <c r="CD40" s="293"/>
      <c r="CE40" s="93"/>
      <c r="CF40" s="94"/>
      <c r="CG40" s="94"/>
      <c r="CH40" s="94"/>
      <c r="CI40" s="94"/>
      <c r="CJ40" s="94"/>
      <c r="CK40" s="94"/>
      <c r="CL40" s="94"/>
      <c r="CM40" s="95"/>
      <c r="CN40" s="105"/>
      <c r="CO40" s="106"/>
      <c r="CP40" s="106"/>
      <c r="CQ40" s="106"/>
      <c r="CR40" s="106"/>
      <c r="CS40" s="106"/>
      <c r="CT40" s="107"/>
      <c r="CU40" s="105"/>
      <c r="CV40" s="106"/>
      <c r="CW40" s="106"/>
      <c r="CX40" s="106"/>
      <c r="CY40" s="106"/>
      <c r="CZ40" s="106"/>
      <c r="DA40" s="106"/>
      <c r="DB40" s="106"/>
      <c r="DC40" s="107"/>
    </row>
    <row r="41" spans="1:107" s="14" customFormat="1" ht="25.05" customHeight="1" x14ac:dyDescent="0.25">
      <c r="A41" s="25"/>
      <c r="B41" s="135" t="s">
        <v>98</v>
      </c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45"/>
      <c r="AK41" s="102">
        <v>6</v>
      </c>
      <c r="AL41" s="103"/>
      <c r="AM41" s="103"/>
      <c r="AN41" s="103"/>
      <c r="AO41" s="103"/>
      <c r="AP41" s="103"/>
      <c r="AQ41" s="104"/>
      <c r="AR41" s="102"/>
      <c r="AS41" s="103"/>
      <c r="AT41" s="103"/>
      <c r="AU41" s="103"/>
      <c r="AV41" s="103"/>
      <c r="AW41" s="103"/>
      <c r="AX41" s="103"/>
      <c r="AY41" s="103"/>
      <c r="AZ41" s="104"/>
      <c r="BD41" s="28"/>
      <c r="BE41" s="292"/>
      <c r="BF41" s="292"/>
      <c r="BG41" s="292"/>
      <c r="BH41" s="292"/>
      <c r="BI41" s="292"/>
      <c r="BJ41" s="292"/>
      <c r="BK41" s="292"/>
      <c r="BL41" s="292"/>
      <c r="BM41" s="292"/>
      <c r="BN41" s="292"/>
      <c r="BO41" s="292"/>
      <c r="BP41" s="292"/>
      <c r="BQ41" s="292"/>
      <c r="BR41" s="292"/>
      <c r="BS41" s="292"/>
      <c r="BT41" s="292"/>
      <c r="BU41" s="292"/>
      <c r="BV41" s="292"/>
      <c r="BW41" s="292"/>
      <c r="BX41" s="292"/>
      <c r="BY41" s="292"/>
      <c r="BZ41" s="292"/>
      <c r="CA41" s="292"/>
      <c r="CB41" s="292"/>
      <c r="CC41" s="292"/>
      <c r="CD41" s="293"/>
      <c r="CE41" s="93"/>
      <c r="CF41" s="94"/>
      <c r="CG41" s="94"/>
      <c r="CH41" s="94"/>
      <c r="CI41" s="94"/>
      <c r="CJ41" s="94"/>
      <c r="CK41" s="94"/>
      <c r="CL41" s="94"/>
      <c r="CM41" s="95"/>
      <c r="CN41" s="105"/>
      <c r="CO41" s="106"/>
      <c r="CP41" s="106"/>
      <c r="CQ41" s="106"/>
      <c r="CR41" s="106"/>
      <c r="CS41" s="106"/>
      <c r="CT41" s="107"/>
      <c r="CU41" s="105"/>
      <c r="CV41" s="106"/>
      <c r="CW41" s="106"/>
      <c r="CX41" s="106"/>
      <c r="CY41" s="106"/>
      <c r="CZ41" s="106"/>
      <c r="DA41" s="106"/>
      <c r="DB41" s="106"/>
      <c r="DC41" s="107"/>
    </row>
    <row r="42" spans="1:107" s="14" customFormat="1" ht="24.75" customHeight="1" x14ac:dyDescent="0.25">
      <c r="A42" s="29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48"/>
      <c r="AK42" s="105"/>
      <c r="AL42" s="106"/>
      <c r="AM42" s="106"/>
      <c r="AN42" s="106"/>
      <c r="AO42" s="106"/>
      <c r="AP42" s="106"/>
      <c r="AQ42" s="107"/>
      <c r="AR42" s="105"/>
      <c r="AS42" s="106"/>
      <c r="AT42" s="106"/>
      <c r="AU42" s="106"/>
      <c r="AV42" s="106"/>
      <c r="AW42" s="106"/>
      <c r="AX42" s="106"/>
      <c r="AY42" s="106"/>
      <c r="AZ42" s="107"/>
      <c r="BD42" s="28"/>
      <c r="BE42" s="292"/>
      <c r="BF42" s="292"/>
      <c r="BG42" s="292"/>
      <c r="BH42" s="292"/>
      <c r="BI42" s="292"/>
      <c r="BJ42" s="292"/>
      <c r="BK42" s="292"/>
      <c r="BL42" s="292"/>
      <c r="BM42" s="292"/>
      <c r="BN42" s="292"/>
      <c r="BO42" s="292"/>
      <c r="BP42" s="292"/>
      <c r="BQ42" s="292"/>
      <c r="BR42" s="292"/>
      <c r="BS42" s="292"/>
      <c r="BT42" s="292"/>
      <c r="BU42" s="292"/>
      <c r="BV42" s="292"/>
      <c r="BW42" s="292"/>
      <c r="BX42" s="292"/>
      <c r="BY42" s="292"/>
      <c r="BZ42" s="292"/>
      <c r="CA42" s="292"/>
      <c r="CB42" s="292"/>
      <c r="CC42" s="292"/>
      <c r="CD42" s="293"/>
      <c r="CE42" s="93"/>
      <c r="CF42" s="94"/>
      <c r="CG42" s="94"/>
      <c r="CH42" s="94"/>
      <c r="CI42" s="94"/>
      <c r="CJ42" s="94"/>
      <c r="CK42" s="94"/>
      <c r="CL42" s="94"/>
      <c r="CM42" s="95"/>
      <c r="CN42" s="108"/>
      <c r="CO42" s="109"/>
      <c r="CP42" s="109"/>
      <c r="CQ42" s="109"/>
      <c r="CR42" s="109"/>
      <c r="CS42" s="109"/>
      <c r="CT42" s="110"/>
      <c r="CU42" s="108"/>
      <c r="CV42" s="109"/>
      <c r="CW42" s="109"/>
      <c r="CX42" s="109"/>
      <c r="CY42" s="109"/>
      <c r="CZ42" s="109"/>
      <c r="DA42" s="109"/>
      <c r="DB42" s="109"/>
      <c r="DC42" s="110"/>
    </row>
    <row r="43" spans="1:107" s="14" customFormat="1" ht="24.75" customHeight="1" x14ac:dyDescent="0.25">
      <c r="A43" s="26"/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46"/>
      <c r="AK43" s="108"/>
      <c r="AL43" s="109"/>
      <c r="AM43" s="109"/>
      <c r="AN43" s="109"/>
      <c r="AO43" s="109"/>
      <c r="AP43" s="109"/>
      <c r="AQ43" s="110"/>
      <c r="AR43" s="108"/>
      <c r="AS43" s="109"/>
      <c r="AT43" s="109"/>
      <c r="AU43" s="109"/>
      <c r="AV43" s="109"/>
      <c r="AW43" s="109"/>
      <c r="AX43" s="109"/>
      <c r="AY43" s="109"/>
      <c r="AZ43" s="110"/>
      <c r="BD43" s="28"/>
      <c r="BE43" s="111" t="s">
        <v>101</v>
      </c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49"/>
      <c r="CN43" s="93">
        <v>12</v>
      </c>
      <c r="CO43" s="94"/>
      <c r="CP43" s="94"/>
      <c r="CQ43" s="94"/>
      <c r="CR43" s="94"/>
      <c r="CS43" s="94"/>
      <c r="CT43" s="95"/>
      <c r="CU43" s="163"/>
      <c r="CV43" s="164"/>
      <c r="CW43" s="164"/>
      <c r="CX43" s="164"/>
      <c r="CY43" s="164"/>
      <c r="CZ43" s="164"/>
      <c r="DA43" s="164"/>
      <c r="DB43" s="164"/>
      <c r="DC43" s="165"/>
    </row>
    <row r="44" spans="1:107" s="14" customFormat="1" ht="12" x14ac:dyDescent="0.25">
      <c r="A44" s="28"/>
      <c r="B44" s="111" t="s">
        <v>99</v>
      </c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36"/>
      <c r="AK44" s="93">
        <v>7</v>
      </c>
      <c r="AL44" s="94"/>
      <c r="AM44" s="94"/>
      <c r="AN44" s="94"/>
      <c r="AO44" s="94"/>
      <c r="AP44" s="94"/>
      <c r="AQ44" s="95"/>
      <c r="AR44" s="93">
        <f>AR27+AR29+AR36+AR37+AR38+AR41</f>
        <v>0</v>
      </c>
      <c r="AS44" s="94"/>
      <c r="AT44" s="94"/>
      <c r="AU44" s="94"/>
      <c r="AV44" s="94"/>
      <c r="AW44" s="94"/>
      <c r="AX44" s="94"/>
      <c r="AY44" s="94"/>
      <c r="AZ44" s="95"/>
      <c r="BD44" s="28"/>
      <c r="BE44" s="111" t="s">
        <v>102</v>
      </c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36"/>
      <c r="CN44" s="93">
        <v>13</v>
      </c>
      <c r="CO44" s="94"/>
      <c r="CP44" s="94"/>
      <c r="CQ44" s="94"/>
      <c r="CR44" s="94"/>
      <c r="CS44" s="94"/>
      <c r="CT44" s="95"/>
      <c r="CU44" s="93">
        <f>CU27+CU29+CU36+CU43</f>
        <v>0</v>
      </c>
      <c r="CV44" s="94"/>
      <c r="CW44" s="94"/>
      <c r="CX44" s="94"/>
      <c r="CY44" s="94"/>
      <c r="CZ44" s="94"/>
      <c r="DA44" s="94"/>
      <c r="DB44" s="94"/>
      <c r="DC44" s="95"/>
    </row>
    <row r="45" spans="1:107" s="14" customFormat="1" ht="36.75" customHeight="1" x14ac:dyDescent="0.25">
      <c r="A45" s="28"/>
      <c r="B45" s="111" t="s">
        <v>15</v>
      </c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36"/>
      <c r="AK45" s="93">
        <v>8</v>
      </c>
      <c r="AL45" s="94"/>
      <c r="AM45" s="94"/>
      <c r="AN45" s="94"/>
      <c r="AO45" s="94"/>
      <c r="AP45" s="94"/>
      <c r="AQ45" s="95"/>
      <c r="AR45" s="93"/>
      <c r="AS45" s="94"/>
      <c r="AT45" s="94"/>
      <c r="AU45" s="94"/>
      <c r="AV45" s="94"/>
      <c r="AW45" s="94"/>
      <c r="AX45" s="94"/>
      <c r="AY45" s="94"/>
      <c r="AZ45" s="95"/>
      <c r="BD45" s="28"/>
      <c r="BE45" s="111" t="s">
        <v>131</v>
      </c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49"/>
      <c r="CN45" s="93">
        <v>14</v>
      </c>
      <c r="CO45" s="94"/>
      <c r="CP45" s="94"/>
      <c r="CQ45" s="94"/>
      <c r="CR45" s="94"/>
      <c r="CS45" s="94"/>
      <c r="CT45" s="95"/>
      <c r="CU45" s="93"/>
      <c r="CV45" s="94"/>
      <c r="CW45" s="94"/>
      <c r="CX45" s="94"/>
      <c r="CY45" s="94"/>
      <c r="CZ45" s="94"/>
      <c r="DA45" s="94"/>
      <c r="DB45" s="94"/>
      <c r="DC45" s="95"/>
    </row>
    <row r="46" spans="1:107" s="14" customFormat="1" ht="23.25" customHeight="1" x14ac:dyDescent="0.25">
      <c r="BD46" s="16"/>
      <c r="BE46" s="288" t="s">
        <v>140</v>
      </c>
      <c r="BF46" s="289"/>
      <c r="BG46" s="289"/>
      <c r="BH46" s="289"/>
      <c r="BI46" s="289"/>
      <c r="BJ46" s="289"/>
      <c r="BK46" s="289"/>
      <c r="BL46" s="289"/>
      <c r="BM46" s="289"/>
      <c r="BN46" s="289"/>
      <c r="BO46" s="289"/>
      <c r="BP46" s="289"/>
      <c r="BQ46" s="289"/>
      <c r="BR46" s="289"/>
      <c r="BS46" s="289"/>
      <c r="BT46" s="289"/>
      <c r="BU46" s="289"/>
      <c r="BV46" s="289"/>
      <c r="BW46" s="289"/>
      <c r="BX46" s="289"/>
      <c r="BY46" s="289"/>
      <c r="BZ46" s="289"/>
      <c r="CA46" s="289"/>
      <c r="CB46" s="289"/>
      <c r="CC46" s="289"/>
      <c r="CD46" s="289"/>
      <c r="CE46" s="289"/>
      <c r="CF46" s="289"/>
      <c r="CG46" s="289"/>
      <c r="CH46" s="289"/>
      <c r="CI46" s="289"/>
      <c r="CJ46" s="289"/>
      <c r="CK46" s="289"/>
      <c r="CL46" s="289"/>
      <c r="CM46" s="290"/>
      <c r="CN46" s="93">
        <v>15</v>
      </c>
      <c r="CO46" s="94"/>
      <c r="CP46" s="94"/>
      <c r="CQ46" s="94"/>
      <c r="CR46" s="94"/>
      <c r="CS46" s="94"/>
      <c r="CT46" s="95"/>
      <c r="CU46" s="93"/>
      <c r="CV46" s="94"/>
      <c r="CW46" s="94"/>
      <c r="CX46" s="94"/>
      <c r="CY46" s="94"/>
      <c r="CZ46" s="94"/>
      <c r="DA46" s="94"/>
      <c r="DB46" s="94"/>
      <c r="DC46" s="95"/>
    </row>
  </sheetData>
  <mergeCells count="183">
    <mergeCell ref="BR15:BZ15"/>
    <mergeCell ref="BF13:BQ13"/>
    <mergeCell ref="CQ15:DC15"/>
    <mergeCell ref="CK14:CP14"/>
    <mergeCell ref="CQ14:DC14"/>
    <mergeCell ref="AO13:AW13"/>
    <mergeCell ref="AX13:BE13"/>
    <mergeCell ref="O17:X17"/>
    <mergeCell ref="AO17:AW17"/>
    <mergeCell ref="AX17:BE17"/>
    <mergeCell ref="BF17:BQ17"/>
    <mergeCell ref="BR17:BZ17"/>
    <mergeCell ref="CU29:DC35"/>
    <mergeCell ref="AR36:AZ36"/>
    <mergeCell ref="B35:AA35"/>
    <mergeCell ref="AB35:AJ35"/>
    <mergeCell ref="BE35:CD35"/>
    <mergeCell ref="CE35:CM35"/>
    <mergeCell ref="AB34:AJ34"/>
    <mergeCell ref="B36:AJ36"/>
    <mergeCell ref="AK36:AQ36"/>
    <mergeCell ref="CN29:CT35"/>
    <mergeCell ref="BE36:CL36"/>
    <mergeCell ref="B33:AA33"/>
    <mergeCell ref="CE33:CM33"/>
    <mergeCell ref="AB33:AJ33"/>
    <mergeCell ref="CU45:DC45"/>
    <mergeCell ref="BE46:CM46"/>
    <mergeCell ref="CN46:CT46"/>
    <mergeCell ref="CU46:DC46"/>
    <mergeCell ref="BE45:CL45"/>
    <mergeCell ref="CN45:CT45"/>
    <mergeCell ref="AK37:AQ37"/>
    <mergeCell ref="BE37:CD37"/>
    <mergeCell ref="CE37:CM37"/>
    <mergeCell ref="BE40:CD40"/>
    <mergeCell ref="CE40:CM40"/>
    <mergeCell ref="AR37:AZ37"/>
    <mergeCell ref="CU43:DC43"/>
    <mergeCell ref="BE41:CD41"/>
    <mergeCell ref="CE41:CM41"/>
    <mergeCell ref="BE42:CD42"/>
    <mergeCell ref="CE42:CM42"/>
    <mergeCell ref="BE43:CL43"/>
    <mergeCell ref="CN43:CT43"/>
    <mergeCell ref="CU44:DC44"/>
    <mergeCell ref="BE44:CL44"/>
    <mergeCell ref="B41:AI43"/>
    <mergeCell ref="CN36:CT42"/>
    <mergeCell ref="B44:AI44"/>
    <mergeCell ref="AK44:AQ44"/>
    <mergeCell ref="AR44:AZ44"/>
    <mergeCell ref="CU36:DC42"/>
    <mergeCell ref="B37:AJ37"/>
    <mergeCell ref="BE38:CD39"/>
    <mergeCell ref="CE38:CM39"/>
    <mergeCell ref="CE32:CM32"/>
    <mergeCell ref="AK29:AQ35"/>
    <mergeCell ref="B34:AA34"/>
    <mergeCell ref="AR29:AZ35"/>
    <mergeCell ref="BE29:CL30"/>
    <mergeCell ref="BE33:CD33"/>
    <mergeCell ref="CN44:CT44"/>
    <mergeCell ref="B31:AA31"/>
    <mergeCell ref="AB31:AJ31"/>
    <mergeCell ref="BE31:CD31"/>
    <mergeCell ref="CE31:CM31"/>
    <mergeCell ref="AB32:AJ32"/>
    <mergeCell ref="BE34:CD34"/>
    <mergeCell ref="CE34:CM34"/>
    <mergeCell ref="B45:AI45"/>
    <mergeCell ref="B38:AJ40"/>
    <mergeCell ref="AK38:AQ40"/>
    <mergeCell ref="AR38:AZ40"/>
    <mergeCell ref="AK41:AQ43"/>
    <mergeCell ref="AR41:AZ43"/>
    <mergeCell ref="AK45:AQ45"/>
    <mergeCell ref="AR45:AZ45"/>
    <mergeCell ref="B29:AI30"/>
    <mergeCell ref="B27:AI28"/>
    <mergeCell ref="AK27:AQ28"/>
    <mergeCell ref="AR27:AZ28"/>
    <mergeCell ref="BE27:CL28"/>
    <mergeCell ref="CN27:CT28"/>
    <mergeCell ref="BD26:CM26"/>
    <mergeCell ref="CU27:DC28"/>
    <mergeCell ref="AK26:AQ26"/>
    <mergeCell ref="AR26:AZ26"/>
    <mergeCell ref="CQ16:DC16"/>
    <mergeCell ref="CA17:CJ17"/>
    <mergeCell ref="CK17:CP17"/>
    <mergeCell ref="CQ17:DC17"/>
    <mergeCell ref="BR16:BZ16"/>
    <mergeCell ref="CA16:CJ16"/>
    <mergeCell ref="CU26:DC26"/>
    <mergeCell ref="A26:AJ26"/>
    <mergeCell ref="A20:DC20"/>
    <mergeCell ref="A21:DC21"/>
    <mergeCell ref="A22:DC22"/>
    <mergeCell ref="A25:AJ25"/>
    <mergeCell ref="AK25:AQ25"/>
    <mergeCell ref="AR25:AZ25"/>
    <mergeCell ref="BD25:CM25"/>
    <mergeCell ref="CU25:DC25"/>
    <mergeCell ref="CN25:CT25"/>
    <mergeCell ref="CN26:CT26"/>
    <mergeCell ref="A17:G17"/>
    <mergeCell ref="H17:N17"/>
    <mergeCell ref="Y16:AN16"/>
    <mergeCell ref="Y17:AN17"/>
    <mergeCell ref="CA15:CJ15"/>
    <mergeCell ref="CK15:CP15"/>
    <mergeCell ref="CA13:CJ13"/>
    <mergeCell ref="CK13:CP13"/>
    <mergeCell ref="A16:G16"/>
    <mergeCell ref="AO16:AW16"/>
    <mergeCell ref="AX16:BE16"/>
    <mergeCell ref="BF16:BQ16"/>
    <mergeCell ref="A15:G15"/>
    <mergeCell ref="AO15:AW15"/>
    <mergeCell ref="AX15:BE15"/>
    <mergeCell ref="H16:N16"/>
    <mergeCell ref="O15:X15"/>
    <mergeCell ref="O16:X16"/>
    <mergeCell ref="CK16:CP16"/>
    <mergeCell ref="O14:X14"/>
    <mergeCell ref="H15:N15"/>
    <mergeCell ref="Y15:AN15"/>
    <mergeCell ref="BR13:BZ13"/>
    <mergeCell ref="A13:G13"/>
    <mergeCell ref="H13:N13"/>
    <mergeCell ref="O13:X13"/>
    <mergeCell ref="Y13:AN13"/>
    <mergeCell ref="BF15:BQ15"/>
    <mergeCell ref="A14:G14"/>
    <mergeCell ref="AX14:BE14"/>
    <mergeCell ref="BF14:BQ14"/>
    <mergeCell ref="BR14:BZ14"/>
    <mergeCell ref="CA14:CJ14"/>
    <mergeCell ref="H12:N12"/>
    <mergeCell ref="H14:N14"/>
    <mergeCell ref="CQ13:DC13"/>
    <mergeCell ref="Y14:AW14"/>
    <mergeCell ref="CA12:CJ12"/>
    <mergeCell ref="CK12:CP12"/>
    <mergeCell ref="Y12:AW12"/>
    <mergeCell ref="CK11:CP11"/>
    <mergeCell ref="CQ11:DC11"/>
    <mergeCell ref="CA11:CJ11"/>
    <mergeCell ref="A12:G12"/>
    <mergeCell ref="AX12:BE12"/>
    <mergeCell ref="BF12:BQ12"/>
    <mergeCell ref="BR12:BZ12"/>
    <mergeCell ref="AX11:BE11"/>
    <mergeCell ref="BF11:BQ11"/>
    <mergeCell ref="BR11:BZ11"/>
    <mergeCell ref="O11:X11"/>
    <mergeCell ref="O12:X12"/>
    <mergeCell ref="CQ12:DC12"/>
    <mergeCell ref="A11:G11"/>
    <mergeCell ref="H11:N11"/>
    <mergeCell ref="Y11:AN11"/>
    <mergeCell ref="AO11:AW11"/>
    <mergeCell ref="A1:DC1"/>
    <mergeCell ref="A2:DC2"/>
    <mergeCell ref="A3:DC3"/>
    <mergeCell ref="A4:DC4"/>
    <mergeCell ref="CQ7:DC10"/>
    <mergeCell ref="AX8:BE10"/>
    <mergeCell ref="A7:X8"/>
    <mergeCell ref="CA7:CP8"/>
    <mergeCell ref="BF7:BQ10"/>
    <mergeCell ref="BR7:BZ10"/>
    <mergeCell ref="Y8:AW8"/>
    <mergeCell ref="Y7:BE7"/>
    <mergeCell ref="CA9:CJ10"/>
    <mergeCell ref="CK9:CP10"/>
    <mergeCell ref="A9:G10"/>
    <mergeCell ref="Y9:AN10"/>
    <mergeCell ref="AO9:AW10"/>
    <mergeCell ref="H9:X9"/>
    <mergeCell ref="H10:N10"/>
    <mergeCell ref="O10:X10"/>
  </mergeCells>
  <phoneticPr fontId="7" type="noConversion"/>
  <pageMargins left="0.78740157480314965" right="0.39370078740157483" top="0.59055118110236227" bottom="0.39370078740157483" header="0.19685039370078741" footer="0.19685039370078741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50"/>
  <sheetViews>
    <sheetView topLeftCell="A10" zoomScaleNormal="100" workbookViewId="0">
      <selection activeCell="CE19" sqref="CE19"/>
    </sheetView>
  </sheetViews>
  <sheetFormatPr defaultColWidth="0.77734375" defaultRowHeight="13.2" x14ac:dyDescent="0.25"/>
  <cols>
    <col min="1" max="16384" width="0.77734375" style="1"/>
  </cols>
  <sheetData>
    <row r="1" spans="1:107" x14ac:dyDescent="0.25">
      <c r="A1" s="119" t="s">
        <v>103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</row>
    <row r="2" spans="1:107" x14ac:dyDescent="0.25">
      <c r="A2" s="119" t="s">
        <v>104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19"/>
      <c r="BQ2" s="119"/>
      <c r="BR2" s="119"/>
      <c r="BS2" s="119"/>
      <c r="BT2" s="119"/>
      <c r="BU2" s="119"/>
      <c r="BV2" s="119"/>
      <c r="BW2" s="119"/>
      <c r="BX2" s="119"/>
      <c r="BY2" s="119"/>
      <c r="BZ2" s="119"/>
      <c r="CA2" s="119"/>
      <c r="CB2" s="119"/>
      <c r="CC2" s="119"/>
      <c r="CD2" s="119"/>
      <c r="CE2" s="119"/>
      <c r="CF2" s="119"/>
      <c r="CG2" s="119"/>
      <c r="CH2" s="119"/>
      <c r="CI2" s="119"/>
      <c r="CJ2" s="119"/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</row>
    <row r="3" spans="1:107" x14ac:dyDescent="0.25">
      <c r="A3" s="119" t="s">
        <v>105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</row>
    <row r="5" spans="1:107" s="14" customFormat="1" ht="12" x14ac:dyDescent="0.25">
      <c r="DC5" s="44" t="s">
        <v>106</v>
      </c>
    </row>
    <row r="6" spans="1:107" ht="27" customHeight="1" x14ac:dyDescent="0.25">
      <c r="A6" s="179" t="s">
        <v>26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1"/>
      <c r="BD6" s="211" t="s">
        <v>27</v>
      </c>
      <c r="BE6" s="212"/>
      <c r="BF6" s="212"/>
      <c r="BG6" s="212"/>
      <c r="BH6" s="212"/>
      <c r="BI6" s="212"/>
      <c r="BJ6" s="212"/>
      <c r="BK6" s="212"/>
      <c r="BL6" s="213"/>
      <c r="BM6" s="211" t="s">
        <v>107</v>
      </c>
      <c r="BN6" s="212"/>
      <c r="BO6" s="212"/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3"/>
      <c r="CE6" s="211" t="s">
        <v>10</v>
      </c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  <c r="CT6" s="212"/>
      <c r="CU6" s="212"/>
      <c r="CV6" s="212"/>
      <c r="CW6" s="212"/>
      <c r="CX6" s="212"/>
      <c r="CY6" s="212"/>
      <c r="CZ6" s="212"/>
      <c r="DA6" s="212"/>
      <c r="DB6" s="212"/>
      <c r="DC6" s="213"/>
    </row>
    <row r="7" spans="1:107" x14ac:dyDescent="0.25">
      <c r="A7" s="197">
        <v>1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9"/>
      <c r="BD7" s="197">
        <v>2</v>
      </c>
      <c r="BE7" s="198"/>
      <c r="BF7" s="198"/>
      <c r="BG7" s="198"/>
      <c r="BH7" s="198"/>
      <c r="BI7" s="198"/>
      <c r="BJ7" s="198"/>
      <c r="BK7" s="198"/>
      <c r="BL7" s="199"/>
      <c r="BM7" s="197">
        <v>3</v>
      </c>
      <c r="BN7" s="198"/>
      <c r="BO7" s="198"/>
      <c r="BP7" s="198"/>
      <c r="BQ7" s="198"/>
      <c r="BR7" s="198"/>
      <c r="BS7" s="198"/>
      <c r="BT7" s="198"/>
      <c r="BU7" s="198"/>
      <c r="BV7" s="198"/>
      <c r="BW7" s="198"/>
      <c r="BX7" s="198"/>
      <c r="BY7" s="198"/>
      <c r="BZ7" s="198"/>
      <c r="CA7" s="198"/>
      <c r="CB7" s="198"/>
      <c r="CC7" s="198"/>
      <c r="CD7" s="199"/>
      <c r="CE7" s="197">
        <v>4</v>
      </c>
      <c r="CF7" s="198"/>
      <c r="CG7" s="198"/>
      <c r="CH7" s="198"/>
      <c r="CI7" s="198"/>
      <c r="CJ7" s="198"/>
      <c r="CK7" s="198"/>
      <c r="CL7" s="198"/>
      <c r="CM7" s="198"/>
      <c r="CN7" s="198"/>
      <c r="CO7" s="198"/>
      <c r="CP7" s="198"/>
      <c r="CQ7" s="198"/>
      <c r="CR7" s="198"/>
      <c r="CS7" s="198"/>
      <c r="CT7" s="198"/>
      <c r="CU7" s="198"/>
      <c r="CV7" s="198"/>
      <c r="CW7" s="198"/>
      <c r="CX7" s="198"/>
      <c r="CY7" s="198"/>
      <c r="CZ7" s="198"/>
      <c r="DA7" s="198"/>
      <c r="DB7" s="198"/>
      <c r="DC7" s="199"/>
    </row>
    <row r="8" spans="1:107" ht="25.5" customHeight="1" x14ac:dyDescent="0.25">
      <c r="A8" s="13"/>
      <c r="B8" s="300" t="s">
        <v>168</v>
      </c>
      <c r="C8" s="300"/>
      <c r="D8" s="300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  <c r="AA8" s="300"/>
      <c r="AB8" s="300"/>
      <c r="AC8" s="30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0"/>
      <c r="AQ8" s="300"/>
      <c r="AR8" s="30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1"/>
      <c r="BD8" s="197">
        <v>1</v>
      </c>
      <c r="BE8" s="198"/>
      <c r="BF8" s="198"/>
      <c r="BG8" s="198"/>
      <c r="BH8" s="198"/>
      <c r="BI8" s="198"/>
      <c r="BJ8" s="198"/>
      <c r="BK8" s="198"/>
      <c r="BL8" s="199"/>
      <c r="BM8" s="197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9"/>
      <c r="CE8" s="197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9"/>
    </row>
    <row r="9" spans="1:107" x14ac:dyDescent="0.25">
      <c r="A9" s="13"/>
      <c r="B9" s="208" t="s">
        <v>149</v>
      </c>
      <c r="C9" s="208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99"/>
      <c r="BD9" s="197">
        <v>2</v>
      </c>
      <c r="BE9" s="198"/>
      <c r="BF9" s="198"/>
      <c r="BG9" s="198"/>
      <c r="BH9" s="198"/>
      <c r="BI9" s="198"/>
      <c r="BJ9" s="198"/>
      <c r="BK9" s="198"/>
      <c r="BL9" s="199"/>
      <c r="BM9" s="197"/>
      <c r="BN9" s="198"/>
      <c r="BO9" s="198"/>
      <c r="BP9" s="198"/>
      <c r="BQ9" s="198"/>
      <c r="BR9" s="198"/>
      <c r="BS9" s="198"/>
      <c r="BT9" s="198"/>
      <c r="BU9" s="198"/>
      <c r="BV9" s="198"/>
      <c r="BW9" s="198"/>
      <c r="BX9" s="198"/>
      <c r="BY9" s="198"/>
      <c r="BZ9" s="198"/>
      <c r="CA9" s="198"/>
      <c r="CB9" s="198"/>
      <c r="CC9" s="198"/>
      <c r="CD9" s="199"/>
      <c r="CE9" s="197"/>
      <c r="CF9" s="198"/>
      <c r="CG9" s="198"/>
      <c r="CH9" s="198"/>
      <c r="CI9" s="198"/>
      <c r="CJ9" s="198"/>
      <c r="CK9" s="198"/>
      <c r="CL9" s="198"/>
      <c r="CM9" s="198"/>
      <c r="CN9" s="198"/>
      <c r="CO9" s="198"/>
      <c r="CP9" s="198"/>
      <c r="CQ9" s="198"/>
      <c r="CR9" s="198"/>
      <c r="CS9" s="198"/>
      <c r="CT9" s="198"/>
      <c r="CU9" s="198"/>
      <c r="CV9" s="198"/>
      <c r="CW9" s="198"/>
      <c r="CX9" s="198"/>
      <c r="CY9" s="198"/>
      <c r="CZ9" s="198"/>
      <c r="DA9" s="198"/>
      <c r="DB9" s="198"/>
      <c r="DC9" s="199"/>
    </row>
    <row r="10" spans="1:107" x14ac:dyDescent="0.25">
      <c r="A10" s="13"/>
      <c r="B10" s="208" t="s">
        <v>170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208"/>
      <c r="AU10" s="208"/>
      <c r="AV10" s="208"/>
      <c r="AW10" s="208"/>
      <c r="AX10" s="208"/>
      <c r="AY10" s="208"/>
      <c r="AZ10" s="208"/>
      <c r="BA10" s="208"/>
      <c r="BB10" s="208"/>
      <c r="BC10" s="299"/>
      <c r="BD10" s="197">
        <v>3</v>
      </c>
      <c r="BE10" s="198"/>
      <c r="BF10" s="198"/>
      <c r="BG10" s="198"/>
      <c r="BH10" s="198"/>
      <c r="BI10" s="198"/>
      <c r="BJ10" s="198"/>
      <c r="BK10" s="198"/>
      <c r="BL10" s="199"/>
      <c r="BM10" s="197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8"/>
      <c r="CD10" s="199"/>
      <c r="CE10" s="197"/>
      <c r="CF10" s="198"/>
      <c r="CG10" s="198"/>
      <c r="CH10" s="198"/>
      <c r="CI10" s="198"/>
      <c r="CJ10" s="198"/>
      <c r="CK10" s="198"/>
      <c r="CL10" s="198"/>
      <c r="CM10" s="198"/>
      <c r="CN10" s="198"/>
      <c r="CO10" s="198"/>
      <c r="CP10" s="198"/>
      <c r="CQ10" s="198"/>
      <c r="CR10" s="198"/>
      <c r="CS10" s="198"/>
      <c r="CT10" s="198"/>
      <c r="CU10" s="198"/>
      <c r="CV10" s="198"/>
      <c r="CW10" s="198"/>
      <c r="CX10" s="198"/>
      <c r="CY10" s="198"/>
      <c r="CZ10" s="198"/>
      <c r="DA10" s="198"/>
      <c r="DB10" s="198"/>
      <c r="DC10" s="199"/>
    </row>
    <row r="11" spans="1:107" ht="25.5" customHeight="1" x14ac:dyDescent="0.25">
      <c r="A11" s="13"/>
      <c r="B11" s="300" t="s">
        <v>174</v>
      </c>
      <c r="C11" s="300"/>
      <c r="D11" s="300"/>
      <c r="E11" s="300"/>
      <c r="F11" s="300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0"/>
      <c r="AD11" s="300"/>
      <c r="AE11" s="300"/>
      <c r="AF11" s="300"/>
      <c r="AG11" s="300"/>
      <c r="AH11" s="300"/>
      <c r="AI11" s="300"/>
      <c r="AJ11" s="300"/>
      <c r="AK11" s="300"/>
      <c r="AL11" s="300"/>
      <c r="AM11" s="300"/>
      <c r="AN11" s="300"/>
      <c r="AO11" s="300"/>
      <c r="AP11" s="300"/>
      <c r="AQ11" s="300"/>
      <c r="AR11" s="300"/>
      <c r="AS11" s="300"/>
      <c r="AT11" s="300"/>
      <c r="AU11" s="300"/>
      <c r="AV11" s="300"/>
      <c r="AW11" s="300"/>
      <c r="AX11" s="300"/>
      <c r="AY11" s="300"/>
      <c r="AZ11" s="300"/>
      <c r="BA11" s="300"/>
      <c r="BB11" s="300"/>
      <c r="BC11" s="301"/>
      <c r="BD11" s="197">
        <v>4</v>
      </c>
      <c r="BE11" s="198"/>
      <c r="BF11" s="198"/>
      <c r="BG11" s="198"/>
      <c r="BH11" s="198"/>
      <c r="BI11" s="198"/>
      <c r="BJ11" s="198"/>
      <c r="BK11" s="198"/>
      <c r="BL11" s="199"/>
      <c r="BM11" s="197"/>
      <c r="BN11" s="198"/>
      <c r="BO11" s="198"/>
      <c r="BP11" s="198"/>
      <c r="BQ11" s="198"/>
      <c r="BR11" s="198"/>
      <c r="BS11" s="198"/>
      <c r="BT11" s="198"/>
      <c r="BU11" s="198"/>
      <c r="BV11" s="198"/>
      <c r="BW11" s="198"/>
      <c r="BX11" s="198"/>
      <c r="BY11" s="198"/>
      <c r="BZ11" s="198"/>
      <c r="CA11" s="198"/>
      <c r="CB11" s="198"/>
      <c r="CC11" s="198"/>
      <c r="CD11" s="199"/>
      <c r="CE11" s="197"/>
      <c r="CF11" s="198"/>
      <c r="CG11" s="198"/>
      <c r="CH11" s="198"/>
      <c r="CI11" s="198"/>
      <c r="CJ11" s="198"/>
      <c r="CK11" s="198"/>
      <c r="CL11" s="198"/>
      <c r="CM11" s="198"/>
      <c r="CN11" s="198"/>
      <c r="CO11" s="198"/>
      <c r="CP11" s="198"/>
      <c r="CQ11" s="198"/>
      <c r="CR11" s="198"/>
      <c r="CS11" s="198"/>
      <c r="CT11" s="198"/>
      <c r="CU11" s="198"/>
      <c r="CV11" s="198"/>
      <c r="CW11" s="198"/>
      <c r="CX11" s="198"/>
      <c r="CY11" s="198"/>
      <c r="CZ11" s="198"/>
      <c r="DA11" s="198"/>
      <c r="DB11" s="198"/>
      <c r="DC11" s="199"/>
    </row>
    <row r="12" spans="1:107" x14ac:dyDescent="0.25">
      <c r="A12" s="13"/>
      <c r="B12" s="208" t="s">
        <v>149</v>
      </c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8"/>
      <c r="AR12" s="208"/>
      <c r="AS12" s="208"/>
      <c r="AT12" s="208"/>
      <c r="AU12" s="208"/>
      <c r="AV12" s="208"/>
      <c r="AW12" s="208"/>
      <c r="AX12" s="208"/>
      <c r="AY12" s="208"/>
      <c r="AZ12" s="208"/>
      <c r="BA12" s="208"/>
      <c r="BB12" s="208"/>
      <c r="BC12" s="299"/>
      <c r="BD12" s="197">
        <v>5</v>
      </c>
      <c r="BE12" s="198"/>
      <c r="BF12" s="198"/>
      <c r="BG12" s="198"/>
      <c r="BH12" s="198"/>
      <c r="BI12" s="198"/>
      <c r="BJ12" s="198"/>
      <c r="BK12" s="198"/>
      <c r="BL12" s="199"/>
      <c r="BM12" s="197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9"/>
      <c r="CE12" s="197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  <c r="CS12" s="198"/>
      <c r="CT12" s="198"/>
      <c r="CU12" s="198"/>
      <c r="CV12" s="198"/>
      <c r="CW12" s="198"/>
      <c r="CX12" s="198"/>
      <c r="CY12" s="198"/>
      <c r="CZ12" s="198"/>
      <c r="DA12" s="198"/>
      <c r="DB12" s="198"/>
      <c r="DC12" s="199"/>
    </row>
    <row r="13" spans="1:107" x14ac:dyDescent="0.25">
      <c r="A13" s="13"/>
      <c r="B13" s="208" t="s">
        <v>170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99"/>
      <c r="BD13" s="197">
        <v>6</v>
      </c>
      <c r="BE13" s="198"/>
      <c r="BF13" s="198"/>
      <c r="BG13" s="198"/>
      <c r="BH13" s="198"/>
      <c r="BI13" s="198"/>
      <c r="BJ13" s="198"/>
      <c r="BK13" s="198"/>
      <c r="BL13" s="199"/>
      <c r="BM13" s="197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9"/>
      <c r="CE13" s="197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9"/>
    </row>
    <row r="14" spans="1:107" ht="38.25" customHeight="1" x14ac:dyDescent="0.25">
      <c r="A14" s="13"/>
      <c r="B14" s="300" t="s">
        <v>169</v>
      </c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  <c r="AA14" s="300"/>
      <c r="AB14" s="300"/>
      <c r="AC14" s="300"/>
      <c r="AD14" s="300"/>
      <c r="AE14" s="300"/>
      <c r="AF14" s="300"/>
      <c r="AG14" s="300"/>
      <c r="AH14" s="300"/>
      <c r="AI14" s="300"/>
      <c r="AJ14" s="300"/>
      <c r="AK14" s="300"/>
      <c r="AL14" s="300"/>
      <c r="AM14" s="300"/>
      <c r="AN14" s="300"/>
      <c r="AO14" s="300"/>
      <c r="AP14" s="300"/>
      <c r="AQ14" s="300"/>
      <c r="AR14" s="300"/>
      <c r="AS14" s="300"/>
      <c r="AT14" s="300"/>
      <c r="AU14" s="300"/>
      <c r="AV14" s="300"/>
      <c r="AW14" s="300"/>
      <c r="AX14" s="300"/>
      <c r="AY14" s="300"/>
      <c r="AZ14" s="300"/>
      <c r="BA14" s="300"/>
      <c r="BB14" s="300"/>
      <c r="BC14" s="301"/>
      <c r="BD14" s="197">
        <v>7</v>
      </c>
      <c r="BE14" s="198"/>
      <c r="BF14" s="198"/>
      <c r="BG14" s="198"/>
      <c r="BH14" s="198"/>
      <c r="BI14" s="198"/>
      <c r="BJ14" s="198"/>
      <c r="BK14" s="198"/>
      <c r="BL14" s="199"/>
      <c r="BM14" s="197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9"/>
      <c r="CE14" s="197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199"/>
    </row>
    <row r="15" spans="1:107" x14ac:dyDescent="0.25">
      <c r="A15" s="13"/>
      <c r="B15" s="208" t="s">
        <v>170</v>
      </c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  <c r="AX15" s="208"/>
      <c r="AY15" s="208"/>
      <c r="AZ15" s="208"/>
      <c r="BA15" s="208"/>
      <c r="BB15" s="208"/>
      <c r="BC15" s="299"/>
      <c r="BD15" s="197">
        <v>8</v>
      </c>
      <c r="BE15" s="198"/>
      <c r="BF15" s="198"/>
      <c r="BG15" s="198"/>
      <c r="BH15" s="198"/>
      <c r="BI15" s="198"/>
      <c r="BJ15" s="198"/>
      <c r="BK15" s="198"/>
      <c r="BL15" s="199"/>
      <c r="BM15" s="197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8"/>
      <c r="CA15" s="198"/>
      <c r="CB15" s="198"/>
      <c r="CC15" s="198"/>
      <c r="CD15" s="199"/>
      <c r="CE15" s="197"/>
      <c r="CF15" s="198"/>
      <c r="CG15" s="198"/>
      <c r="CH15" s="198"/>
      <c r="CI15" s="198"/>
      <c r="CJ15" s="198"/>
      <c r="CK15" s="198"/>
      <c r="CL15" s="198"/>
      <c r="CM15" s="198"/>
      <c r="CN15" s="198"/>
      <c r="CO15" s="198"/>
      <c r="CP15" s="198"/>
      <c r="CQ15" s="198"/>
      <c r="CR15" s="198"/>
      <c r="CS15" s="198"/>
      <c r="CT15" s="198"/>
      <c r="CU15" s="198"/>
      <c r="CV15" s="198"/>
      <c r="CW15" s="198"/>
      <c r="CX15" s="198"/>
      <c r="CY15" s="198"/>
      <c r="CZ15" s="198"/>
      <c r="DA15" s="198"/>
      <c r="DB15" s="198"/>
      <c r="DC15" s="199"/>
    </row>
    <row r="16" spans="1:107" ht="25.5" customHeight="1" x14ac:dyDescent="0.25">
      <c r="A16" s="13"/>
      <c r="B16" s="300" t="s">
        <v>108</v>
      </c>
      <c r="C16" s="300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1"/>
      <c r="BD16" s="197">
        <v>9</v>
      </c>
      <c r="BE16" s="198"/>
      <c r="BF16" s="198"/>
      <c r="BG16" s="198"/>
      <c r="BH16" s="198"/>
      <c r="BI16" s="198"/>
      <c r="BJ16" s="198"/>
      <c r="BK16" s="198"/>
      <c r="BL16" s="199"/>
      <c r="BM16" s="197" t="s">
        <v>142</v>
      </c>
      <c r="BN16" s="198"/>
      <c r="BO16" s="198"/>
      <c r="BP16" s="198"/>
      <c r="BQ16" s="198"/>
      <c r="BR16" s="198"/>
      <c r="BS16" s="198"/>
      <c r="BT16" s="198"/>
      <c r="BU16" s="198"/>
      <c r="BV16" s="198"/>
      <c r="BW16" s="198"/>
      <c r="BX16" s="198"/>
      <c r="BY16" s="198"/>
      <c r="BZ16" s="198"/>
      <c r="CA16" s="198"/>
      <c r="CB16" s="198"/>
      <c r="CC16" s="198"/>
      <c r="CD16" s="199"/>
      <c r="CE16" s="197"/>
      <c r="CF16" s="198"/>
      <c r="CG16" s="198"/>
      <c r="CH16" s="198"/>
      <c r="CI16" s="198"/>
      <c r="CJ16" s="198"/>
      <c r="CK16" s="198"/>
      <c r="CL16" s="198"/>
      <c r="CM16" s="198"/>
      <c r="CN16" s="198"/>
      <c r="CO16" s="198"/>
      <c r="CP16" s="198"/>
      <c r="CQ16" s="198"/>
      <c r="CR16" s="198"/>
      <c r="CS16" s="198"/>
      <c r="CT16" s="198"/>
      <c r="CU16" s="198"/>
      <c r="CV16" s="198"/>
      <c r="CW16" s="198"/>
      <c r="CX16" s="198"/>
      <c r="CY16" s="198"/>
      <c r="CZ16" s="198"/>
      <c r="DA16" s="198"/>
      <c r="DB16" s="198"/>
      <c r="DC16" s="199"/>
    </row>
    <row r="17" spans="1:107" ht="37.5" customHeight="1" x14ac:dyDescent="0.25">
      <c r="A17" s="13"/>
      <c r="B17" s="300" t="s">
        <v>172</v>
      </c>
      <c r="C17" s="300"/>
      <c r="D17" s="300"/>
      <c r="E17" s="300"/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  <c r="AD17" s="300"/>
      <c r="AE17" s="300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1"/>
      <c r="BD17" s="197">
        <v>10</v>
      </c>
      <c r="BE17" s="198"/>
      <c r="BF17" s="198"/>
      <c r="BG17" s="198"/>
      <c r="BH17" s="198"/>
      <c r="BI17" s="198"/>
      <c r="BJ17" s="198"/>
      <c r="BK17" s="198"/>
      <c r="BL17" s="199"/>
      <c r="BM17" s="197" t="s">
        <v>142</v>
      </c>
      <c r="BN17" s="198"/>
      <c r="BO17" s="198"/>
      <c r="BP17" s="198"/>
      <c r="BQ17" s="198"/>
      <c r="BR17" s="198"/>
      <c r="BS17" s="198"/>
      <c r="BT17" s="198"/>
      <c r="BU17" s="198"/>
      <c r="BV17" s="198"/>
      <c r="BW17" s="198"/>
      <c r="BX17" s="198"/>
      <c r="BY17" s="198"/>
      <c r="BZ17" s="198"/>
      <c r="CA17" s="198"/>
      <c r="CB17" s="198"/>
      <c r="CC17" s="198"/>
      <c r="CD17" s="199"/>
      <c r="CE17" s="197"/>
      <c r="CF17" s="198"/>
      <c r="CG17" s="198"/>
      <c r="CH17" s="198"/>
      <c r="CI17" s="198"/>
      <c r="CJ17" s="198"/>
      <c r="CK17" s="198"/>
      <c r="CL17" s="198"/>
      <c r="CM17" s="198"/>
      <c r="CN17" s="198"/>
      <c r="CO17" s="198"/>
      <c r="CP17" s="198"/>
      <c r="CQ17" s="198"/>
      <c r="CR17" s="198"/>
      <c r="CS17" s="198"/>
      <c r="CT17" s="198"/>
      <c r="CU17" s="198"/>
      <c r="CV17" s="198"/>
      <c r="CW17" s="198"/>
      <c r="CX17" s="198"/>
      <c r="CY17" s="198"/>
      <c r="CZ17" s="198"/>
      <c r="DA17" s="198"/>
      <c r="DB17" s="198"/>
      <c r="DC17" s="199"/>
    </row>
    <row r="18" spans="1:107" x14ac:dyDescent="0.25">
      <c r="A18" s="13"/>
      <c r="B18" s="300" t="s">
        <v>171</v>
      </c>
      <c r="C18" s="300"/>
      <c r="D18" s="300"/>
      <c r="E18" s="300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1"/>
      <c r="BD18" s="197">
        <v>11</v>
      </c>
      <c r="BE18" s="198"/>
      <c r="BF18" s="198"/>
      <c r="BG18" s="198"/>
      <c r="BH18" s="198"/>
      <c r="BI18" s="198"/>
      <c r="BJ18" s="198"/>
      <c r="BK18" s="198"/>
      <c r="BL18" s="199"/>
      <c r="BM18" s="197" t="s">
        <v>142</v>
      </c>
      <c r="BN18" s="198"/>
      <c r="BO18" s="198"/>
      <c r="BP18" s="198"/>
      <c r="BQ18" s="198"/>
      <c r="BR18" s="198"/>
      <c r="BS18" s="198"/>
      <c r="BT18" s="198"/>
      <c r="BU18" s="198"/>
      <c r="BV18" s="198"/>
      <c r="BW18" s="198"/>
      <c r="BX18" s="198"/>
      <c r="BY18" s="198"/>
      <c r="BZ18" s="198"/>
      <c r="CA18" s="198"/>
      <c r="CB18" s="198"/>
      <c r="CC18" s="198"/>
      <c r="CD18" s="199"/>
      <c r="CE18" s="197">
        <f>SickListAmount9+SickListAmount10+CE14+CE16+CE17</f>
        <v>0</v>
      </c>
      <c r="CF18" s="198"/>
      <c r="CG18" s="198"/>
      <c r="CH18" s="198"/>
      <c r="CI18" s="198"/>
      <c r="CJ18" s="198"/>
      <c r="CK18" s="198"/>
      <c r="CL18" s="198"/>
      <c r="CM18" s="198"/>
      <c r="CN18" s="198"/>
      <c r="CO18" s="198"/>
      <c r="CP18" s="198"/>
      <c r="CQ18" s="198"/>
      <c r="CR18" s="198"/>
      <c r="CS18" s="198"/>
      <c r="CT18" s="198"/>
      <c r="CU18" s="198"/>
      <c r="CV18" s="198"/>
      <c r="CW18" s="198"/>
      <c r="CX18" s="198"/>
      <c r="CY18" s="198"/>
      <c r="CZ18" s="198"/>
      <c r="DA18" s="198"/>
      <c r="DB18" s="198"/>
      <c r="DC18" s="199"/>
    </row>
    <row r="22" spans="1:107" x14ac:dyDescent="0.25">
      <c r="A22" s="119" t="s">
        <v>109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</row>
    <row r="23" spans="1:107" x14ac:dyDescent="0.25">
      <c r="A23" s="119" t="s">
        <v>110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</row>
    <row r="24" spans="1:107" x14ac:dyDescent="0.25">
      <c r="A24" s="119" t="s">
        <v>111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</row>
    <row r="26" spans="1:107" s="14" customFormat="1" ht="12" x14ac:dyDescent="0.25">
      <c r="DC26" s="44" t="s">
        <v>112</v>
      </c>
    </row>
    <row r="27" spans="1:107" ht="26.25" customHeight="1" x14ac:dyDescent="0.25">
      <c r="A27" s="179" t="s">
        <v>114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1"/>
      <c r="BG27" s="179" t="s">
        <v>5</v>
      </c>
      <c r="BH27" s="180"/>
      <c r="BI27" s="180"/>
      <c r="BJ27" s="180"/>
      <c r="BK27" s="180"/>
      <c r="BL27" s="180"/>
      <c r="BM27" s="180"/>
      <c r="BN27" s="180"/>
      <c r="BO27" s="180"/>
      <c r="BP27" s="180"/>
      <c r="BQ27" s="180"/>
      <c r="BR27" s="180"/>
      <c r="BS27" s="181"/>
      <c r="BT27" s="179" t="s">
        <v>113</v>
      </c>
      <c r="BU27" s="180"/>
      <c r="BV27" s="180"/>
      <c r="BW27" s="180"/>
      <c r="BX27" s="180"/>
      <c r="BY27" s="180"/>
      <c r="BZ27" s="180"/>
      <c r="CA27" s="180"/>
      <c r="CB27" s="180"/>
      <c r="CC27" s="180"/>
      <c r="CD27" s="180"/>
      <c r="CE27" s="180"/>
      <c r="CF27" s="180"/>
      <c r="CG27" s="180"/>
      <c r="CH27" s="180"/>
      <c r="CI27" s="180"/>
      <c r="CJ27" s="180"/>
      <c r="CK27" s="180"/>
      <c r="CL27" s="180"/>
      <c r="CM27" s="180"/>
      <c r="CN27" s="180"/>
      <c r="CO27" s="180"/>
      <c r="CP27" s="180"/>
      <c r="CQ27" s="180"/>
      <c r="CR27" s="180"/>
      <c r="CS27" s="180"/>
      <c r="CT27" s="180"/>
      <c r="CU27" s="180"/>
      <c r="CV27" s="180"/>
      <c r="CW27" s="180"/>
      <c r="CX27" s="180"/>
      <c r="CY27" s="180"/>
      <c r="CZ27" s="180"/>
      <c r="DA27" s="180"/>
      <c r="DB27" s="180"/>
      <c r="DC27" s="181"/>
    </row>
    <row r="28" spans="1:107" x14ac:dyDescent="0.25">
      <c r="A28" s="197">
        <v>1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  <c r="AT28" s="198"/>
      <c r="AU28" s="198"/>
      <c r="AV28" s="198"/>
      <c r="AW28" s="198"/>
      <c r="AX28" s="198"/>
      <c r="AY28" s="198"/>
      <c r="AZ28" s="198"/>
      <c r="BA28" s="198"/>
      <c r="BB28" s="198"/>
      <c r="BC28" s="198"/>
      <c r="BD28" s="198"/>
      <c r="BE28" s="198"/>
      <c r="BF28" s="199"/>
      <c r="BG28" s="197">
        <v>2</v>
      </c>
      <c r="BH28" s="198"/>
      <c r="BI28" s="198"/>
      <c r="BJ28" s="198"/>
      <c r="BK28" s="198"/>
      <c r="BL28" s="198"/>
      <c r="BM28" s="198"/>
      <c r="BN28" s="198"/>
      <c r="BO28" s="198"/>
      <c r="BP28" s="198"/>
      <c r="BQ28" s="198"/>
      <c r="BR28" s="198"/>
      <c r="BS28" s="199"/>
      <c r="BT28" s="197">
        <v>3</v>
      </c>
      <c r="BU28" s="198"/>
      <c r="BV28" s="198"/>
      <c r="BW28" s="198"/>
      <c r="BX28" s="198"/>
      <c r="BY28" s="198"/>
      <c r="BZ28" s="198"/>
      <c r="CA28" s="198"/>
      <c r="CB28" s="198"/>
      <c r="CC28" s="198"/>
      <c r="CD28" s="198"/>
      <c r="CE28" s="198"/>
      <c r="CF28" s="198"/>
      <c r="CG28" s="198"/>
      <c r="CH28" s="198"/>
      <c r="CI28" s="198"/>
      <c r="CJ28" s="198"/>
      <c r="CK28" s="198"/>
      <c r="CL28" s="198"/>
      <c r="CM28" s="198"/>
      <c r="CN28" s="198"/>
      <c r="CO28" s="198"/>
      <c r="CP28" s="198"/>
      <c r="CQ28" s="198"/>
      <c r="CR28" s="198"/>
      <c r="CS28" s="198"/>
      <c r="CT28" s="198"/>
      <c r="CU28" s="198"/>
      <c r="CV28" s="198"/>
      <c r="CW28" s="198"/>
      <c r="CX28" s="198"/>
      <c r="CY28" s="198"/>
      <c r="CZ28" s="198"/>
      <c r="DA28" s="198"/>
      <c r="DB28" s="198"/>
      <c r="DC28" s="199"/>
    </row>
    <row r="29" spans="1:107" x14ac:dyDescent="0.25">
      <c r="A29" s="13"/>
      <c r="B29" s="206" t="s">
        <v>115</v>
      </c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7"/>
      <c r="BG29" s="197">
        <v>1</v>
      </c>
      <c r="BH29" s="198"/>
      <c r="BI29" s="198"/>
      <c r="BJ29" s="198"/>
      <c r="BK29" s="198"/>
      <c r="BL29" s="198"/>
      <c r="BM29" s="198"/>
      <c r="BN29" s="198"/>
      <c r="BO29" s="198"/>
      <c r="BP29" s="198"/>
      <c r="BQ29" s="198"/>
      <c r="BR29" s="198"/>
      <c r="BS29" s="199"/>
      <c r="BT29" s="197"/>
      <c r="BU29" s="198"/>
      <c r="BV29" s="198"/>
      <c r="BW29" s="198"/>
      <c r="BX29" s="198"/>
      <c r="BY29" s="198"/>
      <c r="BZ29" s="198"/>
      <c r="CA29" s="198"/>
      <c r="CB29" s="198"/>
      <c r="CC29" s="198"/>
      <c r="CD29" s="198"/>
      <c r="CE29" s="198"/>
      <c r="CF29" s="198"/>
      <c r="CG29" s="198"/>
      <c r="CH29" s="198"/>
      <c r="CI29" s="198"/>
      <c r="CJ29" s="198"/>
      <c r="CK29" s="198"/>
      <c r="CL29" s="198"/>
      <c r="CM29" s="198"/>
      <c r="CN29" s="198"/>
      <c r="CO29" s="198"/>
      <c r="CP29" s="198"/>
      <c r="CQ29" s="198"/>
      <c r="CR29" s="198"/>
      <c r="CS29" s="198"/>
      <c r="CT29" s="198"/>
      <c r="CU29" s="198"/>
      <c r="CV29" s="198"/>
      <c r="CW29" s="198"/>
      <c r="CX29" s="198"/>
      <c r="CY29" s="198"/>
      <c r="CZ29" s="198"/>
      <c r="DA29" s="198"/>
      <c r="DB29" s="198"/>
      <c r="DC29" s="199"/>
    </row>
    <row r="30" spans="1:107" x14ac:dyDescent="0.25">
      <c r="A30" s="13"/>
      <c r="B30" s="209" t="s">
        <v>116</v>
      </c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209"/>
      <c r="BF30" s="210"/>
      <c r="BG30" s="197">
        <v>2</v>
      </c>
      <c r="BH30" s="198"/>
      <c r="BI30" s="198"/>
      <c r="BJ30" s="198"/>
      <c r="BK30" s="198"/>
      <c r="BL30" s="198"/>
      <c r="BM30" s="198"/>
      <c r="BN30" s="198"/>
      <c r="BO30" s="198"/>
      <c r="BP30" s="198"/>
      <c r="BQ30" s="198"/>
      <c r="BR30" s="198"/>
      <c r="BS30" s="199"/>
      <c r="BT30" s="197"/>
      <c r="BU30" s="198"/>
      <c r="BV30" s="198"/>
      <c r="BW30" s="198"/>
      <c r="BX30" s="198"/>
      <c r="BY30" s="198"/>
      <c r="BZ30" s="198"/>
      <c r="CA30" s="198"/>
      <c r="CB30" s="198"/>
      <c r="CC30" s="198"/>
      <c r="CD30" s="198"/>
      <c r="CE30" s="198"/>
      <c r="CF30" s="198"/>
      <c r="CG30" s="198"/>
      <c r="CH30" s="198"/>
      <c r="CI30" s="198"/>
      <c r="CJ30" s="198"/>
      <c r="CK30" s="198"/>
      <c r="CL30" s="198"/>
      <c r="CM30" s="198"/>
      <c r="CN30" s="198"/>
      <c r="CO30" s="198"/>
      <c r="CP30" s="198"/>
      <c r="CQ30" s="198"/>
      <c r="CR30" s="198"/>
      <c r="CS30" s="198"/>
      <c r="CT30" s="198"/>
      <c r="CU30" s="198"/>
      <c r="CV30" s="198"/>
      <c r="CW30" s="198"/>
      <c r="CX30" s="198"/>
      <c r="CY30" s="198"/>
      <c r="CZ30" s="198"/>
      <c r="DA30" s="198"/>
      <c r="DB30" s="198"/>
      <c r="DC30" s="199"/>
    </row>
    <row r="31" spans="1:107" x14ac:dyDescent="0.25">
      <c r="A31" s="13"/>
      <c r="B31" s="206" t="s">
        <v>117</v>
      </c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6"/>
      <c r="BD31" s="206"/>
      <c r="BE31" s="206"/>
      <c r="BF31" s="207"/>
      <c r="BG31" s="197">
        <v>3</v>
      </c>
      <c r="BH31" s="198"/>
      <c r="BI31" s="198"/>
      <c r="BJ31" s="198"/>
      <c r="BK31" s="198"/>
      <c r="BL31" s="198"/>
      <c r="BM31" s="198"/>
      <c r="BN31" s="198"/>
      <c r="BO31" s="198"/>
      <c r="BP31" s="198"/>
      <c r="BQ31" s="198"/>
      <c r="BR31" s="198"/>
      <c r="BS31" s="199"/>
      <c r="BT31" s="197"/>
      <c r="BU31" s="198"/>
      <c r="BV31" s="198"/>
      <c r="BW31" s="198"/>
      <c r="BX31" s="198"/>
      <c r="BY31" s="198"/>
      <c r="BZ31" s="198"/>
      <c r="CA31" s="198"/>
      <c r="CB31" s="198"/>
      <c r="CC31" s="198"/>
      <c r="CD31" s="198"/>
      <c r="CE31" s="198"/>
      <c r="CF31" s="198"/>
      <c r="CG31" s="198"/>
      <c r="CH31" s="198"/>
      <c r="CI31" s="198"/>
      <c r="CJ31" s="198"/>
      <c r="CK31" s="198"/>
      <c r="CL31" s="198"/>
      <c r="CM31" s="198"/>
      <c r="CN31" s="198"/>
      <c r="CO31" s="198"/>
      <c r="CP31" s="198"/>
      <c r="CQ31" s="198"/>
      <c r="CR31" s="198"/>
      <c r="CS31" s="198"/>
      <c r="CT31" s="198"/>
      <c r="CU31" s="198"/>
      <c r="CV31" s="198"/>
      <c r="CW31" s="198"/>
      <c r="CX31" s="198"/>
      <c r="CY31" s="198"/>
      <c r="CZ31" s="198"/>
      <c r="DA31" s="198"/>
      <c r="DB31" s="198"/>
      <c r="DC31" s="199"/>
    </row>
    <row r="32" spans="1:107" x14ac:dyDescent="0.25">
      <c r="A32" s="13"/>
      <c r="B32" s="206" t="s">
        <v>118</v>
      </c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6"/>
      <c r="BD32" s="206"/>
      <c r="BE32" s="206"/>
      <c r="BF32" s="207"/>
      <c r="BG32" s="197">
        <v>4</v>
      </c>
      <c r="BH32" s="198"/>
      <c r="BI32" s="198"/>
      <c r="BJ32" s="198"/>
      <c r="BK32" s="198"/>
      <c r="BL32" s="198"/>
      <c r="BM32" s="198"/>
      <c r="BN32" s="198"/>
      <c r="BO32" s="198"/>
      <c r="BP32" s="198"/>
      <c r="BQ32" s="198"/>
      <c r="BR32" s="198"/>
      <c r="BS32" s="199"/>
      <c r="BT32" s="197"/>
      <c r="BU32" s="198"/>
      <c r="BV32" s="198"/>
      <c r="BW32" s="198"/>
      <c r="BX32" s="198"/>
      <c r="BY32" s="198"/>
      <c r="BZ32" s="198"/>
      <c r="CA32" s="198"/>
      <c r="CB32" s="198"/>
      <c r="CC32" s="198"/>
      <c r="CD32" s="198"/>
      <c r="CE32" s="198"/>
      <c r="CF32" s="198"/>
      <c r="CG32" s="198"/>
      <c r="CH32" s="198"/>
      <c r="CI32" s="198"/>
      <c r="CJ32" s="198"/>
      <c r="CK32" s="198"/>
      <c r="CL32" s="198"/>
      <c r="CM32" s="198"/>
      <c r="CN32" s="198"/>
      <c r="CO32" s="198"/>
      <c r="CP32" s="198"/>
      <c r="CQ32" s="198"/>
      <c r="CR32" s="198"/>
      <c r="CS32" s="198"/>
      <c r="CT32" s="198"/>
      <c r="CU32" s="198"/>
      <c r="CV32" s="198"/>
      <c r="CW32" s="198"/>
      <c r="CX32" s="198"/>
      <c r="CY32" s="198"/>
      <c r="CZ32" s="198"/>
      <c r="DA32" s="198"/>
      <c r="DB32" s="198"/>
      <c r="DC32" s="199"/>
    </row>
    <row r="33" spans="1:107" ht="25.5" customHeight="1" x14ac:dyDescent="0.25">
      <c r="A33" s="13"/>
      <c r="B33" s="208" t="s">
        <v>119</v>
      </c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08"/>
      <c r="AO33" s="208"/>
      <c r="AP33" s="208"/>
      <c r="AQ33" s="208"/>
      <c r="AR33" s="208"/>
      <c r="AS33" s="208"/>
      <c r="AT33" s="208"/>
      <c r="AU33" s="208"/>
      <c r="AV33" s="208"/>
      <c r="AW33" s="208"/>
      <c r="AX33" s="208"/>
      <c r="AY33" s="208"/>
      <c r="AZ33" s="208"/>
      <c r="BA33" s="208"/>
      <c r="BB33" s="208"/>
      <c r="BC33" s="208"/>
      <c r="BD33" s="208"/>
      <c r="BE33" s="208"/>
      <c r="BF33" s="299"/>
      <c r="BG33" s="179">
        <v>5</v>
      </c>
      <c r="BH33" s="180"/>
      <c r="BI33" s="180"/>
      <c r="BJ33" s="180"/>
      <c r="BK33" s="180"/>
      <c r="BL33" s="180"/>
      <c r="BM33" s="180"/>
      <c r="BN33" s="180"/>
      <c r="BO33" s="180"/>
      <c r="BP33" s="180"/>
      <c r="BQ33" s="180"/>
      <c r="BR33" s="180"/>
      <c r="BS33" s="181"/>
      <c r="BT33" s="197"/>
      <c r="BU33" s="198"/>
      <c r="BV33" s="198"/>
      <c r="BW33" s="198"/>
      <c r="BX33" s="198"/>
      <c r="BY33" s="198"/>
      <c r="BZ33" s="198"/>
      <c r="CA33" s="198"/>
      <c r="CB33" s="198"/>
      <c r="CC33" s="198"/>
      <c r="CD33" s="198"/>
      <c r="CE33" s="198"/>
      <c r="CF33" s="198"/>
      <c r="CG33" s="198"/>
      <c r="CH33" s="198"/>
      <c r="CI33" s="198"/>
      <c r="CJ33" s="198"/>
      <c r="CK33" s="198"/>
      <c r="CL33" s="198"/>
      <c r="CM33" s="198"/>
      <c r="CN33" s="198"/>
      <c r="CO33" s="198"/>
      <c r="CP33" s="198"/>
      <c r="CQ33" s="198"/>
      <c r="CR33" s="198"/>
      <c r="CS33" s="198"/>
      <c r="CT33" s="198"/>
      <c r="CU33" s="198"/>
      <c r="CV33" s="198"/>
      <c r="CW33" s="198"/>
      <c r="CX33" s="198"/>
      <c r="CY33" s="198"/>
      <c r="CZ33" s="198"/>
      <c r="DA33" s="198"/>
      <c r="DB33" s="198"/>
      <c r="DC33" s="199"/>
    </row>
    <row r="37" spans="1:107" x14ac:dyDescent="0.25">
      <c r="F37" s="1" t="s">
        <v>120</v>
      </c>
      <c r="M37" s="12" t="s">
        <v>121</v>
      </c>
      <c r="N37" s="73"/>
      <c r="O37" s="73"/>
      <c r="P37" s="73"/>
      <c r="Q37" s="73"/>
      <c r="R37" s="27" t="s">
        <v>121</v>
      </c>
      <c r="S37" s="27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86">
        <v>200</v>
      </c>
      <c r="AJ37" s="86"/>
      <c r="AK37" s="86"/>
      <c r="AL37" s="86"/>
      <c r="AM37" s="241"/>
      <c r="AN37" s="241"/>
      <c r="AO37" s="241"/>
      <c r="AP37" s="1" t="s">
        <v>122</v>
      </c>
    </row>
    <row r="40" spans="1:107" x14ac:dyDescent="0.25">
      <c r="A40" s="1" t="s">
        <v>123</v>
      </c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</row>
    <row r="41" spans="1:107" s="2" customFormat="1" ht="10.199999999999999" x14ac:dyDescent="0.2">
      <c r="AB41" s="83" t="s">
        <v>124</v>
      </c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X41" s="83" t="s">
        <v>125</v>
      </c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</row>
    <row r="44" spans="1:107" x14ac:dyDescent="0.25">
      <c r="A44" s="1" t="s">
        <v>126</v>
      </c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</row>
    <row r="45" spans="1:107" s="2" customFormat="1" ht="10.199999999999999" x14ac:dyDescent="0.2">
      <c r="AB45" s="83" t="s">
        <v>124</v>
      </c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X45" s="83" t="s">
        <v>125</v>
      </c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</row>
    <row r="46" spans="1:107" x14ac:dyDescent="0.25"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</row>
    <row r="47" spans="1:107" x14ac:dyDescent="0.25"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</row>
    <row r="48" spans="1:107" x14ac:dyDescent="0.25"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</row>
    <row r="49" spans="1:51" x14ac:dyDescent="0.25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</row>
    <row r="50" spans="1:51" s="2" customFormat="1" ht="10.199999999999999" x14ac:dyDescent="0.2">
      <c r="A50" s="83" t="s">
        <v>127</v>
      </c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</row>
  </sheetData>
  <mergeCells count="93">
    <mergeCell ref="BD11:BL11"/>
    <mergeCell ref="BM11:CD11"/>
    <mergeCell ref="CE11:DC11"/>
    <mergeCell ref="B9:BC9"/>
    <mergeCell ref="BD9:BL9"/>
    <mergeCell ref="BM9:CD9"/>
    <mergeCell ref="CE9:DC9"/>
    <mergeCell ref="CE10:DC10"/>
    <mergeCell ref="B11:BC11"/>
    <mergeCell ref="B10:BC10"/>
    <mergeCell ref="BD10:BL10"/>
    <mergeCell ref="BM10:CD10"/>
    <mergeCell ref="B8:BC8"/>
    <mergeCell ref="A6:BC6"/>
    <mergeCell ref="A7:BC7"/>
    <mergeCell ref="BD7:BL7"/>
    <mergeCell ref="A1:DC1"/>
    <mergeCell ref="A2:DC2"/>
    <mergeCell ref="A3:DC3"/>
    <mergeCell ref="BD6:BL6"/>
    <mergeCell ref="CE6:DC6"/>
    <mergeCell ref="BM6:CD6"/>
    <mergeCell ref="CE7:DC7"/>
    <mergeCell ref="BD8:BL8"/>
    <mergeCell ref="BM8:CD8"/>
    <mergeCell ref="CE8:DC8"/>
    <mergeCell ref="BM7:CD7"/>
    <mergeCell ref="B13:BC13"/>
    <mergeCell ref="BD13:BL13"/>
    <mergeCell ref="BM13:CD13"/>
    <mergeCell ref="CE13:DC13"/>
    <mergeCell ref="B12:BC12"/>
    <mergeCell ref="BD12:BL12"/>
    <mergeCell ref="BM12:CD12"/>
    <mergeCell ref="CE12:DC12"/>
    <mergeCell ref="B14:BC14"/>
    <mergeCell ref="BD14:BL14"/>
    <mergeCell ref="BM14:CD14"/>
    <mergeCell ref="CE14:DC14"/>
    <mergeCell ref="B15:BC15"/>
    <mergeCell ref="BD15:BL15"/>
    <mergeCell ref="BM15:CD15"/>
    <mergeCell ref="CE15:DC15"/>
    <mergeCell ref="B16:BC16"/>
    <mergeCell ref="BD16:BL16"/>
    <mergeCell ref="BM16:CD16"/>
    <mergeCell ref="CE16:DC16"/>
    <mergeCell ref="B17:BC17"/>
    <mergeCell ref="BD17:BL17"/>
    <mergeCell ref="BM17:CD17"/>
    <mergeCell ref="CE17:DC17"/>
    <mergeCell ref="BT27:DC27"/>
    <mergeCell ref="BG27:BS27"/>
    <mergeCell ref="A27:BF27"/>
    <mergeCell ref="A24:DC24"/>
    <mergeCell ref="B18:BC18"/>
    <mergeCell ref="BD18:BL18"/>
    <mergeCell ref="BM18:CD18"/>
    <mergeCell ref="CE18:DC18"/>
    <mergeCell ref="A22:DC22"/>
    <mergeCell ref="A23:DC23"/>
    <mergeCell ref="BG29:BS29"/>
    <mergeCell ref="BT29:DC29"/>
    <mergeCell ref="B29:BF29"/>
    <mergeCell ref="A28:BF28"/>
    <mergeCell ref="BG28:BS28"/>
    <mergeCell ref="BT28:DC28"/>
    <mergeCell ref="B30:BF30"/>
    <mergeCell ref="BG30:BS30"/>
    <mergeCell ref="BT30:DC30"/>
    <mergeCell ref="B31:BF31"/>
    <mergeCell ref="BG31:BS31"/>
    <mergeCell ref="BT31:DC31"/>
    <mergeCell ref="BG32:BS32"/>
    <mergeCell ref="BT32:DC32"/>
    <mergeCell ref="B33:BF33"/>
    <mergeCell ref="BG33:BS33"/>
    <mergeCell ref="BT33:DC33"/>
    <mergeCell ref="N37:Q37"/>
    <mergeCell ref="T37:AH37"/>
    <mergeCell ref="AI37:AL37"/>
    <mergeCell ref="AM37:AO37"/>
    <mergeCell ref="B32:BF32"/>
    <mergeCell ref="A50:AY50"/>
    <mergeCell ref="AB44:AS44"/>
    <mergeCell ref="AX44:CC44"/>
    <mergeCell ref="AB45:AS45"/>
    <mergeCell ref="AX45:CC45"/>
    <mergeCell ref="AB40:AS40"/>
    <mergeCell ref="AX40:CC40"/>
    <mergeCell ref="AB41:AS41"/>
    <mergeCell ref="AX41:CC41"/>
    <mergeCell ref="A49:AY49"/>
  </mergeCells>
  <phoneticPr fontId="7" type="noConversion"/>
  <pageMargins left="0.78740157480314965" right="0.39370078740157483" top="0.59055118110236227" bottom="0.39370078740157483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141</vt:i4>
      </vt:variant>
    </vt:vector>
  </HeadingPairs>
  <TitlesOfParts>
    <vt:vector size="149" baseType="lpstr">
      <vt:lpstr>стр.1_Тит.л.</vt:lpstr>
      <vt:lpstr>стр.2_Табл.1_2</vt:lpstr>
      <vt:lpstr>стр.3_Табл.3</vt:lpstr>
      <vt:lpstr>стр.4_Табл.4_5</vt:lpstr>
      <vt:lpstr>стр.5_Табл.6</vt:lpstr>
      <vt:lpstr>стр.6_Табл.7_8</vt:lpstr>
      <vt:lpstr>стр.7_Табл.9_10</vt:lpstr>
      <vt:lpstr>стр.8_Табл.11_12</vt:lpstr>
      <vt:lpstr>AccountantName</vt:lpstr>
      <vt:lpstr>стр.1_Тит.л.!Address1</vt:lpstr>
      <vt:lpstr>стр.3_Табл.3!Address1</vt:lpstr>
      <vt:lpstr>стр.1_Тит.л.!Address2</vt:lpstr>
      <vt:lpstr>стр.3_Табл.3!Address2</vt:lpstr>
      <vt:lpstr>AmountOSI1</vt:lpstr>
      <vt:lpstr>AmountOSI2</vt:lpstr>
      <vt:lpstr>AmountOSI3</vt:lpstr>
      <vt:lpstr>AvarageList</vt:lpstr>
      <vt:lpstr>AvarageListInv</vt:lpstr>
      <vt:lpstr>AveragePayroll</vt:lpstr>
      <vt:lpstr>AverageWoman</vt:lpstr>
      <vt:lpstr>BaseSST</vt:lpstr>
      <vt:lpstr>BaseTravm1</vt:lpstr>
      <vt:lpstr>BaseTravm2</vt:lpstr>
      <vt:lpstr>BAseTravm3</vt:lpstr>
      <vt:lpstr>ChargeAmount1</vt:lpstr>
      <vt:lpstr>ChargeAmount2</vt:lpstr>
      <vt:lpstr>ChargeAmount3</vt:lpstr>
      <vt:lpstr>ChargeAmountBeg</vt:lpstr>
      <vt:lpstr>DirectorName</vt:lpstr>
      <vt:lpstr>ExpendOSI1</vt:lpstr>
      <vt:lpstr>ExpendOSI2</vt:lpstr>
      <vt:lpstr>ExpendOSI3</vt:lpstr>
      <vt:lpstr>ExpendStartQuartOSI</vt:lpstr>
      <vt:lpstr>ExpensesFSI1</vt:lpstr>
      <vt:lpstr>ExpensesFSI2</vt:lpstr>
      <vt:lpstr>ExpensesFSI3</vt:lpstr>
      <vt:lpstr>ExpensesFSIBegin</vt:lpstr>
      <vt:lpstr>ExpensesTravm1</vt:lpstr>
      <vt:lpstr>ExpensesTravm2</vt:lpstr>
      <vt:lpstr>ExpensesTravm3</vt:lpstr>
      <vt:lpstr>ExpensesTravmBegin</vt:lpstr>
      <vt:lpstr>стр.1_Тит.л.!FSIRegNumber</vt:lpstr>
      <vt:lpstr>стр.3_Табл.3!FSIRegNumber</vt:lpstr>
      <vt:lpstr>стр.1_Тит.л.!INN</vt:lpstr>
      <vt:lpstr>стр.3_Табл.3!INN</vt:lpstr>
      <vt:lpstr>InvalidBaseTravm1</vt:lpstr>
      <vt:lpstr>InvalidBaseTravm2</vt:lpstr>
      <vt:lpstr>InvalidBaseTravm3</vt:lpstr>
      <vt:lpstr>стр.1_Тит.л.!KPP</vt:lpstr>
      <vt:lpstr>стр.3_Табл.3!KPP</vt:lpstr>
      <vt:lpstr>Month1</vt:lpstr>
      <vt:lpstr>Month11</vt:lpstr>
      <vt:lpstr>Month2</vt:lpstr>
      <vt:lpstr>Month21</vt:lpstr>
      <vt:lpstr>Month3</vt:lpstr>
      <vt:lpstr>Month31</vt:lpstr>
      <vt:lpstr>стр.1_Тит.л.!NameCompany</vt:lpstr>
      <vt:lpstr>стр.3_Табл.3!NameCompany</vt:lpstr>
      <vt:lpstr>NotBaseTravm1</vt:lpstr>
      <vt:lpstr>NotBaseTravm2</vt:lpstr>
      <vt:lpstr>NotBaseTravm3</vt:lpstr>
      <vt:lpstr>стр.1_Тит.л.!OGRN</vt:lpstr>
      <vt:lpstr>стр.3_Табл.3!OGRN</vt:lpstr>
      <vt:lpstr>стр.1_Тит.л.!OKDP</vt:lpstr>
      <vt:lpstr>стр.3_Табл.3!OKDP</vt:lpstr>
      <vt:lpstr>стр.1_Тит.л.!OKFC</vt:lpstr>
      <vt:lpstr>стр.3_Табл.3!OKFC</vt:lpstr>
      <vt:lpstr>стр.1_Тит.л.!OKONH</vt:lpstr>
      <vt:lpstr>стр.3_Табл.3!OKONH</vt:lpstr>
      <vt:lpstr>стр.1_Тит.л.!OKOPF</vt:lpstr>
      <vt:lpstr>стр.3_Табл.3!OKOPF</vt:lpstr>
      <vt:lpstr>стр.1_Тит.л.!OKPO</vt:lpstr>
      <vt:lpstr>стр.3_Табл.3!OKPO</vt:lpstr>
      <vt:lpstr>стр.1_Тит.л.!OKVED</vt:lpstr>
      <vt:lpstr>стр.3_Табл.3!OKVED</vt:lpstr>
      <vt:lpstr>PayAmount1</vt:lpstr>
      <vt:lpstr>PayAmount2</vt:lpstr>
      <vt:lpstr>PayAmount3</vt:lpstr>
      <vt:lpstr>PayDate1</vt:lpstr>
      <vt:lpstr>PayDate2</vt:lpstr>
      <vt:lpstr>PayDate3</vt:lpstr>
      <vt:lpstr>PayDoc1</vt:lpstr>
      <vt:lpstr>PayDoc2</vt:lpstr>
      <vt:lpstr>PayDoc3</vt:lpstr>
      <vt:lpstr>PayTravm1</vt:lpstr>
      <vt:lpstr>PayTravm2</vt:lpstr>
      <vt:lpstr>PayTravm3</vt:lpstr>
      <vt:lpstr>PayTravmBegin</vt:lpstr>
      <vt:lpstr>PerfomerName</vt:lpstr>
      <vt:lpstr>стр.1_Тит.л.!PeriodRep</vt:lpstr>
      <vt:lpstr>стр.3_Табл.3!PeriodRep</vt:lpstr>
      <vt:lpstr>стр.1_Тит.л.!PrimaryActivity</vt:lpstr>
      <vt:lpstr>стр.3_Табл.3!PrimaryActivity</vt:lpstr>
      <vt:lpstr>стр.1_Тит.л.!PropertyForm1</vt:lpstr>
      <vt:lpstr>стр.3_Табл.3!PropertyForm1</vt:lpstr>
      <vt:lpstr>стр.1_Тит.л.!PropertyForm2</vt:lpstr>
      <vt:lpstr>стр.3_Табл.3!PropertyForm2</vt:lpstr>
      <vt:lpstr>стр.3_Табл.3!Range1</vt:lpstr>
      <vt:lpstr>стр.3_Табл.3!Range2</vt:lpstr>
      <vt:lpstr>стр.3_Табл.3!Range3</vt:lpstr>
      <vt:lpstr>стр.3_Табл.3!Range4</vt:lpstr>
      <vt:lpstr>стр.3_Табл.3!Range5</vt:lpstr>
      <vt:lpstr>стр.1_Тит.л.!ReportDate</vt:lpstr>
      <vt:lpstr>стр.3_Табл.3!ReportDate</vt:lpstr>
      <vt:lpstr>стр.3_Табл.3!SickListAmount1</vt:lpstr>
      <vt:lpstr>SickListAmount10</vt:lpstr>
      <vt:lpstr>SickListAmount102</vt:lpstr>
      <vt:lpstr>стр.3_Табл.3!SickListAmount11</vt:lpstr>
      <vt:lpstr>стр.3_Табл.3!SickListAmount12</vt:lpstr>
      <vt:lpstr>стр.3_Табл.3!SickListAmount2</vt:lpstr>
      <vt:lpstr>стр.3_Табл.3!SickListAmount22</vt:lpstr>
      <vt:lpstr>стр.3_Табл.3!SickListAmount3</vt:lpstr>
      <vt:lpstr>стр.3_Табл.3!SickListAmount4</vt:lpstr>
      <vt:lpstr>стр.3_Табл.3!SickListAmount5</vt:lpstr>
      <vt:lpstr>стр.3_Табл.3!SickListAmount6</vt:lpstr>
      <vt:lpstr>стр.3_Табл.3!SickListAmount7</vt:lpstr>
      <vt:lpstr>SickListAmount9</vt:lpstr>
      <vt:lpstr>SickListAmount92</vt:lpstr>
      <vt:lpstr>стр.3_Табл.3!SickListDay1</vt:lpstr>
      <vt:lpstr>SickListDay10</vt:lpstr>
      <vt:lpstr>SickListDay102</vt:lpstr>
      <vt:lpstr>стр.3_Табл.3!SickListDay11</vt:lpstr>
      <vt:lpstr>стр.3_Табл.3!SickListDay12</vt:lpstr>
      <vt:lpstr>стр.3_Табл.3!SickListDay2</vt:lpstr>
      <vt:lpstr>стр.3_Табл.3!SickListDay22</vt:lpstr>
      <vt:lpstr>стр.3_Табл.3!SickListDay3</vt:lpstr>
      <vt:lpstr>стр.3_Табл.3!SickListDay4</vt:lpstr>
      <vt:lpstr>стр.3_Табл.3!SickListDay5</vt:lpstr>
      <vt:lpstr>стр.3_Табл.3!SickListDay6</vt:lpstr>
      <vt:lpstr>стр.3_Табл.3!SickListDay7</vt:lpstr>
      <vt:lpstr>SickListDay9</vt:lpstr>
      <vt:lpstr>SickListDay92</vt:lpstr>
      <vt:lpstr>стр.3_Табл.3!SickListNum1</vt:lpstr>
      <vt:lpstr>стр.3_Табл.3!SickListNum12</vt:lpstr>
      <vt:lpstr>SickListNum3</vt:lpstr>
      <vt:lpstr>SickListNum31</vt:lpstr>
      <vt:lpstr>StartQuartOSIAmount</vt:lpstr>
      <vt:lpstr>TarifTravm</vt:lpstr>
      <vt:lpstr>TaxBenefit</vt:lpstr>
      <vt:lpstr>TotalBaseTravm</vt:lpstr>
      <vt:lpstr>TotalInvalidBaseTravm</vt:lpstr>
      <vt:lpstr>TotalNotBaseTravm</vt:lpstr>
      <vt:lpstr>стр.1_Тит.л.!Year</vt:lpstr>
      <vt:lpstr>стр.3_Табл.3!Year</vt:lpstr>
      <vt:lpstr>стр.1_Тит.л.!Область_печати</vt:lpstr>
      <vt:lpstr>стр.3_Табл.3!Область_печати</vt:lpstr>
      <vt:lpstr>стр.5_Табл.6!Область_печати</vt:lpstr>
      <vt:lpstr>стр.6_Табл.7_8!Область_печати</vt:lpstr>
      <vt:lpstr>стр.7_Табл.9_10!Область_печати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2010-04-21T11:17:15Z</dcterms:created>
  <dcterms:modified xsi:type="dcterms:W3CDTF">2010-04-21T11:17:33Z</dcterms:modified>
</cp:coreProperties>
</file>
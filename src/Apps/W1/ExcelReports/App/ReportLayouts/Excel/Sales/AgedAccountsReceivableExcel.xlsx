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x:workbook xmlns:x15ac="http://schemas.microsoft.com/office/spreadsheetml/2010/11/ac" xmlns:x14="http://schemas.microsoft.com/office/spreadsheetml/2009/9/main"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9929"/>
  <x:workbookPr codeName="ThisWorkbook"/>
  <mc:AlternateContent xmlns:mc="http://schemas.openxmlformats.org/markup-compatibility/2006">
    <mc:Choice Requires="x15">
      <x15ac:absPath xmlns:x15ac="http://schemas.microsoft.com/office/spreadsheetml/2010/11/ac" url="C:\git\NAV\App\BCApps\src\Apps\W1\ExcelReports\App\ReportLayouts\Excel\Sales\"/>
    </mc:Choice>
  </mc:AlternateContent>
  <xr:revisionPtr revIDLastSave="0" documentId="13_ncr:1_{D0FE640C-F6BE-48EF-986D-9714D2595588}" xr6:coauthVersionLast="47" xr6:coauthVersionMax="47" xr10:uidLastSave="{00000000-0000-0000-0000-000000000000}"/>
  <x:bookViews>
    <x:workbookView xWindow="-120" yWindow="-120" windowWidth="29040" windowHeight="15720" tabRatio="779" xr2:uid="{00000000-000D-0000-FFFF-FFFF00000000}"/>
  </x:bookViews>
  <x:sheets>
    <x:sheet name="$AgedAccountsReceivablePrint$" sheetId="17" r:id="rId1"/>
    <x:sheet name="$ByPeriodLCY$" sheetId="10" r:id="rId2"/>
    <x:sheet name="$ByPeriodFCY$" sheetId="15" r:id="rId3"/>
    <x:sheet name="$DueByCurrencies$" sheetId="16" r:id="rId4"/>
    <x:sheet name="TranslationData" sheetId="2" state="hidden" r:id="rId5"/>
    <x:sheet name="CustomerAgingData_Query" sheetId="12" state="hidden" r:id="rId6"/>
    <x:sheet name="CustomerAgingDataPrint" sheetId="23" state="hidden" r:id="rId7"/>
    <x:sheet name="CustomerAgingData" sheetId="5" state="hidden" r:id="rId8"/>
    <x:sheet name="AgingData" sheetId="8" state="hidden" r:id="rId9"/>
    <x:sheet name="Dimension1" sheetId="6" state="hidden" r:id="rId10"/>
    <x:sheet name="Dimension2" sheetId="7" state="hidden" r:id="rId11"/>
    <x:sheet name="$AboutTheReportLabel$" sheetId="19" r:id="rId12"/>
    <x:sheet name="CaptionData" sheetId="3" state="hidden" r:id="rId13"/>
    <x:sheet name="Aggregated Metadata" sheetId="4" state="hidden" r:id="rId14"/>
  </x:sheets>
  <x:definedNames>
    <x:definedName name="Caption.Amount2LCY" comment="Use this function to get the Amount2LCY from the CaptionData table in the CaptionData worksheet">_xlfn.XLOOKUP("Amount2LCY",#REF!,#REF!,"none",)</x:definedName>
    <x:definedName name="Caption.AmountLCY" comment="Use this function to get the AmountLCY from the CaptionData table in the CaptionData worksheet">_xlfn.XLOOKUP("AmountLCY",#REF!,#REF!,"none",)</x:definedName>
    <x:definedName name="Caption.CustomerName" comment="Use this function to get the CustomerName from the CaptionData table in the CaptionData worksheet">_xlfn.XLOOKUP("CustomerName",#REF!,#REF!,"none",)</x:definedName>
    <x:definedName name="Caption.CustomerNo" comment="Use this function to get the CustomerNo from the CaptionData table in the CaptionData worksheet">_xlfn.XLOOKUP("CustomerNo",#REF!,#REF!,"none",)</x:definedName>
    <x:definedName name="Caption.DataRetrieved" comment="Use this function to get the DataRetrieved from the CaptionData table in the CaptionData worksheet">_xlfn.XLOOKUP("DataRetrieved",#REF!,#REF!,"none",)</x:definedName>
    <x:definedName name="Caption.DateFilterLabel" comment="Use this function to get the DateFilterLabel from the CaptionData table in the CaptionData worksheet">_xlfn.XLOOKUP("DateFilterLabel",#REF!,#REF!,"none",)</x:definedName>
    <x:definedName name="Caption.RankAccordingTo" comment="Use this function to get the RankAccordingTo from the CaptionData table in the CaptionData worksheet">_xlfn.XLOOKUP("RankAccordingTo",#REF!,#REF!,"none",)</x:definedName>
    <x:definedName name="Caption.TopCustomerListLabel" comment="Use this function to get the TopCustomerListLabel from the CaptionData table in the CaptionData worksheet">_xlfn.XLOOKUP("TopCustomerListLabel",#REF!,#REF!,"none",)</x:definedName>
    <x:definedName name="DataRetrieved">#REF!</x:definedName>
    <x:definedName name="EndingDate">_xlfn.XLOOKUP("EndingDate", ReportRequestPageValues[Request Page Option], ReportRequestPageValues[Request Page Option Value])</x:definedName>
    <x:definedName name="ExternalData_1" localSheetId="5" hidden="1">CustomerAgingData_Query!$A$1:$S$2</x:definedName>
    <x:definedName name="ReportMetadata.AboutThisReportText" comment="Use this function to get the About This Report Text from the ReportMetadataValues table in the Aggregated Metadata worksheet" localSheetId="0">_xlfn.XLOOKUP("About This Report Text",ReportMetadataValues[[#All],[Report Property]],ReportMetadataValues[[#All],[Report Property Value]],"none")</x:definedName>
    <x: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x:definedName>
    <x:definedName name="ReportMetadata.AboutThisReportTitle" comment="Use this function to get the About This Report Title from the ReportMetadataValues table in the Aggregated Metadata worksheet" localSheetId="0">_xlfn.XLOOKUP("About This Report Title",ReportMetadataValues[[#All],[Report Property]],ReportMetadataValues[[#All],[Report Property Value]],"none")</x:definedName>
    <x: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x:definedName>
    <x:definedName name="ReportMetadata.ExtensionID" comment="Use this function to get the Extension ID from the ReportMetadataValues table in the Aggregated Metadata worksheet">_xlfn.XLOOKUP("Extension ID",#REF!,#REF!,"none",)</x:definedName>
    <x:definedName name="ReportMetadata.ExtensionName" comment="Use this function to get the Extension Name from the ReportMetadataValues table in the Aggregated Metadata worksheet" localSheetId="0">_xlfn.XLOOKUP("Extension Name",ReportMetadataValues[[#All],[Report Property]],ReportMetadataValues[[#All],[Report Property Value]],"none")</x:definedName>
    <x:definedName name="ReportMetadata.ExtensionName" comment="Use this function to get the Extension Name from the ReportMetadataValues table in the Aggregated Metadata worksheet">_xlfn.XLOOKUP("Extension Name",ReportMetadataValues[[#All],[Report Property]],ReportMetadataValues[[#All],[Report Property Value]],"none")</x:definedName>
    <x:definedName name="ReportMetadata.ExtensionPublisher" comment="Use this function to get the Extension Publisher from the ReportMetadataValues table in the Aggregated Metadata worksheet" localSheetId="0">_xlfn.XLOOKUP("Extension Publisher",ReportMetadataValues[[#All],[Report Property]],ReportMetadataValues[[#All],[Report Property Value]],"none")</x:definedName>
    <x: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x:definedName>
    <x:definedName name="ReportMetadata.ExtensionVersion" comment="Use this function to get the Extension Version from the ReportMetadataValues table in the Aggregated Metadata worksheet" localSheetId="0">_xlfn.XLOOKUP("Extension Version",ReportMetadataValues[[#All],[Report Property]],ReportMetadataValues[[#All],[Report Property Value]],"none")</x:definedName>
    <x: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x:definedName>
    <x:definedName name="ReportMetadata.ObjectID" comment="Use this function to get the Object ID from the ReportMetadataValues table in the Aggregated Metadata worksheet" localSheetId="0">_xlfn.XLOOKUP("Object ID",ReportMetadataValues[[#All],[Report Property]],ReportMetadataValues[[#All],[Report Property Value]],"none")</x:definedName>
    <x:definedName name="ReportMetadata.ObjectID" comment="Use this function to get the Object ID from the ReportMetadataValues table in the Aggregated Metadata worksheet">_xlfn.XLOOKUP("Object ID",ReportMetadataValues[[#All],[Report Property]],ReportMetadataValues[[#All],[Report Property Value]],"none")</x:definedName>
    <x:definedName name="ReportMetadata.ObjectName" comment="Use this function to get the Object Name from the ReportMetadataValues table in the Aggregated Metadata worksheet" localSheetId="0">_xlfn.XLOOKUP("Object Name",ReportMetadataValues[[#All],[Report Property]],ReportMetadataValues[[#All],[Report Property Value]],"none")</x:definedName>
    <x:definedName name="ReportMetadata.ObjectName" comment="Use this function to get the Object Name from the ReportMetadataValues table in the Aggregated Metadata worksheet">_xlfn.XLOOKUP("Object Name",ReportMetadataValues[[#All],[Report Property]],ReportMetadataValues[[#All],[Report Property Value]],"none")</x:definedName>
    <x:definedName name="ReportMetadata.ReportHelpLink" comment="Use this function to get the Report help link from the ReportMetadataValues table in the Aggregated Metadata worksheet" localSheetId="0">_xlfn.XLOOKUP("Report help link",ReportMetadataValues[[#All],[Report Property]],ReportMetadataValues[[#All],[Report Property Value]],"none")</x:definedName>
    <x: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x:definedName>
    <x:definedName name="ReportRequest.CompanyDisplayName" comment="Use this function to get the Company display name from the ReportRequestValues table in the Aggregated Metadata worksheet">_xlfn.XLOOKUP("Company display name",#REF!,#REF!,"none",)</x:definedName>
    <x:definedName name="ReportRequest.CompanyId" comment="Use this function to get the Company Id from the ReportRequestValues table in the Aggregated Metadata worksheet" localSheetId="0">_xlfn.XLOOKUP("Company Id",ReportRequestValues[[#All],[Request Property]],ReportRequestValues[[#All],[Request Property Value]],"none")</x:definedName>
    <x:definedName name="ReportRequest.CompanyId" comment="Use this function to get the Company Id from the ReportRequestValues table in the Aggregated Metadata worksheet">_xlfn.XLOOKUP("Company Id",ReportRequestValues[[#All],[Request Property]],ReportRequestValues[[#All],[Request Property Value]],"none")</x:definedName>
    <x:definedName name="ReportRequest.CompanyName" localSheetId="0">_xlfn.XLOOKUP("Company name",ReportRequestValues[[#All],[Request Property]],ReportRequestValues[[#All],[Request Property Value]],"none")</x:definedName>
    <x:definedName name="ReportRequest.CompanyName" comment="Use this function to get the Company name from the ReportRequestValues table in the Aggregated Metadata worksheet">_xlfn.XLOOKUP("Company name",ReportRequestValues[[#All],[Request Property]],ReportRequestValues[[#All],[Request Property Value]],"none")</x:definedName>
    <x:definedName name="ReportRequest.Date" localSheetId="0">_xlfn.XLOOKUP("Date",ReportRequestValues[[#All],[Request Property]],ReportRequestValues[[#All],[Request Property Value]],"none")</x:definedName>
    <x:definedName name="ReportRequest.Date" comment="Use this function to get the Date from the ReportRequestValues table in the Aggregated Metadata worksheet">_xlfn.XLOOKUP("Date",ReportRequestValues[[#All],[Request Property]],ReportRequestValues[[#All],[Request Property Value]],"none")</x:definedName>
    <x:definedName name="ReportRequest.EnvironmentName" comment="Use this function to get the Environment name from the ReportRequestValues table in the Aggregated Metadata worksheet" localSheetId="0">_xlfn.XLOOKUP("Environment name",ReportRequestValues[[#All],[Request Property]],ReportRequestValues[[#All],[Request Property Value]],"none")</x:definedName>
    <x: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x:definedName>
    <x:definedName name="ReportRequest.EnvironmentType" comment="Use this function to get the Environment type from the ReportRequestValues table in the Aggregated Metadata worksheet" localSheetId="0">_xlfn.XLOOKUP("Environment type",ReportRequestValues[[#All],[Request Property]],ReportRequestValues[[#All],[Request Property Value]],"none")</x:definedName>
    <x: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x:definedName>
    <x:definedName name="ReportRequest.FormatRegion" comment="Use this function to get the Format Region from the ReportRequestValues table in the Aggregated Metadata worksheet" localSheetId="0">_xlfn.XLOOKUP("Format Region",ReportRequestValues[[#All],[Request Property]],ReportRequestValues[[#All],[Request Property Value]],"none")</x:definedName>
    <x:definedName name="ReportRequest.FormatRegion" comment="Use this function to get the Format Region from the ReportRequestValues table in the Aggregated Metadata worksheet">_xlfn.XLOOKUP("Format Region",ReportRequestValues[[#All],[Request Property]],ReportRequestValues[[#All],[Request Property Value]],"none")</x:definedName>
    <x:definedName name="ReportRequest.Language" comment="Use this function to get the Language from the ReportRequestValues table in the Aggregated Metadata worksheet" localSheetId="0">_xlfn.XLOOKUP("Language",ReportRequestValues[[#All],[Request Property]],ReportRequestValues[[#All],[Request Property Value]],"none")</x:definedName>
    <x:definedName name="ReportRequest.Language" comment="Use this function to get the Language from the ReportRequestValues table in the Aggregated Metadata worksheet">_xlfn.XLOOKUP("Language",ReportRequestValues[[#All],[Request Property]],ReportRequestValues[[#All],[Request Property Value]],"none")</x:definedName>
    <x:definedName name="ReportRequest.TenantEntraId" comment="Use this function to get the Tenant Entra Id from the ReportRequestValues table in the Aggregated Metadata worksheet" localSheetId="0">_xlfn.XLOOKUP("Tenant Entra Id",ReportRequestValues[[#All],[Request Property]],ReportRequestValues[[#All],[Request Property Value]],"none")</x:definedName>
    <x:definedName name="ReportRequest.TenantEntraId" comment="Use this function to get the Tenant Entra Id from the ReportRequestValues table in the Aggregated Metadata worksheet">_xlfn.XLOOKUP("Tenant Entra Id",ReportRequestValues[[#All],[Request Property]],ReportRequestValues[[#All],[Request Property Value]],"none")</x:definedName>
    <x:definedName name="ReportRequest.TenantId" comment="Use this function to get the Tenant Id from the ReportRequestValues table in the Aggregated Metadata worksheet" localSheetId="0">_xlfn.XLOOKUP("Tenant Id",ReportRequestValues[[#All],[Request Property]],ReportRequestValues[[#All],[Request Property Value]],"none")</x:definedName>
    <x:definedName name="ReportRequest.TenantId" comment="Use this function to get the Tenant Id from the ReportRequestValues table in the Aggregated Metadata worksheet">_xlfn.XLOOKUP("Tenant Id",ReportRequestValues[[#All],[Request Property]],ReportRequestValues[[#All],[Request Property Value]],"none")</x:definedName>
    <x:definedName name="ReportRequest.UserName" comment="Use this function to get the User name from the ReportRequestValues table in the Aggregated Metadata worksheet" localSheetId="0">_xlfn.XLOOKUP("User name",ReportRequestValues[[#All],[Request Property]],ReportRequestValues[[#All],[Request Property Value]],"none")</x:definedName>
    <x:definedName name="ReportRequest.UserName" comment="Use this function to get the User name from the ReportRequestValues table in the Aggregated Metadata worksheet">_xlfn.XLOOKUP("User name",ReportRequestValues[[#All],[Request Property]],ReportRequestValues[[#All],[Request Property Value]],"none")</x:definedName>
    <x:definedName name="Slicer_CurrencyCode">#N/A</x:definedName>
    <x:definedName name="Slicer_CurrencyCode1">#N/A</x:definedName>
    <x:definedName name="Slicer_CustomerNumber">#N/A</x:definedName>
    <x:definedName name="Slicer_CustomerNumber1">#N/A</x:definedName>
    <x:definedName name="Slicer_CustomerNumber2">#N/A</x:definedName>
    <x:definedName name="Slicer_Dimension1Code">#N/A</x:definedName>
    <x:definedName name="Slicer_Dimension1Code1">#N/A</x:definedName>
    <x:definedName name="Slicer_Dimension1Code2">#N/A</x:definedName>
    <x:definedName name="Slicer_Dimension2Code">#N/A</x:definedName>
    <x:definedName name="Slicer_Dimension2Code1">#N/A</x:definedName>
    <x:definedName name="Slicer_Dimension2Code2">#N/A</x:definedName>
  </x:definedNames>
  <x:calcPr calcId="191029" forceFullCalc="1"/>
  <x:pivotCaches>
    <x:pivotCache cacheId="15" r:id="rId15"/>
    <x:pivotCache cacheId="19" r:id="rId16"/>
  </x:pivotCaches>
  <x:extLst>
    <x: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 r:id="rId24"/>
        <x14:slicerCache r:id="rId25"/>
        <x14:slicerCache r:id="rId26"/>
        <x14:slicerCache r:id="rId27"/>
      </x14:slicerCaches>
    </x:ext>
    <x:ext xmlns:x14="http://schemas.microsoft.com/office/spreadsheetml/2009/9/main" uri="{79F54976-1DA5-4618-B147-4CDE4B953A38}">
      <x14:workbookPr/>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calcChain xmlns="http://schemas.openxmlformats.org/spreadsheetml/2006/main">
  <c r="B6" i="19" l="1" a="1"/>
  <c r="B6" i="19" s="1"/>
  <c r="B5" i="19" a="1"/>
  <c r="B5" i="19" s="1"/>
  <c r="B4" i="19" a="1"/>
  <c r="B4" i="19" s="1"/>
  <c r="P4" i="17" a="1"/>
  <c r="P4" i="17" s="1"/>
  <c r="O4" i="17" a="1"/>
  <c r="O4" i="17" s="1"/>
  <c r="C6" i="17" a="1"/>
  <c r="C6" i="17" s="1"/>
  <c r="B6" i="17" a="1"/>
  <c r="B6" i="17" s="1"/>
  <c r="B4" i="17"/>
  <c r="B7" i="19" l="1"/>
  <c r="B3" i="19" a="1"/>
  <c r="B3" i="19" s="1"/>
  <c r="B2" i="19" a="1"/>
  <c r="B2" i="19" s="1"/>
  <c r="B1" i="19" a="1"/>
  <c r="B1" i="19" s="1"/>
  <c r="P2" i="17" l="1" a="1"/>
  <c r="P2"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769DE9-56CA-4154-AF17-23D448FB60C4}" keepAlive="1" name="Query - CustomerAgingDataAnalysis" description="Connection to the 'CustomerAgingDataAnalysis' query in the workbook." type="5" refreshedVersion="8" refreshOnLoad="1" saveData="1">
    <dbPr connection="Provider=Microsoft.Mashup.OleDb.1;Data Source=$Workbook$;Location=CustomerAgingDataAnalysis;Extended Properties=&quot;&quot;" command="SELECT * FROM [CustomerAgingDataAnalysis]"/>
  </connection>
  <connection id="2" xr16:uid="{6B976D4F-258B-43E3-8F8F-3CD1BA98E8C8}" keepAlive="1" name="Query - CustomerAgingDataPrint" description="Connection to the 'CustomerAgingDataPrint' query in the workbook." type="5" refreshedVersion="8" refreshOnLoad="1" saveData="1">
    <dbPr connection="Provider=Microsoft.Mashup.OleDb.1;Data Source=$Workbook$;Location=CustomerAgingDataPrint;Extended Properties=&quot;&quot;" command="SELECT * FROM [CustomerAgingDataPrin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<sst xmlns="http://schemas.openxmlformats.org/spreadsheetml/2006/main" count="329" uniqueCount="166">
  <si>
    <t>Language</t>
  </si>
  <si>
    <t>Value</t>
  </si>
  <si>
    <t>CaptionKey</t>
  </si>
  <si>
    <t>Caption</t>
  </si>
  <si>
    <t>Request Page Option</t>
  </si>
  <si>
    <t>Request Page Option Value</t>
  </si>
  <si>
    <t>Report Property</t>
  </si>
  <si>
    <t>Report Property Value</t>
  </si>
  <si>
    <t>Extension ID</t>
  </si>
  <si>
    <t>Extension Name</t>
  </si>
  <si>
    <t>Extension Publisher</t>
  </si>
  <si>
    <t>Extension Version</t>
  </si>
  <si>
    <t>Object ID</t>
  </si>
  <si>
    <t>Object Name</t>
  </si>
  <si>
    <t>About This Report Title</t>
  </si>
  <si>
    <t>About This Report Text</t>
  </si>
  <si>
    <t>Report help link</t>
  </si>
  <si>
    <t>Request Property</t>
  </si>
  <si>
    <t>Request Property Value</t>
  </si>
  <si>
    <t>Tenant Id</t>
  </si>
  <si>
    <t>Environment name</t>
  </si>
  <si>
    <t>Environment type</t>
  </si>
  <si>
    <t>Company name</t>
  </si>
  <si>
    <t>Company Id</t>
  </si>
  <si>
    <t>User name</t>
  </si>
  <si>
    <t>Date</t>
  </si>
  <si>
    <t>Format Region</t>
  </si>
  <si>
    <t>Filter</t>
  </si>
  <si>
    <t>Filter Value</t>
  </si>
  <si>
    <t>CustomerNumber</t>
  </si>
  <si>
    <t>CustomerName</t>
  </si>
  <si>
    <t>PeriodStart</t>
  </si>
  <si>
    <t>PeriodEnd</t>
  </si>
  <si>
    <t>RemainingAmount</t>
  </si>
  <si>
    <t>OriginalAmount</t>
  </si>
  <si>
    <t>RemainingAmountLCY</t>
  </si>
  <si>
    <t>OriginalAmountLCY</t>
  </si>
  <si>
    <t>Dimension1Code</t>
  </si>
  <si>
    <t>Dimension2Code</t>
  </si>
  <si>
    <t>CurrencyCode</t>
  </si>
  <si>
    <t>PostingDate</t>
  </si>
  <si>
    <t>DocumentDate</t>
  </si>
  <si>
    <t>DueDate</t>
  </si>
  <si>
    <t>EntryNo</t>
  </si>
  <si>
    <t>Dim1Code</t>
  </si>
  <si>
    <t>Dim1Name</t>
  </si>
  <si>
    <t>Dim2Code</t>
  </si>
  <si>
    <t>Dim2Name</t>
  </si>
  <si>
    <t/>
  </si>
  <si>
    <t>CustomerAgingData::Customer::0::No.</t>
  </si>
  <si>
    <t>AgingData::Aging Report Buffer::4::Source No.</t>
  </si>
  <si>
    <t>Dimension1::Dimension Value::2::Global Dimension No.</t>
  </si>
  <si>
    <t>Dimension2::Dimension Value::2::Global Dimension No.</t>
  </si>
  <si>
    <t>VendorDisplayName</t>
  </si>
  <si>
    <t>VendorNo</t>
  </si>
  <si>
    <t>Grand Total</t>
  </si>
  <si>
    <t>$OpenAmountsInLCY$</t>
  </si>
  <si>
    <t>$OpenAmountsInFCY$</t>
  </si>
  <si>
    <t>Qtr1</t>
  </si>
  <si>
    <t>$CustomerName$</t>
  </si>
  <si>
    <t>$CustomerNumber$</t>
  </si>
  <si>
    <t>$DueDate$</t>
  </si>
  <si>
    <t>BLANK</t>
  </si>
  <si>
    <t>1900</t>
  </si>
  <si>
    <t>$DueDateMonth$</t>
  </si>
  <si>
    <t>$OpenByFCY$</t>
  </si>
  <si>
    <t>$DueDateYear$</t>
  </si>
  <si>
    <t>$DueDateQuarter$</t>
  </si>
  <si>
    <t>$CurrencyCodeDisplay$</t>
  </si>
  <si>
    <t>ReportingDate</t>
  </si>
  <si>
    <t>ReportingDate_Month</t>
  </si>
  <si>
    <t>ReportingDate_Quarter</t>
  </si>
  <si>
    <t>ReportingDate_Year</t>
  </si>
  <si>
    <t>Jan</t>
  </si>
  <si>
    <t>$ReportingDate_Year$</t>
  </si>
  <si>
    <t>$ReportingDate_Quarter$</t>
  </si>
  <si>
    <t>$ReportingDate_Month$</t>
  </si>
  <si>
    <t>$ReportingDate$</t>
  </si>
  <si>
    <t>AgedAsOf</t>
  </si>
  <si>
    <t>Aged as of:</t>
  </si>
  <si>
    <t>Company name placeholder</t>
  </si>
  <si>
    <t>User name placeholder</t>
  </si>
  <si>
    <t>Date placeholder</t>
  </si>
  <si>
    <t>Language placeholder</t>
  </si>
  <si>
    <t>Format Region placeholder</t>
  </si>
  <si>
    <t>Environment name placeholder</t>
  </si>
  <si>
    <t>About this report title placeholder</t>
  </si>
  <si>
    <t>Balance (LCY)</t>
  </si>
  <si>
    <t>$AgedAccountsReceivable$</t>
  </si>
  <si>
    <t>No.</t>
  </si>
  <si>
    <t>Name</t>
  </si>
  <si>
    <t>Period Start Date</t>
  </si>
  <si>
    <t>Period End Date</t>
  </si>
  <si>
    <t>Remaining Amount</t>
  </si>
  <si>
    <t>Original Amount</t>
  </si>
  <si>
    <t>Remaining Amount (LCY)</t>
  </si>
  <si>
    <t>Original Amount (LCY)</t>
  </si>
  <si>
    <t>Department Code</t>
  </si>
  <si>
    <t>Project Code</t>
  </si>
  <si>
    <t>Posting Date</t>
  </si>
  <si>
    <t>Document Date</t>
  </si>
  <si>
    <t>Due Date</t>
  </si>
  <si>
    <t>Posting Date (Month)</t>
  </si>
  <si>
    <t>Posting Date (Quarter)</t>
  </si>
  <si>
    <t>Posting Date (Year)</t>
  </si>
  <si>
    <t>Entry No.</t>
  </si>
  <si>
    <t>Code</t>
  </si>
  <si>
    <t>ByPeriodLCY</t>
  </si>
  <si>
    <t>By period (LCY)</t>
  </si>
  <si>
    <t>BalanceLCY</t>
  </si>
  <si>
    <t>AgedAccountsReceivableByPeriodLCY</t>
  </si>
  <si>
    <t>Aged Accounts Receivable by Period (LCY)</t>
  </si>
  <si>
    <t>OpenAmountsInLCY</t>
  </si>
  <si>
    <t>Open amounts in LCY</t>
  </si>
  <si>
    <t>ByPeriodFCY</t>
  </si>
  <si>
    <t>By Period (FCY)</t>
  </si>
  <si>
    <t>BalanceFCY</t>
  </si>
  <si>
    <t>Balance (FCY)</t>
  </si>
  <si>
    <t>AgedAccountsReceivableByPeriodFCY</t>
  </si>
  <si>
    <t>Aged Accounts Receivable by Period (FCY)</t>
  </si>
  <si>
    <t>OpenAmountsInFCY</t>
  </si>
  <si>
    <t>Open amounts in FCY</t>
  </si>
  <si>
    <t>AgedAccountsReceivableDueByCurrencyFCY</t>
  </si>
  <si>
    <t>Aged Accounts Receivable due by Currency (FCY)</t>
  </si>
  <si>
    <t>DueDateMonth</t>
  </si>
  <si>
    <t>Due Date (Month)</t>
  </si>
  <si>
    <t>DueDateQuarter</t>
  </si>
  <si>
    <t>Due Date (Quarter)</t>
  </si>
  <si>
    <t>DueDateYear</t>
  </si>
  <si>
    <t>Due Date (Year)</t>
  </si>
  <si>
    <t>PostingDateYear</t>
  </si>
  <si>
    <t>PostingDateMonth</t>
  </si>
  <si>
    <t>PostingDateQuarter</t>
  </si>
  <si>
    <t>DocumentDateMonth</t>
  </si>
  <si>
    <t>Document Date (Month)</t>
  </si>
  <si>
    <t>DocumentDateQuarter</t>
  </si>
  <si>
    <t>Document Date (Quarter)</t>
  </si>
  <si>
    <t>DocumentDateYear</t>
  </si>
  <si>
    <t>Document Date (Year)</t>
  </si>
  <si>
    <t>DueByCurrencies</t>
  </si>
  <si>
    <t>Due by Currencies</t>
  </si>
  <si>
    <t>OpenByFCY</t>
  </si>
  <si>
    <t>Open by (FCY)</t>
  </si>
  <si>
    <t>DataRetrieved</t>
  </si>
  <si>
    <t>Data retrieved:</t>
  </si>
  <si>
    <t>CurrencyCodeDisplay</t>
  </si>
  <si>
    <t>Currency Code</t>
  </si>
  <si>
    <t>AgedAccountsReceivable</t>
  </si>
  <si>
    <t>Aged Accounts Receivable</t>
  </si>
  <si>
    <t>$EnvironmentLabel$</t>
  </si>
  <si>
    <t>$CompanyLabel$</t>
  </si>
  <si>
    <t>$UserLabel$</t>
  </si>
  <si>
    <t>$RunOnLabel$</t>
  </si>
  <si>
    <t>$ReportNameLabel$</t>
  </si>
  <si>
    <t>$DocumentationLabel$</t>
  </si>
  <si>
    <t>(blank)</t>
  </si>
  <si>
    <t>$PeriodStart$</t>
  </si>
  <si>
    <t>$PeriodEnd$</t>
  </si>
  <si>
    <t>$PostingDate$</t>
  </si>
  <si>
    <t>$DocumentDate$</t>
  </si>
  <si>
    <t>$RemainingAmount$</t>
  </si>
  <si>
    <t>$OriginalAmount$</t>
  </si>
  <si>
    <t>$RemainingAmountLCY$</t>
  </si>
  <si>
    <t>$OriginalAmountLCY$</t>
  </si>
  <si>
    <t>DocumentType</t>
  </si>
  <si>
    <t>DocumentNo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</si>
</sst>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F400]h:mm:ss\ AM/PM"/>
  </numFmts>
  <fonts count="19" x14ac:knownFonts="1">
    <font>
      <sz val="10"/>
      <name val="Segoe UI"/>
      <family val="2"/>
      <scheme val="minor"/>
    </font>
    <font>
      <sz val="11"/>
      <color theme="1"/>
      <name val="Segoe UI"/>
      <family val="2"/>
      <scheme val="minor"/>
    </font>
    <font>
      <b/>
      <sz val="11"/>
      <name val="Segoe UI"/>
      <family val="2"/>
      <scheme val="minor"/>
    </font>
    <font>
      <sz val="11"/>
      <name val="Segoe UI"/>
      <family val="2"/>
      <scheme val="minor"/>
    </font>
    <font>
      <sz val="10"/>
      <name val="Segoe UI"/>
      <family val="2"/>
      <scheme val="minor"/>
    </font>
    <font>
      <sz val="10"/>
      <name val="Segoe UI Semibold"/>
      <family val="2"/>
      <scheme val="major"/>
    </font>
    <font>
      <b/>
      <sz val="10"/>
      <name val="Segoe UI"/>
      <family val="2"/>
      <scheme val="minor"/>
    </font>
    <font>
      <sz val="8"/>
      <name val="Segoe UI"/>
      <family val="2"/>
      <scheme val="minor"/>
    </font>
    <font>
      <sz val="10"/>
      <color theme="1"/>
      <name val="Segoe UI"/>
      <family val="2"/>
      <scheme val="minor"/>
    </font>
    <font>
      <sz val="10"/>
      <color theme="1"/>
      <name val="Segoe UI Semibold"/>
      <family val="2"/>
      <scheme val="major"/>
    </font>
    <font>
      <u/>
      <sz val="10"/>
      <color theme="10"/>
      <name val="Segoe UI"/>
      <family val="2"/>
      <scheme val="minor"/>
    </font>
    <font>
      <b/>
      <sz val="15"/>
      <color theme="1"/>
      <name val="Segoe UI"/>
      <family val="2"/>
      <scheme val="minor"/>
    </font>
    <font>
      <b/>
      <sz val="18"/>
      <color theme="1"/>
      <name val="Segoe UI Semibold"/>
      <family val="2"/>
      <scheme val="major"/>
    </font>
    <font>
      <b/>
      <sz val="13"/>
      <color theme="1"/>
      <name val="Segoe UI"/>
      <family val="2"/>
      <scheme val="minor"/>
    </font>
    <font>
      <b/>
      <sz val="10"/>
      <color theme="1"/>
      <name val="Segoe UI Semibold"/>
      <family val="2"/>
      <scheme val="major"/>
    </font>
    <font>
      <sz val="10"/>
      <name val="Segoe UI Semibold"/>
      <scheme val="major"/>
    </font>
    <font>
      <sz val="14"/>
      <name val="Segoe UI"/>
      <family val="2"/>
      <scheme val="minor"/>
    </font>
    <font>
      <sz val="14"/>
      <name val="Segoe UI Semibold"/>
      <family val="2"/>
      <scheme val="major"/>
    </font>
    <font>
      <sz val="10"/>
      <color rgb="FF212121"/>
      <name val="Segoe UI"/>
      <family val="2"/>
      <scheme val="minor"/>
    </font>
  </fonts>
  <fills count="3">
    <fill>
      <patternFill patternType="none"/>
    </fill>
    <fill>
      <patternFill patternType="gray125"/>
    </fill>
    <fill>
      <patternFill patternType="solid">
        <fgColor rgb="FFC0C0C0"/>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6">
    <xf numFmtId="0" fontId="0" fillId="0" borderId="0"/>
    <xf numFmtId="0" fontId="3" fillId="0" borderId="0"/>
    <xf numFmtId="0" fontId="10" fillId="0" borderId="0" applyNumberFormat="0" applyFill="0" applyBorder="0" applyAlignment="0" applyProtection="0"/>
    <xf numFmtId="0" fontId="11" fillId="0" borderId="1" applyNumberFormat="0" applyFill="0" applyBorder="0" applyAlignment="0" applyProtection="0"/>
    <xf numFmtId="0" fontId="13" fillId="0" borderId="2" applyNumberFormat="0" applyFill="0" applyAlignment="0" applyProtection="0"/>
    <xf numFmtId="0" fontId="1" fillId="0" borderId="0"/>
  </cellStyleXfs>
  <cellXfs count="36">
    <xf numFmtId="0" fontId="0" fillId="0" borderId="0" xfId="0"/>
    <xf numFmtId="49" fontId="2" fillId="2" borderId="0" xfId="0" applyNumberFormat="1" applyFont="1" applyFill="1"/>
    <xf numFmtId="14" fontId="0" fillId="0" borderId="0" xfId="0" applyNumberFormat="1"/>
    <xf numFmtId="0" fontId="4" fillId="0" borderId="0" xfId="0" applyFont="1"/>
    <xf numFmtId="1" fontId="3" fillId="0" borderId="0" xfId="0" applyNumberFormat="1" applyFont="1"/>
    <xf numFmtId="14" fontId="3" fillId="0" borderId="0" xfId="0" applyNumberFormat="1" applyFont="1"/>
    <xf numFmtId="49" fontId="3" fillId="0" borderId="0" xfId="0" applyNumberFormat="1" applyFont="1"/>
    <xf numFmtId="4" fontId="3" fillId="0" borderId="0" xfId="0" applyNumberFormat="1" applyFont="1"/>
    <xf numFmtId="0" fontId="5" fillId="0" borderId="0" xfId="0" applyFont="1"/>
    <xf numFmtId="0" fontId="6" fillId="0" borderId="0" xfId="0" applyFont="1"/>
    <xf numFmtId="0" fontId="9" fillId="0" borderId="0" xfId="0" applyFont="1" applyAlignment="1">
      <alignment vertical="center"/>
    </xf>
    <xf numFmtId="0" fontId="8" fillId="0" borderId="0" xfId="0" applyFont="1" applyAlignment="1">
      <alignment horizontal="left" vertical="center"/>
    </xf>
    <xf numFmtId="0" fontId="12" fillId="0" borderId="0" xfId="3" applyFont="1" applyBorder="1" applyAlignment="1">
      <alignment vertical="center"/>
    </xf>
    <xf numFmtId="0" fontId="14" fillId="0" borderId="2" xfId="4" applyFont="1" applyAlignment="1">
      <alignment horizontal="right" vertical="center"/>
    </xf>
    <xf numFmtId="0" fontId="8" fillId="0" borderId="0" xfId="0" applyFont="1" applyAlignment="1">
      <alignment horizontal="right" vertical="center"/>
    </xf>
    <xf numFmtId="0" fontId="5" fillId="0" borderId="0" xfId="0" applyFont="1" applyAlignment="1">
      <alignment vertical="center"/>
    </xf>
    <xf numFmtId="0" fontId="0" fillId="0" borderId="0" xfId="0" applyAlignment="1">
      <alignment vertical="center"/>
    </xf>
    <xf numFmtId="4" fontId="0" fillId="0" borderId="0" xfId="0" applyNumberFormat="1" applyAlignment="1">
      <alignment vertical="center"/>
    </xf>
    <xf numFmtId="0" fontId="4" fillId="0" borderId="0" xfId="1" applyFont="1" applyAlignment="1">
      <alignment horizontal="right" vertical="center"/>
    </xf>
    <xf numFmtId="0" fontId="0" fillId="0" borderId="0" xfId="0" applyAlignment="1">
      <alignment horizontal="right" vertical="center"/>
    </xf>
    <xf numFmtId="14" fontId="0" fillId="0" borderId="0" xfId="0" applyNumberFormat="1" applyAlignment="1">
      <alignment horizontal="right" vertical="center"/>
    </xf>
    <xf numFmtId="0" fontId="15" fillId="0" borderId="0" xfId="0" pivotButton="1" applyFont="1" applyAlignment="1">
      <alignment vertical="center"/>
    </xf>
    <xf numFmtId="0" fontId="15" fillId="0" borderId="0" xfId="0" applyFont="1" applyAlignment="1">
      <alignment vertical="center"/>
    </xf>
    <xf numFmtId="0" fontId="16" fillId="0" borderId="0" xfId="0" applyFont="1" applyAlignment="1">
      <alignment vertical="center"/>
    </xf>
    <xf numFmtId="0" fontId="17" fillId="0" borderId="0" xfId="0" applyFont="1" applyAlignment="1">
      <alignment vertical="center"/>
    </xf>
    <xf numFmtId="164" fontId="8" fillId="0" borderId="0" xfId="0" applyNumberFormat="1" applyFont="1" applyAlignment="1">
      <alignment horizontal="left" vertical="center"/>
    </xf>
    <xf numFmtId="14" fontId="0" fillId="0" borderId="0" xfId="0" applyNumberFormat="1" applyAlignment="1">
      <alignment horizontal="left" vertical="center"/>
    </xf>
    <xf numFmtId="164" fontId="8" fillId="0" borderId="0" xfId="0" applyNumberFormat="1" applyFont="1" applyAlignment="1">
      <alignment horizontal="right" vertical="center"/>
    </xf>
    <xf numFmtId="0" fontId="18" fillId="0" borderId="0" xfId="0" applyFont="1" applyAlignment="1">
      <alignment horizontal="left" vertical="center"/>
    </xf>
    <xf numFmtId="165" fontId="8" fillId="0" borderId="0" xfId="0" applyNumberFormat="1" applyFont="1" applyAlignment="1">
      <alignment horizontal="left" vertical="center"/>
    </xf>
    <xf numFmtId="0" fontId="10" fillId="0" borderId="0" xfId="2" applyAlignment="1">
      <alignment horizontal="left" vertical="center"/>
    </xf>
    <xf numFmtId="1" fontId="0" fillId="0" borderId="0" xfId="0" applyNumberFormat="1" applyFont="1"/>
    <xf numFmtId="49" fontId="6" fillId="2" borderId="0" xfId="0" applyNumberFormat="1" applyFont="1" applyFill="1"/>
    <xf numFmtId="0" fontId="5" fillId="0" borderId="0" xfId="0" applyFont="1" applyAlignment="1">
      <alignment horizontal="right" vertical="center"/>
    </xf>
    <xf numFmtId="0" fontId="5" fillId="0" borderId="0" xfId="0" pivotButton="1" applyFont="1" applyAlignment="1">
      <alignment vertical="center"/>
    </xf>
    <xf numFmtId="0" fontId="5" fillId="0" borderId="0" xfId="0" pivotButton="1" applyFont="1" applyAlignment="1">
      <alignment horizontal="right" vertical="center"/>
    </xf>
  </cellXfs>
  <cellStyles count="6">
    <cellStyle name="Heading 1 2" xfId="3" xr:uid="{831056EC-3E31-4D20-9087-F5AE8A7DA30B}"/>
    <cellStyle name="Heading 2 2" xfId="4" xr:uid="{4EF4D902-23C6-42DB-B356-808E9C4EDB92}"/>
    <cellStyle name="Hyperlink" xfId="2" builtinId="8"/>
    <cellStyle name="Normal" xfId="0" builtinId="0" customBuiltin="1"/>
    <cellStyle name="Normal 2" xfId="1" xr:uid="{9F7825F6-D39D-4A62-85A6-6B6C01FD3505}"/>
    <cellStyle name="Normal 3" xfId="5" xr:uid="{70C79448-89F4-4165-91C9-7E994EEC9722}"/>
  </cellStyles>
  <dxfs count="1267">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name val="Segoe UI Semibold"/>
        <scheme val="major"/>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name val="Segoe UI Semibold"/>
        <scheme val="major"/>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name val="Segoe UI Semibold"/>
        <scheme val="major"/>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name val="Segoe UI Semibold"/>
        <scheme val="major"/>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name val="Segoe UI Semibold"/>
        <scheme val="major"/>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name val="Segoe UI Semibold"/>
        <scheme val="major"/>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name val="Segoe UI Semibold"/>
        <scheme val="major"/>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name val="Segoe UI Semibold"/>
        <scheme val="major"/>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name val="Segoe UI Semibold"/>
        <scheme val="major"/>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name val="Segoe UI Semibold"/>
        <scheme val="major"/>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name val="Segoe UI Semibold"/>
        <scheme val="major"/>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name val="Segoe UI Semibold"/>
        <scheme val="major"/>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name val="Segoe UI Semibold"/>
        <scheme val="major"/>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font>
        <b val="0"/>
        <i val="0"/>
        <strike val="0"/>
        <condense val="0"/>
        <extend val="0"/>
        <outline val="0"/>
        <shadow val="0"/>
        <u val="none"/>
        <vertAlign val="baseline"/>
        <sz val="10"/>
        <color auto="1"/>
        <name val="Segoe UI"/>
        <family val="2"/>
        <scheme val="minor"/>
      </font>
      <numFmt numFmtId="1" formatCode="0"/>
    </dxf>
    <dxf>
      <font>
        <b val="0"/>
        <i val="0"/>
        <strike val="0"/>
        <condense val="0"/>
        <extend val="0"/>
        <outline val="0"/>
        <shadow val="0"/>
        <u val="none"/>
        <vertAlign val="baseline"/>
        <sz val="11"/>
        <color auto="1"/>
        <name val="Segoe UI"/>
        <family val="2"/>
        <scheme val="minor"/>
      </font>
      <numFmt numFmtId="1" formatCode="0"/>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name val="Segoe UI Semibold"/>
        <scheme val="major"/>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numFmt numFmtId="19" formatCode="m/d/yyyy"/>
    </dxf>
    <dxf>
      <numFmt numFmtId="19" formatCode="m/d/yyyy"/>
    </dxf>
    <dxf>
      <numFmt numFmtId="19" formatCode="m/d/yyyy"/>
    </dxf>
    <dxf>
      <numFmt numFmtId="19" formatCode="m/d/yyyy"/>
    </dxf>
    <dxf>
      <numFmt numFmtId="19" formatCode="m/d/yyyy"/>
    </dxf>
    <dxf>
      <numFmt numFmtId="19" formatCode="m/d/yyyy"/>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strike val="0"/>
        <outline val="0"/>
        <shadow val="0"/>
        <u val="none"/>
        <vertAlign val="baseline"/>
        <sz val="10"/>
        <color auto="1"/>
        <name val="Segoe UI Semibold"/>
        <family val="2"/>
        <scheme val="major"/>
      </font>
      <fill>
        <patternFill patternType="none">
          <fgColor indexed="64"/>
          <bgColor auto="1"/>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strike val="0"/>
        <outline val="0"/>
        <shadow val="0"/>
        <u val="none"/>
        <vertAlign val="baseline"/>
        <sz val="10"/>
        <color auto="1"/>
        <name val="Segoe UI"/>
        <family val="2"/>
        <scheme val="minor"/>
      </font>
      <numFmt numFmtId="1" formatCode="0"/>
    </dxf>
    <dxf>
      <font>
        <strike val="0"/>
        <outline val="0"/>
        <shadow val="0"/>
        <u val="none"/>
        <vertAlign val="baseline"/>
        <sz val="10"/>
        <color auto="1"/>
        <name val="Segoe UI"/>
        <family val="2"/>
        <scheme val="minor"/>
      </font>
      <numFmt numFmtId="167" formatCode="dd/mm/yyyy"/>
    </dxf>
    <dxf>
      <font>
        <strike val="0"/>
        <outline val="0"/>
        <shadow val="0"/>
        <u val="none"/>
        <vertAlign val="baseline"/>
        <sz val="10"/>
        <color auto="1"/>
        <name val="Segoe UI"/>
        <family val="2"/>
        <scheme val="minor"/>
      </font>
      <numFmt numFmtId="167" formatCode="dd/mm/yyyy"/>
    </dxf>
    <dxf>
      <font>
        <strike val="0"/>
        <outline val="0"/>
        <shadow val="0"/>
        <u val="none"/>
        <vertAlign val="baseline"/>
        <sz val="10"/>
        <color auto="1"/>
        <name val="Segoe UI"/>
        <family val="2"/>
        <scheme val="minor"/>
      </font>
      <numFmt numFmtId="167" formatCode="dd/mm/yyyy"/>
    </dxf>
    <dxf>
      <font>
        <strike val="0"/>
        <outline val="0"/>
        <shadow val="0"/>
        <u val="none"/>
        <vertAlign val="baseline"/>
        <sz val="10"/>
        <color auto="1"/>
        <name val="Segoe UI"/>
        <family val="2"/>
        <scheme val="minor"/>
      </font>
      <numFmt numFmtId="30" formatCode="@"/>
    </dxf>
    <dxf>
      <font>
        <strike val="0"/>
        <outline val="0"/>
        <shadow val="0"/>
        <u val="none"/>
        <vertAlign val="baseline"/>
        <sz val="10"/>
        <color auto="1"/>
        <name val="Segoe UI"/>
        <family val="2"/>
        <scheme val="minor"/>
      </font>
      <numFmt numFmtId="30" formatCode="@"/>
    </dxf>
    <dxf>
      <font>
        <strike val="0"/>
        <outline val="0"/>
        <shadow val="0"/>
        <u val="none"/>
        <vertAlign val="baseline"/>
        <sz val="10"/>
        <color auto="1"/>
        <name val="Segoe UI"/>
        <family val="2"/>
        <scheme val="minor"/>
      </font>
      <numFmt numFmtId="30" formatCode="@"/>
    </dxf>
    <dxf>
      <font>
        <strike val="0"/>
        <outline val="0"/>
        <shadow val="0"/>
        <u val="none"/>
        <vertAlign val="baseline"/>
        <sz val="10"/>
        <color auto="1"/>
        <name val="Segoe UI"/>
        <family val="2"/>
        <scheme val="minor"/>
      </font>
      <numFmt numFmtId="4" formatCode="#,##0.00"/>
    </dxf>
    <dxf>
      <font>
        <strike val="0"/>
        <outline val="0"/>
        <shadow val="0"/>
        <u val="none"/>
        <vertAlign val="baseline"/>
        <sz val="10"/>
        <color auto="1"/>
        <name val="Segoe UI"/>
        <family val="2"/>
        <scheme val="minor"/>
      </font>
      <numFmt numFmtId="4" formatCode="#,##0.00"/>
    </dxf>
    <dxf>
      <font>
        <strike val="0"/>
        <outline val="0"/>
        <shadow val="0"/>
        <u val="none"/>
        <vertAlign val="baseline"/>
        <sz val="10"/>
        <color auto="1"/>
        <name val="Segoe UI"/>
        <family val="2"/>
        <scheme val="minor"/>
      </font>
      <numFmt numFmtId="4" formatCode="#,##0.00"/>
    </dxf>
    <dxf>
      <font>
        <strike val="0"/>
        <outline val="0"/>
        <shadow val="0"/>
        <u val="none"/>
        <vertAlign val="baseline"/>
        <sz val="10"/>
        <color auto="1"/>
        <name val="Segoe UI"/>
        <family val="2"/>
        <scheme val="minor"/>
      </font>
      <numFmt numFmtId="4" formatCode="#,##0.00"/>
    </dxf>
    <dxf>
      <font>
        <strike val="0"/>
        <outline val="0"/>
        <shadow val="0"/>
        <u val="none"/>
        <vertAlign val="baseline"/>
        <sz val="10"/>
        <color auto="1"/>
        <name val="Segoe UI"/>
        <family val="2"/>
        <scheme val="minor"/>
      </font>
      <numFmt numFmtId="167" formatCode="dd/mm/yyyy"/>
    </dxf>
    <dxf>
      <font>
        <strike val="0"/>
        <outline val="0"/>
        <shadow val="0"/>
        <u val="none"/>
        <vertAlign val="baseline"/>
        <sz val="10"/>
        <color auto="1"/>
        <name val="Segoe UI"/>
        <family val="2"/>
        <scheme val="minor"/>
      </font>
      <numFmt numFmtId="167" formatCode="dd/mm/yyyy"/>
    </dxf>
    <dxf>
      <font>
        <b val="0"/>
        <i val="0"/>
        <strike val="0"/>
        <condense val="0"/>
        <extend val="0"/>
        <outline val="0"/>
        <shadow val="0"/>
        <u val="none"/>
        <vertAlign val="baseline"/>
        <sz val="10"/>
        <color auto="1"/>
        <name val="Segoe UI"/>
        <family val="2"/>
        <scheme val="minor"/>
      </font>
      <numFmt numFmtId="167" formatCode="dd/mm/yyyy"/>
    </dxf>
    <dxf>
      <font>
        <strike val="0"/>
        <outline val="0"/>
        <shadow val="0"/>
        <u val="none"/>
        <vertAlign val="baseline"/>
        <sz val="10"/>
        <color auto="1"/>
        <name val="Segoe UI"/>
        <family val="2"/>
        <scheme val="minor"/>
      </font>
      <numFmt numFmtId="30" formatCode="@"/>
    </dxf>
    <dxf>
      <font>
        <strike val="0"/>
        <outline val="0"/>
        <shadow val="0"/>
        <u val="none"/>
        <vertAlign val="baseline"/>
        <sz val="10"/>
        <color auto="1"/>
        <name val="Segoe UI"/>
        <family val="2"/>
        <scheme val="minor"/>
      </font>
    </dxf>
    <dxf>
      <font>
        <b/>
        <i val="0"/>
        <strike val="0"/>
        <condense val="0"/>
        <extend val="0"/>
        <outline val="0"/>
        <shadow val="0"/>
        <u val="none"/>
        <vertAlign val="baseline"/>
        <sz val="10"/>
        <color auto="1"/>
        <name val="Segoe UI Semibold"/>
        <family val="2"/>
        <scheme val="major"/>
      </font>
      <numFmt numFmtId="30" formatCode="@"/>
      <fill>
        <patternFill patternType="solid">
          <fgColor indexed="64"/>
          <bgColor rgb="FFC0C0C0"/>
        </patternFill>
      </fill>
    </dxf>
    <dxf>
      <font>
        <b val="0"/>
        <i val="0"/>
        <strike val="0"/>
        <condense val="0"/>
        <extend val="0"/>
        <outline val="0"/>
        <shadow val="0"/>
        <u val="none"/>
        <vertAlign val="baseline"/>
        <sz val="11"/>
        <color auto="1"/>
        <name val="Segoe UI"/>
        <family val="2"/>
        <scheme val="minor"/>
      </font>
      <numFmt numFmtId="30" formatCode="@"/>
    </dxf>
    <dxf>
      <font>
        <b val="0"/>
        <i val="0"/>
        <strike val="0"/>
        <condense val="0"/>
        <extend val="0"/>
        <outline val="0"/>
        <shadow val="0"/>
        <u val="none"/>
        <vertAlign val="baseline"/>
        <sz val="11"/>
        <color auto="1"/>
        <name val="Segoe UI"/>
        <family val="2"/>
        <scheme val="minor"/>
      </font>
      <numFmt numFmtId="1" formatCode="0"/>
    </dxf>
    <dxf>
      <font>
        <b val="0"/>
        <i val="0"/>
        <strike val="0"/>
        <condense val="0"/>
        <extend val="0"/>
        <outline val="0"/>
        <shadow val="0"/>
        <u val="none"/>
        <vertAlign val="baseline"/>
        <sz val="11"/>
        <color auto="1"/>
        <name val="Segoe UI"/>
        <family val="2"/>
        <scheme val="minor"/>
      </font>
      <numFmt numFmtId="1" formatCode="0"/>
    </dxf>
    <dxf>
      <font>
        <b val="0"/>
        <i val="0"/>
        <strike val="0"/>
        <condense val="0"/>
        <extend val="0"/>
        <outline val="0"/>
        <shadow val="0"/>
        <u val="none"/>
        <vertAlign val="baseline"/>
        <sz val="11"/>
        <color auto="1"/>
        <name val="Segoe UI"/>
        <family val="2"/>
        <scheme val="minor"/>
      </font>
      <numFmt numFmtId="1" formatCode="0"/>
    </dxf>
    <dxf>
      <font>
        <b val="0"/>
        <i val="0"/>
        <strike val="0"/>
        <condense val="0"/>
        <extend val="0"/>
        <outline val="0"/>
        <shadow val="0"/>
        <u val="none"/>
        <vertAlign val="baseline"/>
        <sz val="11"/>
        <color auto="1"/>
        <name val="Segoe UI"/>
        <family val="2"/>
        <scheme val="minor"/>
      </font>
      <numFmt numFmtId="1" formatCode="0"/>
    </dxf>
    <dxf>
      <font>
        <b val="0"/>
        <i val="0"/>
        <strike val="0"/>
        <condense val="0"/>
        <extend val="0"/>
        <outline val="0"/>
        <shadow val="0"/>
        <u val="none"/>
        <vertAlign val="baseline"/>
        <sz val="11"/>
        <color auto="1"/>
        <name val="Segoe UI"/>
        <family val="2"/>
        <scheme val="minor"/>
      </font>
      <numFmt numFmtId="19" formatCode="m/d/yyyy"/>
    </dxf>
    <dxf>
      <font>
        <b val="0"/>
        <i val="0"/>
        <strike val="0"/>
        <condense val="0"/>
        <extend val="0"/>
        <outline val="0"/>
        <shadow val="0"/>
        <u val="none"/>
        <vertAlign val="baseline"/>
        <sz val="11"/>
        <color auto="1"/>
        <name val="Segoe UI"/>
        <family val="2"/>
        <scheme val="minor"/>
      </font>
      <numFmt numFmtId="19" formatCode="m/d/yyyy"/>
    </dxf>
    <dxf>
      <font>
        <b val="0"/>
        <i val="0"/>
        <strike val="0"/>
        <condense val="0"/>
        <extend val="0"/>
        <outline val="0"/>
        <shadow val="0"/>
        <u val="none"/>
        <vertAlign val="baseline"/>
        <sz val="11"/>
        <color auto="1"/>
        <name val="Segoe UI"/>
        <family val="2"/>
        <scheme val="minor"/>
      </font>
      <numFmt numFmtId="19" formatCode="m/d/yyyy"/>
    </dxf>
    <dxf>
      <font>
        <b val="0"/>
        <i val="0"/>
        <strike val="0"/>
        <condense val="0"/>
        <extend val="0"/>
        <outline val="0"/>
        <shadow val="0"/>
        <u val="none"/>
        <vertAlign val="baseline"/>
        <sz val="11"/>
        <color auto="1"/>
        <name val="Segoe UI"/>
        <family val="2"/>
        <scheme val="minor"/>
      </font>
      <numFmt numFmtId="19" formatCode="m/d/yyyy"/>
    </dxf>
    <dxf>
      <font>
        <b val="0"/>
        <i val="0"/>
        <strike val="0"/>
        <condense val="0"/>
        <extend val="0"/>
        <outline val="0"/>
        <shadow val="0"/>
        <u val="none"/>
        <vertAlign val="baseline"/>
        <sz val="11"/>
        <color auto="1"/>
        <name val="Segoe UI"/>
        <family val="2"/>
        <scheme val="minor"/>
      </font>
      <numFmt numFmtId="30" formatCode="@"/>
    </dxf>
    <dxf>
      <font>
        <b val="0"/>
        <i val="0"/>
        <strike val="0"/>
        <condense val="0"/>
        <extend val="0"/>
        <outline val="0"/>
        <shadow val="0"/>
        <u val="none"/>
        <vertAlign val="baseline"/>
        <sz val="11"/>
        <color auto="1"/>
        <name val="Segoe UI"/>
        <family val="2"/>
        <scheme val="minor"/>
      </font>
      <numFmt numFmtId="30" formatCode="@"/>
    </dxf>
    <dxf>
      <font>
        <b val="0"/>
        <i val="0"/>
        <strike val="0"/>
        <condense val="0"/>
        <extend val="0"/>
        <outline val="0"/>
        <shadow val="0"/>
        <u val="none"/>
        <vertAlign val="baseline"/>
        <sz val="11"/>
        <color auto="1"/>
        <name val="Segoe UI"/>
        <family val="2"/>
        <scheme val="minor"/>
      </font>
      <numFmt numFmtId="30" formatCode="@"/>
    </dxf>
    <dxf>
      <font>
        <b val="0"/>
        <i val="0"/>
        <strike val="0"/>
        <condense val="0"/>
        <extend val="0"/>
        <outline val="0"/>
        <shadow val="0"/>
        <u val="none"/>
        <vertAlign val="baseline"/>
        <sz val="11"/>
        <color auto="1"/>
        <name val="Segoe UI"/>
        <family val="2"/>
        <scheme val="minor"/>
      </font>
      <numFmt numFmtId="4" formatCode="#,##0.00"/>
    </dxf>
    <dxf>
      <font>
        <b val="0"/>
        <i val="0"/>
        <strike val="0"/>
        <condense val="0"/>
        <extend val="0"/>
        <outline val="0"/>
        <shadow val="0"/>
        <u val="none"/>
        <vertAlign val="baseline"/>
        <sz val="11"/>
        <color auto="1"/>
        <name val="Segoe UI"/>
        <family val="2"/>
        <scheme val="minor"/>
      </font>
      <numFmt numFmtId="4" formatCode="#,##0.00"/>
    </dxf>
    <dxf>
      <font>
        <b val="0"/>
        <i val="0"/>
        <strike val="0"/>
        <condense val="0"/>
        <extend val="0"/>
        <outline val="0"/>
        <shadow val="0"/>
        <u val="none"/>
        <vertAlign val="baseline"/>
        <sz val="11"/>
        <color auto="1"/>
        <name val="Segoe UI"/>
        <family val="2"/>
        <scheme val="minor"/>
      </font>
      <numFmt numFmtId="4" formatCode="#,##0.00"/>
    </dxf>
    <dxf>
      <font>
        <b val="0"/>
        <i val="0"/>
        <strike val="0"/>
        <condense val="0"/>
        <extend val="0"/>
        <outline val="0"/>
        <shadow val="0"/>
        <u val="none"/>
        <vertAlign val="baseline"/>
        <sz val="11"/>
        <color auto="1"/>
        <name val="Segoe UI"/>
        <family val="2"/>
        <scheme val="minor"/>
      </font>
      <numFmt numFmtId="4" formatCode="#,##0.00"/>
    </dxf>
    <dxf>
      <font>
        <b val="0"/>
        <i val="0"/>
        <strike val="0"/>
        <condense val="0"/>
        <extend val="0"/>
        <outline val="0"/>
        <shadow val="0"/>
        <u val="none"/>
        <vertAlign val="baseline"/>
        <sz val="11"/>
        <color auto="1"/>
        <name val="Segoe UI"/>
        <family val="2"/>
        <scheme val="minor"/>
      </font>
      <numFmt numFmtId="19" formatCode="m/d/yyyy"/>
    </dxf>
    <dxf>
      <font>
        <b val="0"/>
        <i val="0"/>
        <strike val="0"/>
        <condense val="0"/>
        <extend val="0"/>
        <outline val="0"/>
        <shadow val="0"/>
        <u val="none"/>
        <vertAlign val="baseline"/>
        <sz val="11"/>
        <color auto="1"/>
        <name val="Segoe UI"/>
        <family val="2"/>
        <scheme val="minor"/>
      </font>
      <numFmt numFmtId="19" formatCode="m/d/yyyy"/>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0"/>
        <color auto="1"/>
        <name val="Segoe UI Semibold"/>
        <family val="2"/>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ill>
        <patternFill>
          <bgColor theme="0"/>
        </patternFill>
      </fill>
    </dxf>
    <dxf>
      <fill>
        <patternFill>
          <bgColor theme="2"/>
        </patternFill>
      </fill>
    </dxf>
    <dxf>
      <font>
        <b/>
        <i val="0"/>
      </font>
      <border>
        <top style="thin">
          <color rgb="FF212121"/>
        </top>
        <bottom style="thick">
          <color rgb="FF212121"/>
        </bottom>
      </border>
    </dxf>
    <dxf>
      <font>
        <color theme="1"/>
      </font>
      <fill>
        <patternFill>
          <bgColor theme="5"/>
        </patternFill>
      </fill>
      <border>
        <horizontal/>
      </border>
    </dxf>
    <dxf>
      <border>
        <top style="thin">
          <color theme="4"/>
        </top>
        <bottom style="thin">
          <color theme="4"/>
        </bottom>
        <horizontal style="thin">
          <color theme="4"/>
        </horizontal>
      </border>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fill>
        <patternFill>
          <bgColor rgb="FFF6F7F8"/>
        </patternFill>
      </fill>
    </dxf>
    <dxf>
      <font>
        <b/>
        <i val="0"/>
      </font>
      <border>
        <top style="thin">
          <color theme="1"/>
        </top>
        <bottom style="thick">
          <color theme="1"/>
        </bottom>
      </border>
    </dxf>
    <dxf>
      <font>
        <b val="0"/>
        <i val="0"/>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3" defaultTableStyle="Business Central Reports Table Style (Template)" defaultPivotStyle="Business Central Pivot Table Style (Template)">
    <tableStyle name="Business Central Pivot Table Style (Template)" table="0" count="4" xr9:uid="{84D255C7-2FF3-43E5-80BA-893765BDCC6C}">
      <tableStyleElement type="wholeTable" dxfId="1266"/>
      <tableStyleElement type="headerRow" dxfId="1265"/>
      <tableStyleElement type="totalRow" dxfId="1264"/>
      <tableStyleElement type="secondRowStripe" dxfId="1263"/>
    </tableStyle>
    <tableStyle name="Business Central Reports Slicer Style (Template)" pivot="0" table="0" count="10" xr9:uid="{767EC278-4817-4A30-9E2E-0C791289ED49}">
      <tableStyleElement type="wholeTable" dxfId="1262"/>
      <tableStyleElement type="headerRow" dxfId="1261"/>
    </tableStyle>
    <tableStyle name="Business Central Reports Table Style (Template)" pivot="0" count="5" xr9:uid="{7B4CFA1E-CB41-42C2-B7E8-71AD08D61855}">
      <tableStyleElement type="wholeTable" dxfId="1260"/>
      <tableStyleElement type="headerRow" dxfId="1259"/>
      <tableStyleElement type="totalRow" dxfId="1258"/>
      <tableStyleElement type="firstRowStripe" dxfId="1257"/>
      <tableStyleElement type="secondRowStripe" dxfId="1256"/>
    </tableStyle>
  </tableStyles>
  <extLst>
    <ext xmlns:x14="http://schemas.microsoft.com/office/spreadsheetml/2009/9/main" uri="{46F421CA-312F-682f-3DD2-61675219B42D}">
      <x14:dxfs count="8">
        <dxf>
          <border diagonalUp="0" diagonalDown="0">
            <left style="thin">
              <color rgb="FF212121"/>
            </left>
            <right style="thin">
              <color rgb="FF212121"/>
            </right>
            <top style="thin">
              <color rgb="FF212121"/>
            </top>
            <bottom style="thin">
              <color rgb="FF212121"/>
            </bottom>
            <vertical/>
            <horizontal/>
          </border>
        </dxf>
        <dxf>
          <border>
            <left style="thin">
              <color rgb="FF212121"/>
            </left>
            <right style="thin">
              <color rgb="FF212121"/>
            </right>
            <top style="thin">
              <color rgb="FF212121"/>
            </top>
            <bottom style="thin">
              <color rgb="FF212121"/>
            </bottom>
          </border>
        </dxf>
        <dxf>
          <border>
            <left style="thin">
              <color rgb="FF212121"/>
            </left>
            <right style="thin">
              <color rgb="FF212121"/>
            </right>
            <top style="thin">
              <color rgb="FF212121"/>
            </top>
            <bottom style="thin">
              <color rgb="FF212121"/>
            </bottom>
          </border>
        </dxf>
        <dxf>
          <border diagonalUp="0" diagonalDown="0">
            <left style="thin">
              <color rgb="FF212121"/>
            </left>
            <right style="thin">
              <color rgb="FF212121"/>
            </right>
            <top style="thin">
              <color rgb="FF212121"/>
            </top>
            <bottom style="thin">
              <color rgb="FF212121"/>
            </bottom>
            <vertical/>
            <horizontal/>
          </border>
        </dxf>
        <dxf>
          <font>
            <b val="0"/>
            <i/>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name val="Segoe UI"/>
            <family val="2"/>
            <scheme val="minor"/>
          </font>
          <fill>
            <patternFill>
              <bgColor rgb="FFF5F7F8"/>
            </patternFill>
          </fill>
        </dxf>
        <dxf>
          <fill>
            <patternFill>
              <bgColor rgb="FFB2E9ED"/>
            </patternFill>
          </fill>
        </dxf>
      </x14:dxfs>
    </ext>
    <ext xmlns:x14="http://schemas.microsoft.com/office/spreadsheetml/2009/9/main" uri="{EB79DEF2-80B8-43e5-95BD-54CBDDF9020C}">
      <x14:slicerStyles defaultSlicerStyle="Business Central Reports Slicer Style (Template)">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2.xml"/><Relationship Id="rId26" Type="http://schemas.microsoft.com/office/2007/relationships/slicerCache" Target="slicerCaches/slicerCache10.xml"/><Relationship Id="rId3" Type="http://schemas.openxmlformats.org/officeDocument/2006/relationships/worksheet" Target="worksheets/sheet3.xml"/><Relationship Id="rId21" Type="http://schemas.microsoft.com/office/2007/relationships/slicerCache" Target="slicerCaches/slicerCache5.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microsoft.com/office/2007/relationships/slicerCache" Target="slicerCaches/slicerCache9.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4.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8.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7.xml"/><Relationship Id="rId28"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3.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 Id="rId27" Type="http://schemas.microsoft.com/office/2007/relationships/slicerCache" Target="slicerCaches/slicerCache11.xml"/><Relationship Id="rId30" Type="http://schemas.openxmlformats.org/officeDocument/2006/relationships/styles" Target="styles.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editAs="absolute">
    <xdr:from>
      <xdr:col>0</xdr:col>
      <xdr:colOff>19896</xdr:colOff>
      <xdr:row>0</xdr:row>
      <xdr:rowOff>561</xdr:rowOff>
    </xdr:from>
    <xdr:to>
      <xdr:col>0</xdr:col>
      <xdr:colOff>1828371</xdr:colOff>
      <xdr:row>10</xdr:row>
      <xdr:rowOff>172161</xdr:rowOff>
    </xdr:to>
    <mc:AlternateContent xmlns:mc="http://schemas.openxmlformats.org/markup-compatibility/2006" xmlns:a14="http://schemas.microsoft.com/office/drawing/2010/main">
      <mc:Choice Requires="a14">
        <xdr:graphicFrame macro="">
          <xdr:nvGraphicFramePr>
            <xdr:cNvPr id="3" name="$Dimension1Code$">
              <a:extLst>
                <a:ext uri="{FF2B5EF4-FFF2-40B4-BE49-F238E27FC236}">
                  <a16:creationId xmlns:a16="http://schemas.microsoft.com/office/drawing/2014/main" id="{DA53E889-C99B-93F0-AC8A-84950749877D}"/>
                </a:ext>
              </a:extLst>
            </xdr:cNvPr>
            <xdr:cNvGraphicFramePr/>
          </xdr:nvGraphicFramePr>
          <xdr:xfrm>
            <a:off x="0" y="0"/>
            <a:ext cx="0" cy="0"/>
          </xdr:xfrm>
          <a:graphic>
            <a:graphicData uri="http://schemas.microsoft.com/office/drawing/2010/slicer">
              <sle:slicer xmlns:sle="http://schemas.microsoft.com/office/drawing/2010/slicer" name="$Dimension1Code$"/>
            </a:graphicData>
          </a:graphic>
        </xdr:graphicFrame>
      </mc:Choice>
      <mc:Fallback xmlns="">
        <xdr:sp macro="" textlink="">
          <xdr:nvSpPr>
            <xdr:cNvPr id="0" name=""/>
            <xdr:cNvSpPr>
              <a:spLocks noTextEdit="1"/>
            </xdr:cNvSpPr>
          </xdr:nvSpPr>
          <xdr:spPr>
            <a:xfrm>
              <a:off x="10371" y="561"/>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1890382</xdr:colOff>
      <xdr:row>0</xdr:row>
      <xdr:rowOff>561</xdr:rowOff>
    </xdr:from>
    <xdr:to>
      <xdr:col>0</xdr:col>
      <xdr:colOff>3693142</xdr:colOff>
      <xdr:row>10</xdr:row>
      <xdr:rowOff>172161</xdr:rowOff>
    </xdr:to>
    <mc:AlternateContent xmlns:mc="http://schemas.openxmlformats.org/markup-compatibility/2006" xmlns:a14="http://schemas.microsoft.com/office/drawing/2010/main">
      <mc:Choice Requires="a14">
        <xdr:graphicFrame macro="">
          <xdr:nvGraphicFramePr>
            <xdr:cNvPr id="4" name="$Dimension2Code$">
              <a:extLst>
                <a:ext uri="{FF2B5EF4-FFF2-40B4-BE49-F238E27FC236}">
                  <a16:creationId xmlns:a16="http://schemas.microsoft.com/office/drawing/2014/main" id="{D7D8846E-B6BE-93CC-A579-43EABA8F23F4}"/>
                </a:ext>
              </a:extLst>
            </xdr:cNvPr>
            <xdr:cNvGraphicFramePr/>
          </xdr:nvGraphicFramePr>
          <xdr:xfrm>
            <a:off x="0" y="0"/>
            <a:ext cx="0" cy="0"/>
          </xdr:xfrm>
          <a:graphic>
            <a:graphicData uri="http://schemas.microsoft.com/office/drawing/2010/slicer">
              <sle:slicer xmlns:sle="http://schemas.microsoft.com/office/drawing/2010/slicer" name="$Dimension2Code$"/>
            </a:graphicData>
          </a:graphic>
        </xdr:graphicFrame>
      </mc:Choice>
      <mc:Fallback xmlns="">
        <xdr:sp macro="" textlink="">
          <xdr:nvSpPr>
            <xdr:cNvPr id="0" name=""/>
            <xdr:cNvSpPr>
              <a:spLocks noTextEdit="1"/>
            </xdr:cNvSpPr>
          </xdr:nvSpPr>
          <xdr:spPr>
            <a:xfrm>
              <a:off x="1875142" y="561"/>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22436</xdr:colOff>
      <xdr:row>10</xdr:row>
      <xdr:rowOff>226831</xdr:rowOff>
    </xdr:from>
    <xdr:to>
      <xdr:col>0</xdr:col>
      <xdr:colOff>1816306</xdr:colOff>
      <xdr:row>21</xdr:row>
      <xdr:rowOff>99981</xdr:rowOff>
    </xdr:to>
    <mc:AlternateContent xmlns:mc="http://schemas.openxmlformats.org/markup-compatibility/2006" xmlns:a14="http://schemas.microsoft.com/office/drawing/2010/main">
      <mc:Choice Requires="a14">
        <xdr:graphicFrame macro="">
          <xdr:nvGraphicFramePr>
            <xdr:cNvPr id="6" name="$CustomerNumber$">
              <a:extLst>
                <a:ext uri="{FF2B5EF4-FFF2-40B4-BE49-F238E27FC236}">
                  <a16:creationId xmlns:a16="http://schemas.microsoft.com/office/drawing/2014/main" id="{2A50EB83-2D2A-0C3C-5050-FD1815959097}"/>
                </a:ext>
              </a:extLst>
            </xdr:cNvPr>
            <xdr:cNvGraphicFramePr/>
          </xdr:nvGraphicFramePr>
          <xdr:xfrm>
            <a:off x="0" y="0"/>
            <a:ext cx="0" cy="0"/>
          </xdr:xfrm>
          <a:graphic>
            <a:graphicData uri="http://schemas.microsoft.com/office/drawing/2010/slicer">
              <sle:slicer xmlns:sle="http://schemas.microsoft.com/office/drawing/2010/slicer" name="$CustomerNumber$"/>
            </a:graphicData>
          </a:graphic>
        </xdr:graphicFrame>
      </mc:Choice>
      <mc:Fallback xmlns="">
        <xdr:sp macro="" textlink="">
          <xdr:nvSpPr>
            <xdr:cNvPr id="0" name=""/>
            <xdr:cNvSpPr>
              <a:spLocks noTextEdit="1"/>
            </xdr:cNvSpPr>
          </xdr:nvSpPr>
          <xdr:spPr>
            <a:xfrm>
              <a:off x="3386" y="2648721"/>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2981</xdr:colOff>
      <xdr:row>0</xdr:row>
      <xdr:rowOff>1465</xdr:rowOff>
    </xdr:from>
    <xdr:to>
      <xdr:col>0</xdr:col>
      <xdr:colOff>1814631</xdr:colOff>
      <xdr:row>11</xdr:row>
      <xdr:rowOff>149570</xdr:rowOff>
    </xdr:to>
    <mc:AlternateContent xmlns:mc="http://schemas.openxmlformats.org/markup-compatibility/2006" xmlns:a14="http://schemas.microsoft.com/office/drawing/2010/main">
      <mc:Choice Requires="a14">
        <xdr:graphicFrame macro="">
          <xdr:nvGraphicFramePr>
            <xdr:cNvPr id="3" name="$Dimension1Code$ 1">
              <a:extLst>
                <a:ext uri="{FF2B5EF4-FFF2-40B4-BE49-F238E27FC236}">
                  <a16:creationId xmlns:a16="http://schemas.microsoft.com/office/drawing/2014/main" id="{98B31C3F-B2CD-360F-AF3C-8D7A38A08F59}"/>
                </a:ext>
              </a:extLst>
            </xdr:cNvPr>
            <xdr:cNvGraphicFramePr/>
          </xdr:nvGraphicFramePr>
          <xdr:xfrm>
            <a:off x="0" y="0"/>
            <a:ext cx="0" cy="0"/>
          </xdr:xfrm>
          <a:graphic>
            <a:graphicData uri="http://schemas.microsoft.com/office/drawing/2010/slicer">
              <sle:slicer xmlns:sle="http://schemas.microsoft.com/office/drawing/2010/slicer" name="$Dimension1Code$ 1"/>
            </a:graphicData>
          </a:graphic>
        </xdr:graphicFrame>
      </mc:Choice>
      <mc:Fallback xmlns="">
        <xdr:sp macro="" textlink="">
          <xdr:nvSpPr>
            <xdr:cNvPr id="0" name=""/>
            <xdr:cNvSpPr>
              <a:spLocks noTextEdit="1"/>
            </xdr:cNvSpPr>
          </xdr:nvSpPr>
          <xdr:spPr>
            <a:xfrm>
              <a:off x="4886" y="1465"/>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1868391</xdr:colOff>
      <xdr:row>0</xdr:row>
      <xdr:rowOff>3065</xdr:rowOff>
    </xdr:from>
    <xdr:to>
      <xdr:col>0</xdr:col>
      <xdr:colOff>3681946</xdr:colOff>
      <xdr:row>11</xdr:row>
      <xdr:rowOff>149265</xdr:rowOff>
    </xdr:to>
    <mc:AlternateContent xmlns:mc="http://schemas.openxmlformats.org/markup-compatibility/2006" xmlns:a14="http://schemas.microsoft.com/office/drawing/2010/main">
      <mc:Choice Requires="a14">
        <xdr:graphicFrame macro="">
          <xdr:nvGraphicFramePr>
            <xdr:cNvPr id="4" name="$Dimension2Code$ 1">
              <a:extLst>
                <a:ext uri="{FF2B5EF4-FFF2-40B4-BE49-F238E27FC236}">
                  <a16:creationId xmlns:a16="http://schemas.microsoft.com/office/drawing/2014/main" id="{F1A288C1-5103-D587-2205-C11EF9FBBBF0}"/>
                </a:ext>
              </a:extLst>
            </xdr:cNvPr>
            <xdr:cNvGraphicFramePr/>
          </xdr:nvGraphicFramePr>
          <xdr:xfrm>
            <a:off x="0" y="0"/>
            <a:ext cx="0" cy="0"/>
          </xdr:xfrm>
          <a:graphic>
            <a:graphicData uri="http://schemas.microsoft.com/office/drawing/2010/slicer">
              <sle:slicer xmlns:sle="http://schemas.microsoft.com/office/drawing/2010/slicer" name="$Dimension2Code$ 1"/>
            </a:graphicData>
          </a:graphic>
        </xdr:graphicFrame>
      </mc:Choice>
      <mc:Fallback xmlns="">
        <xdr:sp macro="" textlink="">
          <xdr:nvSpPr>
            <xdr:cNvPr id="0" name=""/>
            <xdr:cNvSpPr>
              <a:spLocks noTextEdit="1"/>
            </xdr:cNvSpPr>
          </xdr:nvSpPr>
          <xdr:spPr>
            <a:xfrm>
              <a:off x="1868391" y="3065"/>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1868391</xdr:colOff>
      <xdr:row>11</xdr:row>
      <xdr:rowOff>212055</xdr:rowOff>
    </xdr:from>
    <xdr:to>
      <xdr:col>0</xdr:col>
      <xdr:colOff>3681946</xdr:colOff>
      <xdr:row>22</xdr:row>
      <xdr:rowOff>73775</xdr:rowOff>
    </xdr:to>
    <mc:AlternateContent xmlns:mc="http://schemas.openxmlformats.org/markup-compatibility/2006" xmlns:a14="http://schemas.microsoft.com/office/drawing/2010/main">
      <mc:Choice Requires="a14">
        <xdr:graphicFrame macro="">
          <xdr:nvGraphicFramePr>
            <xdr:cNvPr id="5" name="$CurrencyCode$">
              <a:extLst>
                <a:ext uri="{FF2B5EF4-FFF2-40B4-BE49-F238E27FC236}">
                  <a16:creationId xmlns:a16="http://schemas.microsoft.com/office/drawing/2014/main" id="{E69B493C-F7AB-F682-7950-DF26ACFFD45F}"/>
                </a:ext>
              </a:extLst>
            </xdr:cNvPr>
            <xdr:cNvGraphicFramePr/>
          </xdr:nvGraphicFramePr>
          <xdr:xfrm>
            <a:off x="0" y="0"/>
            <a:ext cx="0" cy="0"/>
          </xdr:xfrm>
          <a:graphic>
            <a:graphicData uri="http://schemas.microsoft.com/office/drawing/2010/slicer">
              <sle:slicer xmlns:sle="http://schemas.microsoft.com/office/drawing/2010/slicer" name="$CurrencyCode$"/>
            </a:graphicData>
          </a:graphic>
        </xdr:graphicFrame>
      </mc:Choice>
      <mc:Fallback xmlns="">
        <xdr:sp macro="" textlink="">
          <xdr:nvSpPr>
            <xdr:cNvPr id="0" name=""/>
            <xdr:cNvSpPr>
              <a:spLocks noTextEdit="1"/>
            </xdr:cNvSpPr>
          </xdr:nvSpPr>
          <xdr:spPr>
            <a:xfrm>
              <a:off x="1868391" y="264982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24878</xdr:colOff>
      <xdr:row>11</xdr:row>
      <xdr:rowOff>212690</xdr:rowOff>
    </xdr:from>
    <xdr:to>
      <xdr:col>0</xdr:col>
      <xdr:colOff>1814303</xdr:colOff>
      <xdr:row>22</xdr:row>
      <xdr:rowOff>96000</xdr:rowOff>
    </xdr:to>
    <mc:AlternateContent xmlns:mc="http://schemas.openxmlformats.org/markup-compatibility/2006" xmlns:a14="http://schemas.microsoft.com/office/drawing/2010/main">
      <mc:Choice Requires="a14">
        <xdr:graphicFrame macro="">
          <xdr:nvGraphicFramePr>
            <xdr:cNvPr id="6" name="$CustomerNumber$ 1">
              <a:extLst>
                <a:ext uri="{FF2B5EF4-FFF2-40B4-BE49-F238E27FC236}">
                  <a16:creationId xmlns:a16="http://schemas.microsoft.com/office/drawing/2014/main" id="{CB31ECDF-AC0F-0856-F148-FEA0A48C0986}"/>
                </a:ext>
              </a:extLst>
            </xdr:cNvPr>
            <xdr:cNvGraphicFramePr/>
          </xdr:nvGraphicFramePr>
          <xdr:xfrm>
            <a:off x="0" y="0"/>
            <a:ext cx="0" cy="0"/>
          </xdr:xfrm>
          <a:graphic>
            <a:graphicData uri="http://schemas.microsoft.com/office/drawing/2010/slicer">
              <sle:slicer xmlns:sle="http://schemas.microsoft.com/office/drawing/2010/slicer" name="$CustomerNumber$ 1"/>
            </a:graphicData>
          </a:graphic>
        </xdr:graphicFrame>
      </mc:Choice>
      <mc:Fallback xmlns="">
        <xdr:sp macro="" textlink="">
          <xdr:nvSpPr>
            <xdr:cNvPr id="0" name=""/>
            <xdr:cNvSpPr>
              <a:spLocks noTextEdit="1"/>
            </xdr:cNvSpPr>
          </xdr:nvSpPr>
          <xdr:spPr>
            <a:xfrm>
              <a:off x="6463" y="264855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1812920</xdr:colOff>
      <xdr:row>10</xdr:row>
      <xdr:rowOff>212240</xdr:rowOff>
    </xdr:to>
    <mc:AlternateContent xmlns:mc="http://schemas.openxmlformats.org/markup-compatibility/2006" xmlns:a14="http://schemas.microsoft.com/office/drawing/2010/main">
      <mc:Choice Requires="a14">
        <xdr:graphicFrame macro="">
          <xdr:nvGraphicFramePr>
            <xdr:cNvPr id="2" name="$Dimension1Code$ 2">
              <a:extLst>
                <a:ext uri="{FF2B5EF4-FFF2-40B4-BE49-F238E27FC236}">
                  <a16:creationId xmlns:a16="http://schemas.microsoft.com/office/drawing/2014/main" id="{8F8C34F2-7CD0-6451-115A-83742032E50A}"/>
                </a:ext>
              </a:extLst>
            </xdr:cNvPr>
            <xdr:cNvGraphicFramePr/>
          </xdr:nvGraphicFramePr>
          <xdr:xfrm>
            <a:off x="0" y="0"/>
            <a:ext cx="0" cy="0"/>
          </xdr:xfrm>
          <a:graphic>
            <a:graphicData uri="http://schemas.microsoft.com/office/drawing/2010/slicer">
              <sle:slicer xmlns:sle="http://schemas.microsoft.com/office/drawing/2010/slicer" name="$Dimension1Code$ 2"/>
            </a:graphicData>
          </a:graphic>
        </xdr:graphicFrame>
      </mc:Choice>
      <mc:Fallback xmlns="">
        <xdr:sp macro="" textlink="">
          <xdr:nvSpPr>
            <xdr:cNvPr id="0" name=""/>
            <xdr:cNvSpPr>
              <a:spLocks noTextEdit="1"/>
            </xdr:cNvSpPr>
          </xdr:nvSpPr>
          <xdr:spPr>
            <a:xfrm>
              <a:off x="0"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1850159</xdr:colOff>
      <xdr:row>0</xdr:row>
      <xdr:rowOff>0</xdr:rowOff>
    </xdr:from>
    <xdr:to>
      <xdr:col>0</xdr:col>
      <xdr:colOff>3679589</xdr:colOff>
      <xdr:row>10</xdr:row>
      <xdr:rowOff>212240</xdr:rowOff>
    </xdr:to>
    <mc:AlternateContent xmlns:mc="http://schemas.openxmlformats.org/markup-compatibility/2006" xmlns:a14="http://schemas.microsoft.com/office/drawing/2010/main">
      <mc:Choice Requires="a14">
        <xdr:graphicFrame macro="">
          <xdr:nvGraphicFramePr>
            <xdr:cNvPr id="3" name="$Dimension2Code$ 2">
              <a:extLst>
                <a:ext uri="{FF2B5EF4-FFF2-40B4-BE49-F238E27FC236}">
                  <a16:creationId xmlns:a16="http://schemas.microsoft.com/office/drawing/2014/main" id="{6A94B681-D03C-EF92-E064-748706B6D070}"/>
                </a:ext>
              </a:extLst>
            </xdr:cNvPr>
            <xdr:cNvGraphicFramePr/>
          </xdr:nvGraphicFramePr>
          <xdr:xfrm>
            <a:off x="0" y="0"/>
            <a:ext cx="0" cy="0"/>
          </xdr:xfrm>
          <a:graphic>
            <a:graphicData uri="http://schemas.microsoft.com/office/drawing/2010/slicer">
              <sle:slicer xmlns:sle="http://schemas.microsoft.com/office/drawing/2010/slicer" name="$Dimension2Code$ 2"/>
            </a:graphicData>
          </a:graphic>
        </xdr:graphicFrame>
      </mc:Choice>
      <mc:Fallback xmlns="">
        <xdr:sp macro="" textlink="">
          <xdr:nvSpPr>
            <xdr:cNvPr id="0" name=""/>
            <xdr:cNvSpPr>
              <a:spLocks noTextEdit="1"/>
            </xdr:cNvSpPr>
          </xdr:nvSpPr>
          <xdr:spPr>
            <a:xfrm>
              <a:off x="1860954"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0</xdr:colOff>
      <xdr:row>11</xdr:row>
      <xdr:rowOff>21675</xdr:rowOff>
    </xdr:from>
    <xdr:to>
      <xdr:col>0</xdr:col>
      <xdr:colOff>1812920</xdr:colOff>
      <xdr:row>21</xdr:row>
      <xdr:rowOff>177400</xdr:rowOff>
    </xdr:to>
    <mc:AlternateContent xmlns:mc="http://schemas.openxmlformats.org/markup-compatibility/2006" xmlns:a14="http://schemas.microsoft.com/office/drawing/2010/main">
      <mc:Choice Requires="a14">
        <xdr:graphicFrame macro="">
          <xdr:nvGraphicFramePr>
            <xdr:cNvPr id="4" name="$CustomerNumber$ 2">
              <a:extLst>
                <a:ext uri="{FF2B5EF4-FFF2-40B4-BE49-F238E27FC236}">
                  <a16:creationId xmlns:a16="http://schemas.microsoft.com/office/drawing/2014/main" id="{73F3B565-3B6A-971D-464F-E20857CFD1A6}"/>
                </a:ext>
              </a:extLst>
            </xdr:cNvPr>
            <xdr:cNvGraphicFramePr/>
          </xdr:nvGraphicFramePr>
          <xdr:xfrm>
            <a:off x="0" y="0"/>
            <a:ext cx="0" cy="0"/>
          </xdr:xfrm>
          <a:graphic>
            <a:graphicData uri="http://schemas.microsoft.com/office/drawing/2010/slicer">
              <sle:slicer xmlns:sle="http://schemas.microsoft.com/office/drawing/2010/slicer" name="$CustomerNumber$ 2"/>
            </a:graphicData>
          </a:graphic>
        </xdr:graphicFrame>
      </mc:Choice>
      <mc:Fallback xmlns="">
        <xdr:sp macro="" textlink="">
          <xdr:nvSpPr>
            <xdr:cNvPr id="0" name=""/>
            <xdr:cNvSpPr>
              <a:spLocks noTextEdit="1"/>
            </xdr:cNvSpPr>
          </xdr:nvSpPr>
          <xdr:spPr>
            <a:xfrm>
              <a:off x="0" y="2665815"/>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1854604</xdr:colOff>
      <xdr:row>11</xdr:row>
      <xdr:rowOff>21675</xdr:rowOff>
    </xdr:from>
    <xdr:to>
      <xdr:col>0</xdr:col>
      <xdr:colOff>3678954</xdr:colOff>
      <xdr:row>21</xdr:row>
      <xdr:rowOff>177400</xdr:rowOff>
    </xdr:to>
    <mc:AlternateContent xmlns:mc="http://schemas.openxmlformats.org/markup-compatibility/2006" xmlns:a14="http://schemas.microsoft.com/office/drawing/2010/main">
      <mc:Choice Requires="a14">
        <xdr:graphicFrame macro="">
          <xdr:nvGraphicFramePr>
            <xdr:cNvPr id="5" name="$CurrencyCode$ 1">
              <a:extLst>
                <a:ext uri="{FF2B5EF4-FFF2-40B4-BE49-F238E27FC236}">
                  <a16:creationId xmlns:a16="http://schemas.microsoft.com/office/drawing/2014/main" id="{CDF26D98-B5EB-D440-9AC6-021189A115D9}"/>
                </a:ext>
              </a:extLst>
            </xdr:cNvPr>
            <xdr:cNvGraphicFramePr/>
          </xdr:nvGraphicFramePr>
          <xdr:xfrm>
            <a:off x="0" y="0"/>
            <a:ext cx="0" cy="0"/>
          </xdr:xfrm>
          <a:graphic>
            <a:graphicData uri="http://schemas.microsoft.com/office/drawing/2010/slicer">
              <sle:slicer xmlns:sle="http://schemas.microsoft.com/office/drawing/2010/slicer" name="$CurrencyCode$ 1"/>
            </a:graphicData>
          </a:graphic>
        </xdr:graphicFrame>
      </mc:Choice>
      <mc:Fallback xmlns="">
        <xdr:sp macro="" textlink="">
          <xdr:nvSpPr>
            <xdr:cNvPr id="0" name=""/>
            <xdr:cNvSpPr>
              <a:spLocks noTextEdit="1"/>
            </xdr:cNvSpPr>
          </xdr:nvSpPr>
          <xdr:spPr>
            <a:xfrm>
              <a:off x="1858414" y="2665815"/>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eelesh Singhal (Alletec Pty Ltd)" refreshedDate="46119.65100578704" missingItemsLimit="0" createdVersion="8" refreshedVersion="8" minRefreshableVersion="3" recordCount="1" xr:uid="{E5B37B12-F45A-4BAD-83D3-736AFD6C4EE4}">
  <cacheSource type="worksheet">
    <worksheetSource name="CustomerAgingDataAnalysis"/>
  </cacheSource>
  <cacheFields count="30">
    <cacheField name="PeriodStart" numFmtId="14">
      <sharedItems containsSemiMixedTypes="0" containsNonDate="0" containsDate="1" containsString="0" minDate="1899-12-31T00:00:00" maxDate="1900-01-01T00:00:00" count="1">
        <d v="1899-12-31T00:00:00"/>
      </sharedItems>
      <fieldGroup par="23"/>
    </cacheField>
    <cacheField name="PeriodEnd" numFmtId="14">
      <sharedItems containsSemiMixedTypes="0" containsNonDate="0" containsDate="1" containsString="0" minDate="1899-12-31T00:00:00" maxDate="1900-01-01T00:00:00"/>
    </cacheField>
    <cacheField name="RemainingAmount" numFmtId="0">
      <sharedItems containsSemiMixedTypes="0" containsString="0" containsNumber="1" containsInteger="1" minValue="0" maxValue="0"/>
    </cacheField>
    <cacheField name="OriginalAmount" numFmtId="0">
      <sharedItems containsSemiMixedTypes="0" containsString="0" containsNumber="1" containsInteger="1" minValue="0" maxValue="0"/>
    </cacheField>
    <cacheField name="RemainingAmountLCY" numFmtId="0">
      <sharedItems containsSemiMixedTypes="0" containsString="0" containsNumber="1" containsInteger="1" minValue="0" maxValue="0"/>
    </cacheField>
    <cacheField name="OriginalAmountLCY" numFmtId="0">
      <sharedItems containsSemiMixedTypes="0" containsString="0" containsNumber="1" containsInteger="1" minValue="0" maxValue="0"/>
    </cacheField>
    <cacheField name="Dimension1Code" numFmtId="0">
      <sharedItems count="1">
        <s v="BLANK"/>
      </sharedItems>
    </cacheField>
    <cacheField name="Dimension2Code" numFmtId="0">
      <sharedItems count="1">
        <s v="BLANK"/>
      </sharedItems>
    </cacheField>
    <cacheField name="CurrencyCode" numFmtId="0">
      <sharedItems count="1">
        <s v="BLANK"/>
      </sharedItems>
    </cacheField>
    <cacheField name="PostingDate" numFmtId="14">
      <sharedItems containsSemiMixedTypes="0" containsNonDate="0" containsDate="1" containsString="0" minDate="1899-12-31T00:00:00" maxDate="1900-01-01T00:00:00" count="1">
        <d v="1899-12-31T00:00:00"/>
      </sharedItems>
      <fieldGroup par="21"/>
    </cacheField>
    <cacheField name="DocumentDate" numFmtId="14">
      <sharedItems containsSemiMixedTypes="0" containsNonDate="0" containsDate="1" containsString="0" minDate="1899-12-31T00:00:00" maxDate="1900-01-01T00:00:00"/>
    </cacheField>
    <cacheField name="DueDate" numFmtId="14">
      <sharedItems containsSemiMixedTypes="0" containsNonDate="0" containsDate="1" containsString="0" minDate="1899-12-31T00:00:00" maxDate="1900-01-01T00:00:00" count="1">
        <d v="1899-12-31T00:00:00"/>
      </sharedItems>
      <fieldGroup par="26"/>
    </cacheField>
    <cacheField name="ReportingDate" numFmtId="14">
      <sharedItems containsSemiMixedTypes="0" containsNonDate="0" containsDate="1" containsString="0" minDate="1899-12-31T00:00:00" maxDate="1900-01-01T00:00:00" count="1">
        <d v="1899-12-31T00:00:00"/>
      </sharedItems>
      <fieldGroup par="29"/>
    </cacheField>
    <cacheField name="ReportingDate_Month" numFmtId="0">
      <sharedItems containsNonDate="0" containsString="0" containsBlank="1"/>
    </cacheField>
    <cacheField name="ReportingDate_Quarter" numFmtId="0">
      <sharedItems containsNonDate="0" containsString="0" containsBlank="1"/>
    </cacheField>
    <cacheField name="ReportingDate_Year" numFmtId="0">
      <sharedItems containsNonDate="0" containsString="0" containsBlank="1"/>
    </cacheField>
    <cacheField name="EntryNo" numFmtId="0">
      <sharedItems containsSemiMixedTypes="0" containsString="0" containsNumber="1" containsInteger="1" minValue="0" maxValue="0"/>
    </cacheField>
    <cacheField name="CustomerNumber" numFmtId="0">
      <sharedItems count="1">
        <s v="BLANK"/>
      </sharedItems>
    </cacheField>
    <cacheField name="CustomerName" numFmtId="0">
      <sharedItems count="1">
        <s v="BLANK"/>
      </sharedItems>
    </cacheField>
    <cacheField name="Months (PostingDate)" numFmtId="0" databaseField="0">
      <fieldGroup base="9">
        <rangePr groupBy="months" startDate="1899-12-31T00:00:00" endDate="1900-01-01T00:00:00"/>
        <groupItems count="14">
          <s v="&lt;1/1/1900"/>
          <s v="Jan"/>
          <s v="Feb"/>
          <s v="Mar"/>
          <s v="Apr"/>
          <s v="May"/>
          <s v="Jun"/>
          <s v="Jul"/>
          <s v="Aug"/>
          <s v="Sep"/>
          <s v="Oct"/>
          <s v="Nov"/>
          <s v="Dec"/>
          <s v="&gt;1/2/1900"/>
        </groupItems>
      </fieldGroup>
    </cacheField>
    <cacheField name="Quarters (PostingDate)" numFmtId="0" databaseField="0">
      <fieldGroup base="9">
        <rangePr groupBy="quarters" startDate="1899-12-31T00:00:00" endDate="1900-01-01T00:00:00"/>
        <groupItems count="6">
          <s v="&lt;1/1/1900"/>
          <s v="Qtr1"/>
          <s v="Qtr2"/>
          <s v="Qtr3"/>
          <s v="Qtr4"/>
          <s v="&gt;1/2/1900"/>
        </groupItems>
      </fieldGroup>
    </cacheField>
    <cacheField name="Years (PostingDate)" numFmtId="0" databaseField="0">
      <fieldGroup base="9">
        <rangePr groupBy="years" startDate="1899-12-31T00:00:00" endDate="1900-01-01T00:00:00"/>
        <groupItems count="3">
          <s v="&lt;1/1/1900"/>
          <s v="1900"/>
          <s v="&gt;1/2/1900"/>
        </groupItems>
      </fieldGroup>
    </cacheField>
    <cacheField name="Days (PeriodStart)" numFmtId="0" databaseField="0">
      <fieldGroup base="0">
        <rangePr groupBy="days" startDate="1899-12-31T00:00:00" endDate="1900-01-01T00:00:00"/>
        <groupItems count="368">
          <s v="&lt;1/1/190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900"/>
        </groupItems>
      </fieldGroup>
    </cacheField>
    <cacheField name="Months (PeriodStart)" numFmtId="0" databaseField="0">
      <fieldGroup base="0">
        <rangePr groupBy="months" startDate="1899-12-31T00:00:00" endDate="1900-01-01T00:00:00"/>
        <groupItems count="14">
          <s v="&lt;1/1/1900"/>
          <s v="Jan"/>
          <s v="Feb"/>
          <s v="Mar"/>
          <s v="Apr"/>
          <s v="May"/>
          <s v="Jun"/>
          <s v="Jul"/>
          <s v="Aug"/>
          <s v="Sep"/>
          <s v="Oct"/>
          <s v="Nov"/>
          <s v="Dec"/>
          <s v="&gt;1/2/1900"/>
        </groupItems>
      </fieldGroup>
    </cacheField>
    <cacheField name="Months (DueDate)" numFmtId="0" databaseField="0">
      <fieldGroup base="11">
        <rangePr groupBy="months" startDate="1899-12-31T00:00:00" endDate="1900-01-01T00:00:00"/>
        <groupItems count="14">
          <s v="&lt;1/1/1900"/>
          <s v="Jan"/>
          <s v="Feb"/>
          <s v="Mar"/>
          <s v="Apr"/>
          <s v="May"/>
          <s v="Jun"/>
          <s v="Jul"/>
          <s v="Aug"/>
          <s v="Sep"/>
          <s v="Oct"/>
          <s v="Nov"/>
          <s v="Dec"/>
          <s v="&gt;1/2/1900"/>
        </groupItems>
      </fieldGroup>
    </cacheField>
    <cacheField name="Quarters (DueDate)" numFmtId="0" databaseField="0">
      <fieldGroup base="11">
        <rangePr groupBy="quarters" startDate="1899-12-31T00:00:00" endDate="1900-01-01T00:00:00"/>
        <groupItems count="6">
          <s v="&lt;1/1/1900"/>
          <s v="Qtr1"/>
          <s v="Qtr2"/>
          <s v="Qtr3"/>
          <s v="Qtr4"/>
          <s v="&gt;1/2/1900"/>
        </groupItems>
      </fieldGroup>
    </cacheField>
    <cacheField name="Years (DueDate)" numFmtId="0" databaseField="0">
      <fieldGroup base="11">
        <rangePr groupBy="years" startDate="1899-12-31T00:00:00" endDate="1900-01-01T00:00:00"/>
        <groupItems count="3">
          <s v="&lt;1/1/1900"/>
          <s v="1900"/>
          <s v="&gt;1/2/1900"/>
        </groupItems>
      </fieldGroup>
    </cacheField>
    <cacheField name="Months (ReportingDate)" numFmtId="0" databaseField="0">
      <fieldGroup base="12">
        <rangePr groupBy="months" startDate="1899-12-31T00:00:00" endDate="1900-01-01T00:00:00"/>
        <groupItems count="14">
          <s v="&lt;1/1/1900"/>
          <s v="Jan"/>
          <s v="Feb"/>
          <s v="Mar"/>
          <s v="Apr"/>
          <s v="May"/>
          <s v="Jun"/>
          <s v="Jul"/>
          <s v="Aug"/>
          <s v="Sep"/>
          <s v="Oct"/>
          <s v="Nov"/>
          <s v="Dec"/>
          <s v="&gt;1/2/1900"/>
        </groupItems>
      </fieldGroup>
    </cacheField>
    <cacheField name="Quarters (ReportingDate)" numFmtId="0" databaseField="0">
      <fieldGroup base="12">
        <rangePr groupBy="quarters" startDate="1899-12-31T00:00:00" endDate="1900-01-01T00:00:00"/>
        <groupItems count="6">
          <s v="&lt;1/1/1900"/>
          <s v="Qtr1"/>
          <s v="Qtr2"/>
          <s v="Qtr3"/>
          <s v="Qtr4"/>
          <s v="&gt;1/2/1900"/>
        </groupItems>
      </fieldGroup>
    </cacheField>
    <cacheField name="Years (ReportingDate)" numFmtId="0" databaseField="0">
      <fieldGroup base="12">
        <rangePr groupBy="years" startDate="1899-12-31T00:00:00" endDate="1900-01-01T00:00:00"/>
        <groupItems count="3">
          <s v="&lt;1/1/1900"/>
          <s v="1900"/>
          <s v="&gt;1/2/1900"/>
        </groupItems>
      </fieldGroup>
    </cacheField>
  </cacheFields>
  <extLst>
    <ext xmlns:x14="http://schemas.microsoft.com/office/spreadsheetml/2009/9/main" uri="{725AE2AE-9491-48be-B2B4-4EB974FC3084}">
      <x14:pivotCacheDefinition pivotCacheId="4792877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eelesh Singhal (Alletec Pty Ltd)" refreshedDate="46119.65683900463" createdVersion="8" refreshedVersion="8" minRefreshableVersion="3" recordCount="1" xr:uid="{C2558C64-7414-4C83-B682-35CF391B8094}">
  <cacheSource type="external" connectionId="2"/>
  <cacheFields count="19">
    <cacheField name="CustomerNumber" numFmtId="0">
      <sharedItems containsString="0" containsBlank="1" count="1">
        <m/>
      </sharedItems>
    </cacheField>
    <cacheField name="CustomerName" numFmtId="0">
      <sharedItems containsString="0" containsBlank="1" count="1">
        <m/>
      </sharedItems>
    </cacheField>
    <cacheField name="PeriodStart" numFmtId="0">
      <sharedItems containsNonDate="0" containsString="0" containsBlank="1" count="1">
        <m/>
      </sharedItems>
    </cacheField>
    <cacheField name="PeriodEnd" numFmtId="0">
      <sharedItems containsNonDate="0" containsString="0" containsBlank="1" count="1">
        <m/>
      </sharedItems>
    </cacheField>
    <cacheField name="CurrencyCode" numFmtId="0">
      <sharedItems containsString="0" containsBlank="1" count="1">
        <m/>
      </sharedItems>
    </cacheField>
    <cacheField name="RemainingAmount" numFmtId="0">
      <sharedItems containsString="0" containsBlank="1" count="1">
        <m/>
      </sharedItems>
    </cacheField>
    <cacheField name="OriginalAmount" numFmtId="0">
      <sharedItems containsString="0" containsBlank="1" count="1">
        <m/>
      </sharedItems>
    </cacheField>
    <cacheField name="RemainingAmountLCY" numFmtId="0">
      <sharedItems containsString="0" containsBlank="1" count="1">
        <m/>
      </sharedItems>
    </cacheField>
    <cacheField name="OriginalAmountLCY" numFmtId="0">
      <sharedItems containsString="0" containsBlank="1" count="1">
        <m/>
      </sharedItems>
    </cacheField>
    <cacheField name="Dimension1Code" numFmtId="0">
      <sharedItems containsString="0" containsBlank="1" count="1">
        <m/>
      </sharedItems>
    </cacheField>
    <cacheField name="Dimension2Code" numFmtId="0">
      <sharedItems containsString="0" containsBlank="1" count="1">
        <m/>
      </sharedItems>
    </cacheField>
    <cacheField name="PostingDate" numFmtId="0">
      <sharedItems containsNonDate="0" containsString="0" containsBlank="1" count="1">
        <m/>
      </sharedItems>
    </cacheField>
    <cacheField name="DocumentDate" numFmtId="0">
      <sharedItems containsNonDate="0" containsString="0" containsBlank="1" count="1">
        <m/>
      </sharedItems>
    </cacheField>
    <cacheField name="DueDate" numFmtId="0">
      <sharedItems containsNonDate="0" containsString="0" containsBlank="1" count="1">
        <m/>
      </sharedItems>
    </cacheField>
    <cacheField name="ReportingDate_Month" numFmtId="0">
      <sharedItems containsString="0" containsBlank="1" count="1">
        <m/>
      </sharedItems>
    </cacheField>
    <cacheField name="ReportingDate_Quarter" numFmtId="0">
      <sharedItems containsString="0" containsBlank="1" count="1">
        <m/>
      </sharedItems>
    </cacheField>
    <cacheField name="ReportingDate_Year" numFmtId="0">
      <sharedItems containsString="0" containsBlank="1" count="1">
        <m/>
      </sharedItems>
    </cacheField>
    <cacheField name="DocumentType" numFmtId="0">
      <sharedItems containsString="0" containsBlank="1" count="1">
        <m/>
      </sharedItems>
    </cacheField>
    <cacheField name="DocumentNo" numFmtId="0">
      <sharedItems containsString="0" containsBlank="1" count="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d v="1899-12-31T00:00:00"/>
    <n v="0"/>
    <n v="0"/>
    <n v="0"/>
    <n v="0"/>
    <x v="0"/>
    <x v="0"/>
    <x v="0"/>
    <x v="0"/>
    <d v="1899-12-31T00:00:00"/>
    <x v="0"/>
    <x v="0"/>
    <m/>
    <m/>
    <m/>
    <n v="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x v="0"/>
    <x v="0"/>
    <x v="0"/>
    <x v="0"/>
    <x v="0"/>
    <x v="0"/>
    <x v="0"/>
    <x v="0"/>
    <x v="0"/>
    <x v="0"/>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0A6EE8-0E93-40A4-A989-08573F86F909}" name="PivotTable2" cacheId="19"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8:R10" firstHeaderRow="0" firstDataRow="1" firstDataCol="13"/>
  <pivotFields count="19">
    <pivotField name="$CustomerNumber$" axis="axisRow" compact="0" outline="0" showAll="0" defaultSubtotal="0">
      <items count="1">
        <item x="0"/>
      </items>
    </pivotField>
    <pivotField name="$CustomerName$" axis="axisRow" compact="0" outline="0" showAll="0" defaultSubtotal="0">
      <items count="1">
        <item x="0"/>
      </items>
    </pivotField>
    <pivotField name="$PeriodStart$" axis="axisRow" compact="0" outline="0" showAll="0" defaultSubtotal="0">
      <items count="1">
        <item x="0"/>
      </items>
      <extLst>
        <ext xmlns:x14="http://schemas.microsoft.com/office/spreadsheetml/2009/9/main" uri="{2946ED86-A175-432a-8AC1-64E0C546D7DE}">
          <x14:pivotField fillDownLabels="1"/>
        </ext>
      </extLst>
    </pivotField>
    <pivotField name="$PeriodEnd$" axis="axisRow" compact="0" outline="0" showAll="0" defaultSubtotal="0">
      <items count="1">
        <item x="0"/>
      </items>
      <extLst>
        <ext xmlns:x14="http://schemas.microsoft.com/office/spreadsheetml/2009/9/main" uri="{2946ED86-A175-432a-8AC1-64E0C546D7DE}">
          <x14:pivotField fillDownLabels="1"/>
        </ext>
      </extLst>
    </pivotField>
    <pivotField name="$CurrencyCodeDisplay$" axis="axisRow" compact="0" outline="0" showAll="0" defaultSubtotal="0">
      <items count="1">
        <item x="0"/>
      </items>
      <extLst>
        <ext xmlns:x14="http://schemas.microsoft.com/office/spreadsheetml/2009/9/main" uri="{2946ED86-A175-432a-8AC1-64E0C546D7DE}">
          <x14:pivotField fillDownLabels="1"/>
        </ext>
      </extLst>
    </pivotField>
    <pivotField dataField="1" compact="0" outline="0" showAll="0" defaultSubtotal="0">
      <items count="1">
        <item x="0"/>
      </items>
    </pivotField>
    <pivotField dataField="1" compact="0" outline="0" showAll="0" defaultSubtotal="0">
      <items count="1">
        <item x="0"/>
      </items>
    </pivotField>
    <pivotField dataField="1" compact="0" outline="0" showAll="0" defaultSubtotal="0">
      <items count="1">
        <item x="0"/>
      </items>
    </pivotField>
    <pivotField dataField="1" compact="0" outline="0" showAll="0" defaultSubtotal="0">
      <items count="1">
        <item x="0"/>
      </items>
    </pivotField>
    <pivotField name="$Dimension1Code$" compact="0" outline="0" showAll="0" defaultSubtotal="0">
      <items count="1">
        <item x="0"/>
      </items>
      <extLst>
        <ext xmlns:x14="http://schemas.microsoft.com/office/spreadsheetml/2009/9/main" uri="{2946ED86-A175-432a-8AC1-64E0C546D7DE}">
          <x14:pivotField fillDownLabels="1"/>
        </ext>
      </extLst>
    </pivotField>
    <pivotField name="$Dimension2Code$" compact="0" outline="0" showAll="0" defaultSubtotal="0">
      <items count="1">
        <item x="0"/>
      </items>
      <extLst>
        <ext xmlns:x14="http://schemas.microsoft.com/office/spreadsheetml/2009/9/main" uri="{2946ED86-A175-432a-8AC1-64E0C546D7DE}">
          <x14:pivotField fillDownLabels="1"/>
        </ext>
      </extLst>
    </pivotField>
    <pivotField name="$PostingDate$" axis="axisRow" compact="0" outline="0" showAll="0" defaultSubtotal="0">
      <items count="1">
        <item x="0"/>
      </items>
      <extLst>
        <ext xmlns:x14="http://schemas.microsoft.com/office/spreadsheetml/2009/9/main" uri="{2946ED86-A175-432a-8AC1-64E0C546D7DE}">
          <x14:pivotField fillDownLabels="1"/>
        </ext>
      </extLst>
    </pivotField>
    <pivotField name="$DocumentDate$" axis="axisRow" compact="0" outline="0" showAll="0" defaultSubtotal="0">
      <items count="1">
        <item x="0"/>
      </items>
      <extLst>
        <ext xmlns:x14="http://schemas.microsoft.com/office/spreadsheetml/2009/9/main" uri="{2946ED86-A175-432a-8AC1-64E0C546D7DE}">
          <x14:pivotField fillDownLabels="1"/>
        </ext>
      </extLst>
    </pivotField>
    <pivotField name="$DueDate$" axis="axisRow" compact="0" outline="0" showAll="0" defaultSubtotal="0">
      <items count="1">
        <item x="0"/>
      </items>
      <extLst>
        <ext xmlns:x14="http://schemas.microsoft.com/office/spreadsheetml/2009/9/main" uri="{2946ED86-A175-432a-8AC1-64E0C546D7DE}">
          <x14:pivotField fillDownLabels="1"/>
        </ext>
      </extLst>
    </pivotField>
    <pivotField name="$ReportingDate_Month$" axis="axisRow" compact="0" outline="0" showAll="0" defaultSubtotal="0">
      <items count="1">
        <item x="0"/>
      </items>
      <extLst>
        <ext xmlns:x14="http://schemas.microsoft.com/office/spreadsheetml/2009/9/main" uri="{2946ED86-A175-432a-8AC1-64E0C546D7DE}">
          <x14:pivotField fillDownLabels="1"/>
        </ext>
      </extLst>
    </pivotField>
    <pivotField name="$ReportingDate_Quarter$" axis="axisRow" compact="0" outline="0" showAll="0" defaultSubtotal="0">
      <items count="1">
        <item x="0"/>
      </items>
      <extLst>
        <ext xmlns:x14="http://schemas.microsoft.com/office/spreadsheetml/2009/9/main" uri="{2946ED86-A175-432a-8AC1-64E0C546D7DE}">
          <x14:pivotField fillDownLabels="1"/>
        </ext>
      </extLst>
    </pivotField>
    <pivotField name="$ReportingDate_Year$"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ubtotalTop="0" showAll="0" defaultSubtotal="0">
      <items count="1">
        <item x="0"/>
      </items>
    </pivotField>
    <pivotField axis="axisRow" compact="0" outline="0" subtotalTop="0" showAll="0" defaultSubtotal="0">
      <items count="1">
        <item x="0"/>
      </items>
    </pivotField>
  </pivotFields>
  <rowFields count="13">
    <field x="0"/>
    <field x="1"/>
    <field x="2"/>
    <field x="3"/>
    <field x="11"/>
    <field x="12"/>
    <field x="13"/>
    <field x="14"/>
    <field x="15"/>
    <field x="16"/>
    <field x="4"/>
    <field x="17"/>
    <field x="18"/>
  </rowFields>
  <rowItems count="2">
    <i>
      <x/>
      <x/>
      <x/>
      <x/>
      <x/>
      <x/>
      <x/>
      <x/>
      <x/>
      <x/>
      <x/>
      <x/>
      <x/>
    </i>
    <i t="grand">
      <x/>
    </i>
  </rowItems>
  <colFields count="1">
    <field x="-2"/>
  </colFields>
  <colItems count="4">
    <i>
      <x/>
    </i>
    <i i="1">
      <x v="1"/>
    </i>
    <i i="2">
      <x v="2"/>
    </i>
    <i i="3">
      <x v="3"/>
    </i>
  </colItems>
  <dataFields count="4">
    <dataField name="$RemainingAmount$" fld="5" baseField="16" baseItem="0"/>
    <dataField name="$OriginalAmount$" fld="6" baseField="16" baseItem="0"/>
    <dataField name="$RemainingAmountLCY$" fld="7" baseField="16" baseItem="0"/>
    <dataField name="$OriginalAmountLCY$" fld="8" baseField="16" baseItem="0"/>
  </dataFields>
  <formats count="75">
    <format dxfId="878">
      <pivotArea type="all" dataOnly="0" outline="0" fieldPosition="0"/>
    </format>
    <format dxfId="879">
      <pivotArea field="0" type="button" dataOnly="0" labelOnly="1" outline="0" axis="axisRow" fieldPosition="0"/>
    </format>
    <format dxfId="880">
      <pivotArea field="1" type="button" dataOnly="0" labelOnly="1" outline="0" axis="axisRow" fieldPosition="1"/>
    </format>
    <format dxfId="881">
      <pivotArea field="2" type="button" dataOnly="0" labelOnly="1" outline="0" axis="axisRow" fieldPosition="2"/>
    </format>
    <format dxfId="882">
      <pivotArea field="3" type="button" dataOnly="0" labelOnly="1" outline="0" axis="axisRow" fieldPosition="3"/>
    </format>
    <format dxfId="883">
      <pivotArea field="4" type="button" dataOnly="0" labelOnly="1" outline="0" axis="axisRow" fieldPosition="10"/>
    </format>
    <format dxfId="884">
      <pivotArea field="5" type="button" dataOnly="0" labelOnly="1" outline="0"/>
    </format>
    <format dxfId="885">
      <pivotArea field="6" type="button" dataOnly="0" labelOnly="1" outline="0"/>
    </format>
    <format dxfId="886">
      <pivotArea field="7" type="button" dataOnly="0" labelOnly="1" outline="0"/>
    </format>
    <format dxfId="887">
      <pivotArea field="8" type="button" dataOnly="0" labelOnly="1" outline="0"/>
    </format>
    <format dxfId="888">
      <pivotArea field="9" type="button" dataOnly="0" labelOnly="1" outline="0"/>
    </format>
    <format dxfId="889">
      <pivotArea field="10" type="button" dataOnly="0" labelOnly="1" outline="0"/>
    </format>
    <format dxfId="890">
      <pivotArea field="11" type="button" dataOnly="0" labelOnly="1" outline="0" axis="axisRow" fieldPosition="4"/>
    </format>
    <format dxfId="891">
      <pivotArea field="12" type="button" dataOnly="0" labelOnly="1" outline="0" axis="axisRow" fieldPosition="5"/>
    </format>
    <format dxfId="892">
      <pivotArea field="13" type="button" dataOnly="0" labelOnly="1" outline="0" axis="axisRow" fieldPosition="6"/>
    </format>
    <format dxfId="893">
      <pivotArea field="14" type="button" dataOnly="0" labelOnly="1" outline="0" axis="axisRow" fieldPosition="7"/>
    </format>
    <format dxfId="894">
      <pivotArea field="15" type="button" dataOnly="0" labelOnly="1" outline="0" axis="axisRow" fieldPosition="8"/>
    </format>
    <format dxfId="895">
      <pivotArea field="16" type="button" dataOnly="0" labelOnly="1" outline="0" axis="axisRow" fieldPosition="9"/>
    </format>
    <format dxfId="896">
      <pivotArea field="0" type="button" dataOnly="0" labelOnly="1" outline="0" axis="axisRow" fieldPosition="0"/>
    </format>
    <format dxfId="897">
      <pivotArea field="1" type="button" dataOnly="0" labelOnly="1" outline="0" axis="axisRow" fieldPosition="1"/>
    </format>
    <format dxfId="898">
      <pivotArea field="2" type="button" dataOnly="0" labelOnly="1" outline="0" axis="axisRow" fieldPosition="2"/>
    </format>
    <format dxfId="899">
      <pivotArea field="3" type="button" dataOnly="0" labelOnly="1" outline="0" axis="axisRow" fieldPosition="3"/>
    </format>
    <format dxfId="900">
      <pivotArea field="4" type="button" dataOnly="0" labelOnly="1" outline="0" axis="axisRow" fieldPosition="10"/>
    </format>
    <format dxfId="901">
      <pivotArea field="5" type="button" dataOnly="0" labelOnly="1" outline="0"/>
    </format>
    <format dxfId="902">
      <pivotArea field="6" type="button" dataOnly="0" labelOnly="1" outline="0"/>
    </format>
    <format dxfId="903">
      <pivotArea field="7" type="button" dataOnly="0" labelOnly="1" outline="0"/>
    </format>
    <format dxfId="904">
      <pivotArea field="8" type="button" dataOnly="0" labelOnly="1" outline="0"/>
    </format>
    <format dxfId="905">
      <pivotArea field="9" type="button" dataOnly="0" labelOnly="1" outline="0"/>
    </format>
    <format dxfId="906">
      <pivotArea field="10" type="button" dataOnly="0" labelOnly="1" outline="0"/>
    </format>
    <format dxfId="907">
      <pivotArea field="11" type="button" dataOnly="0" labelOnly="1" outline="0" axis="axisRow" fieldPosition="4"/>
    </format>
    <format dxfId="908">
      <pivotArea field="12" type="button" dataOnly="0" labelOnly="1" outline="0" axis="axisRow" fieldPosition="5"/>
    </format>
    <format dxfId="909">
      <pivotArea field="13" type="button" dataOnly="0" labelOnly="1" outline="0" axis="axisRow" fieldPosition="6"/>
    </format>
    <format dxfId="910">
      <pivotArea field="14" type="button" dataOnly="0" labelOnly="1" outline="0" axis="axisRow" fieldPosition="7"/>
    </format>
    <format dxfId="911">
      <pivotArea field="15" type="button" dataOnly="0" labelOnly="1" outline="0" axis="axisRow" fieldPosition="8"/>
    </format>
    <format dxfId="912">
      <pivotArea field="16" type="button" dataOnly="0" labelOnly="1" outline="0" axis="axisRow" fieldPosition="9"/>
    </format>
    <format dxfId="913">
      <pivotArea field="11" type="button" dataOnly="0" labelOnly="1" outline="0" axis="axisRow" fieldPosition="4"/>
    </format>
    <format dxfId="914">
      <pivotArea field="12" type="button" dataOnly="0" labelOnly="1" outline="0" axis="axisRow" fieldPosition="5"/>
    </format>
    <format dxfId="915">
      <pivotArea field="13" type="button" dataOnly="0" labelOnly="1" outline="0" axis="axisRow" fieldPosition="6"/>
    </format>
    <format dxfId="916">
      <pivotArea field="14" type="button" dataOnly="0" labelOnly="1" outline="0" axis="axisRow" fieldPosition="7"/>
    </format>
    <format dxfId="917">
      <pivotArea field="15" type="button" dataOnly="0" labelOnly="1" outline="0" axis="axisRow" fieldPosition="8"/>
    </format>
    <format dxfId="918">
      <pivotArea field="16" type="button" dataOnly="0" labelOnly="1" outline="0" axis="axisRow" fieldPosition="9"/>
    </format>
    <format dxfId="919">
      <pivotArea field="2" type="button" dataOnly="0" labelOnly="1" outline="0" axis="axisRow" fieldPosition="2"/>
    </format>
    <format dxfId="920">
      <pivotArea field="3" type="button" dataOnly="0" labelOnly="1" outline="0" axis="axisRow" fieldPosition="3"/>
    </format>
    <format dxfId="921">
      <pivotArea field="4" type="button" dataOnly="0" labelOnly="1" outline="0" axis="axisRow" fieldPosition="10"/>
    </format>
    <format dxfId="922">
      <pivotArea field="5" type="button" dataOnly="0" labelOnly="1" outline="0"/>
    </format>
    <format dxfId="923">
      <pivotArea field="6" type="button" dataOnly="0" labelOnly="1" outline="0"/>
    </format>
    <format dxfId="924">
      <pivotArea field="7" type="button" dataOnly="0" labelOnly="1" outline="0"/>
    </format>
    <format dxfId="925">
      <pivotArea field="8" type="button" dataOnly="0" labelOnly="1" outline="0"/>
    </format>
    <format dxfId="926">
      <pivotArea dataOnly="0" labelOnly="1" outline="0" fieldPosition="0">
        <references count="1">
          <reference field="4294967294" count="4">
            <x v="0"/>
            <x v="1"/>
            <x v="2"/>
            <x v="3"/>
          </reference>
        </references>
      </pivotArea>
    </format>
    <format dxfId="927">
      <pivotArea dataOnly="0" labelOnly="1" outline="0" fieldPosition="0">
        <references count="1">
          <reference field="4294967294" count="4">
            <x v="0"/>
            <x v="1"/>
            <x v="2"/>
            <x v="3"/>
          </reference>
        </references>
      </pivotArea>
    </format>
    <format dxfId="928">
      <pivotArea type="all" dataOnly="0" outline="0" fieldPosition="0"/>
    </format>
    <format dxfId="929">
      <pivotArea outline="0" collapsedLevelsAreSubtotals="1" fieldPosition="0"/>
    </format>
    <format dxfId="930">
      <pivotArea field="0" type="button" dataOnly="0" labelOnly="1" outline="0" axis="axisRow" fieldPosition="0"/>
    </format>
    <format dxfId="931">
      <pivotArea field="1" type="button" dataOnly="0" labelOnly="1" outline="0" axis="axisRow" fieldPosition="1"/>
    </format>
    <format dxfId="932">
      <pivotArea field="2" type="button" dataOnly="0" labelOnly="1" outline="0" axis="axisRow" fieldPosition="2"/>
    </format>
    <format dxfId="933">
      <pivotArea field="3" type="button" dataOnly="0" labelOnly="1" outline="0" axis="axisRow" fieldPosition="3"/>
    </format>
    <format dxfId="934">
      <pivotArea field="4" type="button" dataOnly="0" labelOnly="1" outline="0" axis="axisRow" fieldPosition="10"/>
    </format>
    <format dxfId="935">
      <pivotArea field="9" type="button" dataOnly="0" labelOnly="1" outline="0"/>
    </format>
    <format dxfId="936">
      <pivotArea field="10" type="button" dataOnly="0" labelOnly="1" outline="0"/>
    </format>
    <format dxfId="937">
      <pivotArea field="11" type="button" dataOnly="0" labelOnly="1" outline="0" axis="axisRow" fieldPosition="4"/>
    </format>
    <format dxfId="938">
      <pivotArea field="12" type="button" dataOnly="0" labelOnly="1" outline="0" axis="axisRow" fieldPosition="5"/>
    </format>
    <format dxfId="939">
      <pivotArea field="13" type="button" dataOnly="0" labelOnly="1" outline="0" axis="axisRow" fieldPosition="6"/>
    </format>
    <format dxfId="940">
      <pivotArea field="14" type="button" dataOnly="0" labelOnly="1" outline="0" axis="axisRow" fieldPosition="7"/>
    </format>
    <format dxfId="941">
      <pivotArea field="15" type="button" dataOnly="0" labelOnly="1" outline="0" axis="axisRow" fieldPosition="8"/>
    </format>
    <format dxfId="942">
      <pivotArea field="16" type="button" dataOnly="0" labelOnly="1" outline="0" axis="axisRow" fieldPosition="9"/>
    </format>
    <format dxfId="943">
      <pivotArea dataOnly="0" labelOnly="1" outline="0" fieldPosition="0">
        <references count="1">
          <reference field="0" count="0"/>
        </references>
      </pivotArea>
    </format>
    <format dxfId="944">
      <pivotArea dataOnly="0" labelOnly="1" grandRow="1" outline="0" fieldPosition="0"/>
    </format>
    <format dxfId="945">
      <pivotArea dataOnly="0" labelOnly="1" outline="0" fieldPosition="0">
        <references count="2">
          <reference field="0" count="0" selected="0"/>
          <reference field="1" count="0"/>
        </references>
      </pivotArea>
    </format>
    <format dxfId="946">
      <pivotArea dataOnly="0" labelOnly="1" outline="0" fieldPosition="0">
        <references count="3">
          <reference field="0" count="0" selected="0"/>
          <reference field="1" count="0" selected="0"/>
          <reference field="2" count="0"/>
        </references>
      </pivotArea>
    </format>
    <format dxfId="947">
      <pivotArea dataOnly="0" labelOnly="1" outline="0" fieldPosition="0">
        <references count="4">
          <reference field="0" count="0" selected="0"/>
          <reference field="1" count="0" selected="0"/>
          <reference field="2" count="0" selected="0"/>
          <reference field="3" count="0"/>
        </references>
      </pivotArea>
    </format>
    <format dxfId="948">
      <pivotArea dataOnly="0" labelOnly="1" outline="0" fieldPosition="0">
        <references count="5">
          <reference field="0" count="0" selected="0"/>
          <reference field="1" count="0" selected="0"/>
          <reference field="2" count="0" selected="0"/>
          <reference field="3" count="0" selected="0"/>
          <reference field="4" count="0"/>
        </references>
      </pivotArea>
    </format>
    <format dxfId="949">
      <pivotArea dataOnly="0" labelOnly="1" outline="0" fieldPosition="0">
        <references count="1">
          <reference field="4294967294" count="4">
            <x v="0"/>
            <x v="1"/>
            <x v="2"/>
            <x v="3"/>
          </reference>
        </references>
      </pivotArea>
    </format>
    <format dxfId="950">
      <pivotArea outline="0" collapsedLevelsAreSubtotals="1" fieldPosition="0"/>
    </format>
    <format dxfId="1">
      <pivotArea field="17" type="button" dataOnly="0" labelOnly="1" outline="0" axis="axisRow" fieldPosition="11"/>
    </format>
    <format dxfId="0">
      <pivotArea field="18" type="button" dataOnly="0" labelOnly="1" outline="0" axis="axisRow" fieldPosition="12"/>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4835E0-76E8-4B03-A680-85B2C61C7D13}" name="AgedAccountsRecievableByPeriodLCY" cacheId="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olHeaderCaption="$PostingDate$">
  <location ref="B1:G7" firstHeaderRow="1" firstDataRow="5" firstDataCol="2"/>
  <pivotFields count="30">
    <pivotField compact="0" numFmtId="14" outline="0" showAll="0" defaultSubtotal="0">
      <items count="1">
        <item x="0"/>
      </items>
    </pivotField>
    <pivotField compact="0" numFmtId="14" outline="0" showAll="0" defaultSubtotal="0"/>
    <pivotField compact="0" outline="0" showAll="0" defaultSubtotal="0"/>
    <pivotField compact="0" outline="0" showAll="0" defaultSubtotal="0"/>
    <pivotField dataField="1" compact="0" outline="0" showAll="0" defaultSubtotal="0"/>
    <pivotField compact="0" outline="0" showAll="0" defaultSubtotal="0"/>
    <pivotField name="$Dimension1Code$" compact="0" outline="0" showAll="0" defaultSubtotal="0">
      <items count="1">
        <item x="0"/>
      </items>
    </pivotField>
    <pivotField name="$Dimension2Code$" compact="0" outline="0" showAll="0" defaultSubtotal="0">
      <items count="1">
        <item x="0"/>
      </items>
    </pivotField>
    <pivotField name="$CurrencyCode$" compact="0" outline="0" showAll="0" defaultSubtotal="0"/>
    <pivotField name="PostingDate" compact="0" numFmtId="14" outline="0" showAll="0" defaultSubtotal="0">
      <items count="1">
        <item x="0"/>
      </items>
    </pivotField>
    <pivotField compact="0" numFmtId="14" outline="0" showAll="0" defaultSubtotal="0"/>
    <pivotField compact="0" numFmtId="14" outline="0" showAll="0" defaultSubtotal="0">
      <items count="1">
        <item x="0"/>
      </items>
    </pivotField>
    <pivotField name="$ReportingDate$" axis="axisCol" compact="0" outline="0" subtotalTop="0" showAll="0" defaultSubtotal="0">
      <items count="1">
        <item x="0"/>
      </items>
    </pivotField>
    <pivotField compact="0" outline="0" subtotalTop="0" showAll="0" defaultSubtotal="0"/>
    <pivotField compact="0" outline="0" subtotalTop="0" showAll="0" defaultSubtotal="0"/>
    <pivotField compact="0" outline="0" subtotalTop="0" showAll="0" defaultSubtotal="0"/>
    <pivotField compact="0" outline="0" showAll="0" defaultSubtotal="0"/>
    <pivotField name="$CustomerNumber$" axis="axisRow" compact="0" outline="0" showAll="0" defaultSubtotal="0">
      <items count="1">
        <item x="0"/>
      </items>
    </pivotField>
    <pivotField name="$CustomerName$" axis="axisRow" compact="0" outline="0" showAll="0" defaultSubtotal="0">
      <items count="1">
        <item x="0"/>
      </items>
    </pivotField>
    <pivotField name="Months (PostingDate)" compact="0" outline="0" showAll="0" defaultSubtotal="0">
      <items count="14">
        <item sd="0" x="0"/>
        <item sd="0" x="1"/>
        <item sd="0" x="2"/>
        <item sd="0" x="3"/>
        <item sd="0" x="4"/>
        <item sd="0" x="5"/>
        <item sd="0" x="6"/>
        <item sd="0" x="7"/>
        <item sd="0" x="8"/>
        <item sd="0" x="9"/>
        <item sd="0" x="10"/>
        <item sd="0" x="11"/>
        <item sd="0" x="12"/>
        <item sd="0" x="13"/>
      </items>
    </pivotField>
    <pivotField name="Quarters (PostingDate)" compact="0" outline="0" showAll="0" defaultSubtotal="0">
      <items count="6">
        <item x="1"/>
        <item sd="0" x="2"/>
        <item sd="0" x="3"/>
        <item sd="0" x="4"/>
        <item x="0"/>
        <item x="5"/>
      </items>
    </pivotField>
    <pivotField name="Years (PostingDate)" compact="0" outline="0" showAll="0" defaultSubtotal="0">
      <items count="3">
        <item x="1"/>
        <item x="0"/>
        <item x="2"/>
      </items>
    </pivotField>
    <pivotField compact="0" outline="0" subtotalTop="0" showAll="0" defaultSubtotal="0">
      <items count="368">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showAll="0" defaultSubtotal="0">
      <items count="6">
        <item sd="0" x="1"/>
        <item sd="0" x="2"/>
        <item sd="0" x="3"/>
        <item sd="0" x="4"/>
        <item x="0"/>
        <item x="5"/>
      </items>
    </pivotField>
    <pivotField compact="0" outline="0" subtotalTop="0" showAll="0" defaultSubtotal="0">
      <items count="3">
        <item x="1"/>
        <item x="0"/>
        <item x="2"/>
      </items>
    </pivotField>
    <pivotField name="$ReportingDate_Month$" axis="axisCol" compact="0" outline="0" subtotalTop="0" showAll="0" defaultSubtotal="0">
      <items count="14">
        <item sd="0" x="0"/>
        <item sd="0" x="1"/>
        <item sd="0" x="2"/>
        <item sd="0" x="3"/>
        <item sd="0" x="4"/>
        <item sd="0" x="5"/>
        <item sd="0" x="6"/>
        <item sd="0" x="7"/>
        <item sd="0" x="8"/>
        <item sd="0" x="9"/>
        <item sd="0" x="10"/>
        <item sd="0" x="11"/>
        <item sd="0" x="12"/>
        <item sd="0" x="13"/>
      </items>
    </pivotField>
    <pivotField name="$ReportingDate_Quarter$" axis="axisCol" compact="0" outline="0" subtotalTop="0" showAll="0" defaultSubtotal="0">
      <items count="6">
        <item x="1"/>
        <item sd="0" x="2"/>
        <item sd="0" x="3"/>
        <item x="4"/>
        <item x="0"/>
        <item x="5"/>
      </items>
    </pivotField>
    <pivotField name="$ReportingDate_Year$" axis="axisCol" compact="0" outline="0" subtotalTop="0" showAll="0" defaultSubtotal="0">
      <items count="3">
        <item x="1"/>
        <item x="0"/>
        <item x="2"/>
      </items>
    </pivotField>
  </pivotFields>
  <rowFields count="2">
    <field x="17"/>
    <field x="18"/>
  </rowFields>
  <rowItems count="2">
    <i>
      <x/>
      <x/>
    </i>
    <i t="grand">
      <x/>
    </i>
  </rowItems>
  <colFields count="4">
    <field x="29"/>
    <field x="28"/>
    <field x="27"/>
    <field x="12"/>
  </colFields>
  <colItems count="2">
    <i>
      <x/>
      <x/>
      <x v="1"/>
    </i>
    <i t="grand">
      <x/>
    </i>
  </colItems>
  <dataFields count="1">
    <dataField name="$OpenAmountsInLCY$" fld="4" baseField="0" baseItem="0" numFmtId="4"/>
  </dataFields>
  <formats count="27">
    <format dxfId="1255">
      <pivotArea type="origin" dataOnly="0" labelOnly="1" outline="0" fieldPosition="0"/>
    </format>
    <format dxfId="1254">
      <pivotArea field="29" type="button" dataOnly="0" labelOnly="1" outline="0" axis="axisCol" fieldPosition="0"/>
    </format>
    <format dxfId="1253">
      <pivotArea field="28" type="button" dataOnly="0" labelOnly="1" outline="0" axis="axisCol" fieldPosition="1"/>
    </format>
    <format dxfId="1252">
      <pivotArea field="27" type="button" dataOnly="0" labelOnly="1" outline="0" axis="axisCol" fieldPosition="2"/>
    </format>
    <format dxfId="1251">
      <pivotArea field="12" type="button" dataOnly="0" labelOnly="1" outline="0" axis="axisCol" fieldPosition="3"/>
    </format>
    <format dxfId="1250">
      <pivotArea field="17" type="button" dataOnly="0" labelOnly="1" outline="0" axis="axisRow" fieldPosition="0"/>
    </format>
    <format dxfId="1249">
      <pivotArea field="18" type="button" dataOnly="0" labelOnly="1" outline="0" axis="axisRow" fieldPosition="1"/>
    </format>
    <format dxfId="1248">
      <pivotArea dataOnly="0" labelOnly="1" outline="0" fieldPosition="0">
        <references count="1">
          <reference field="29" count="1">
            <x v="0"/>
          </reference>
        </references>
      </pivotArea>
    </format>
    <format dxfId="1247">
      <pivotArea dataOnly="0" labelOnly="1" grandCol="1" outline="0" fieldPosition="0"/>
    </format>
    <format dxfId="1246">
      <pivotArea dataOnly="0" labelOnly="1" outline="0" fieldPosition="0">
        <references count="2">
          <reference field="28" count="1">
            <x v="0"/>
          </reference>
          <reference field="29" count="1" selected="0">
            <x v="0"/>
          </reference>
        </references>
      </pivotArea>
    </format>
    <format dxfId="1245">
      <pivotArea dataOnly="0" labelOnly="1" outline="0" fieldPosition="0">
        <references count="3">
          <reference field="27" count="1">
            <x v="1"/>
          </reference>
          <reference field="28" count="1" selected="0">
            <x v="0"/>
          </reference>
          <reference field="29" count="1" selected="0">
            <x v="0"/>
          </reference>
        </references>
      </pivotArea>
    </format>
    <format dxfId="1244">
      <pivotArea type="all" dataOnly="0" outline="0" fieldPosition="0"/>
    </format>
    <format dxfId="1243">
      <pivotArea outline="0" collapsedLevelsAreSubtotals="1" fieldPosition="0"/>
    </format>
    <format dxfId="1242">
      <pivotArea type="origin" dataOnly="0" labelOnly="1" outline="0" fieldPosition="0"/>
    </format>
    <format dxfId="1241">
      <pivotArea field="29" type="button" dataOnly="0" labelOnly="1" outline="0" axis="axisCol" fieldPosition="0"/>
    </format>
    <format dxfId="1240">
      <pivotArea field="28" type="button" dataOnly="0" labelOnly="1" outline="0" axis="axisCol" fieldPosition="1"/>
    </format>
    <format dxfId="1239">
      <pivotArea field="27" type="button" dataOnly="0" labelOnly="1" outline="0" axis="axisCol" fieldPosition="2"/>
    </format>
    <format dxfId="1238">
      <pivotArea field="12" type="button" dataOnly="0" labelOnly="1" outline="0" axis="axisCol" fieldPosition="3"/>
    </format>
    <format dxfId="1237">
      <pivotArea field="17" type="button" dataOnly="0" labelOnly="1" outline="0" axis="axisRow" fieldPosition="0"/>
    </format>
    <format dxfId="1236">
      <pivotArea field="18" type="button" dataOnly="0" labelOnly="1" outline="0" axis="axisRow" fieldPosition="1"/>
    </format>
    <format dxfId="1235">
      <pivotArea dataOnly="0" labelOnly="1" outline="0" fieldPosition="0">
        <references count="1">
          <reference field="17" count="0"/>
        </references>
      </pivotArea>
    </format>
    <format dxfId="1234">
      <pivotArea dataOnly="0" labelOnly="1" grandRow="1" outline="0" fieldPosition="0"/>
    </format>
    <format dxfId="1233">
      <pivotArea dataOnly="0" labelOnly="1" outline="0" fieldPosition="0">
        <references count="2">
          <reference field="17" count="0" selected="0"/>
          <reference field="18" count="0"/>
        </references>
      </pivotArea>
    </format>
    <format dxfId="1232">
      <pivotArea dataOnly="0" labelOnly="1" outline="0" fieldPosition="0">
        <references count="1">
          <reference field="29" count="1">
            <x v="0"/>
          </reference>
        </references>
      </pivotArea>
    </format>
    <format dxfId="1231">
      <pivotArea dataOnly="0" labelOnly="1" grandCol="1" outline="0" fieldPosition="0"/>
    </format>
    <format dxfId="1230">
      <pivotArea dataOnly="0" labelOnly="1" outline="0" fieldPosition="0">
        <references count="2">
          <reference field="28" count="1">
            <x v="0"/>
          </reference>
          <reference field="29" count="1" selected="0">
            <x v="0"/>
          </reference>
        </references>
      </pivotArea>
    </format>
    <format dxfId="1229">
      <pivotArea dataOnly="0" labelOnly="1" outline="0" fieldPosition="0">
        <references count="3">
          <reference field="27" count="1">
            <x v="1"/>
          </reference>
          <reference field="28" count="1" selected="0">
            <x v="0"/>
          </reference>
          <reference field="29" count="1" selected="0">
            <x v="0"/>
          </reference>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5274A5-0971-4A65-8537-54450E10D62C}" name="AgedAccountsRecievableByPeriodFCY" cacheId="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olHeaderCaption="$PostingDate$">
  <location ref="B1:H7" firstHeaderRow="1" firstDataRow="5" firstDataCol="3"/>
  <pivotFields count="30">
    <pivotField compact="0" numFmtId="14" outline="0" showAll="0" defaultSubtotal="0">
      <items count="1">
        <item x="0"/>
      </items>
    </pivotField>
    <pivotField compact="0" numFmtId="14" outline="0" showAll="0" defaultSubtotal="0"/>
    <pivotField compact="0" outline="0" showAll="0" defaultSubtotal="0"/>
    <pivotField compact="0" outline="0" showAll="0" defaultSubtotal="0"/>
    <pivotField dataField="1" compact="0" outline="0" showAll="0" defaultSubtotal="0"/>
    <pivotField compact="0" outline="0" showAll="0" defaultSubtotal="0"/>
    <pivotField name="$Dimension1Code$" compact="0" outline="0" showAll="0" defaultSubtotal="0">
      <items count="1">
        <item x="0"/>
      </items>
    </pivotField>
    <pivotField name="$Dimension2Code$" compact="0" outline="0" showAll="0" defaultSubtotal="0">
      <items count="1">
        <item x="0"/>
      </items>
    </pivotField>
    <pivotField name="$CurrencyCodeDisplay$" axis="axisRow" compact="0" outline="0" showAll="0" defaultSubtotal="0">
      <items count="1">
        <item x="0"/>
      </items>
    </pivotField>
    <pivotField name="PostingDate" compact="0" numFmtId="14" outline="0" showAll="0" defaultSubtotal="0">
      <items count="1">
        <item x="0"/>
      </items>
    </pivotField>
    <pivotField compact="0" numFmtId="14" outline="0" showAll="0" defaultSubtotal="0"/>
    <pivotField compact="0" numFmtId="14" outline="0" showAll="0" defaultSubtotal="0">
      <items count="1">
        <item x="0"/>
      </items>
    </pivotField>
    <pivotField name="$ReportingDate$" axis="axisCol" compact="0" outline="0" subtotalTop="0" showAll="0" defaultSubtotal="0">
      <items count="1">
        <item x="0"/>
      </items>
    </pivotField>
    <pivotField compact="0" outline="0" subtotalTop="0" showAll="0" defaultSubtotal="0"/>
    <pivotField compact="0" outline="0" subtotalTop="0" showAll="0" defaultSubtotal="0"/>
    <pivotField compact="0" outline="0" subtotalTop="0" showAll="0" defaultSubtotal="0"/>
    <pivotField compact="0" outline="0" showAll="0" defaultSubtotal="0"/>
    <pivotField name="$CustomerNumber$" axis="axisRow" compact="0" outline="0" showAll="0" defaultSubtotal="0">
      <items count="1">
        <item x="0"/>
      </items>
    </pivotField>
    <pivotField name="$CustomerName$" axis="axisRow" compact="0" outline="0" showAll="0" defaultSubtotal="0">
      <items count="1">
        <item x="0"/>
      </items>
    </pivotField>
    <pivotField name="Months (PostingDate)" compact="0" outline="0" showAll="0" defaultSubtotal="0">
      <items count="14">
        <item sd="0" x="0"/>
        <item sd="0" x="1"/>
        <item sd="0" x="2"/>
        <item sd="0" x="3"/>
        <item sd="0" x="4"/>
        <item sd="0" x="5"/>
        <item sd="0" x="6"/>
        <item sd="0" x="7"/>
        <item sd="0" x="8"/>
        <item sd="0" x="9"/>
        <item sd="0" x="10"/>
        <item sd="0" x="11"/>
        <item sd="0" x="12"/>
        <item sd="0" x="13"/>
      </items>
    </pivotField>
    <pivotField name="Quarters (PostingDate)" compact="0" outline="0" showAll="0" defaultSubtotal="0">
      <items count="6">
        <item sd="0" x="1"/>
        <item sd="0" x="2"/>
        <item sd="0" x="3"/>
        <item sd="0" x="4"/>
        <item x="0"/>
        <item x="5"/>
      </items>
    </pivotField>
    <pivotField name="Years (PostingDate)" compact="0" outline="0" showAll="0" defaultSubtotal="0">
      <items count="3">
        <item x="1"/>
        <item x="0"/>
        <item x="2"/>
      </items>
    </pivotField>
    <pivotField compact="0" outline="0" subtotalTop="0" showAll="0" defaultSubtotal="0">
      <items count="368">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1"/>
        <item x="2"/>
        <item x="3"/>
        <item x="4"/>
        <item x="0"/>
        <item x="5"/>
      </items>
    </pivotField>
    <pivotField compact="0" outline="0" subtotalTop="0" showAll="0" defaultSubtotal="0">
      <items count="3">
        <item x="1"/>
        <item x="0"/>
        <item x="2"/>
      </items>
    </pivotField>
    <pivotField name="$ReportingDate_Month$" axis="axisCol" compact="0" outline="0" subtotalTop="0" showAll="0" defaultSubtotal="0">
      <items count="14">
        <item sd="0" x="0"/>
        <item sd="0" x="1"/>
        <item sd="0" x="2"/>
        <item sd="0" x="3"/>
        <item sd="0" x="4"/>
        <item sd="0" x="5"/>
        <item sd="0" x="6"/>
        <item sd="0" x="7"/>
        <item sd="0" x="8"/>
        <item sd="0" x="9"/>
        <item sd="0" x="10"/>
        <item sd="0" x="11"/>
        <item sd="0" x="12"/>
        <item sd="0" x="13"/>
      </items>
    </pivotField>
    <pivotField name="$ReportingDate_Quarter$" axis="axisCol" compact="0" outline="0" subtotalTop="0" showAll="0" defaultSubtotal="0">
      <items count="6">
        <item x="1"/>
        <item sd="0" x="2"/>
        <item sd="0" x="3"/>
        <item x="4"/>
        <item x="0"/>
        <item x="5"/>
      </items>
    </pivotField>
    <pivotField name="$ReportingDate_Year$" axis="axisCol" compact="0" outline="0" subtotalTop="0" showAll="0" defaultSubtotal="0">
      <items count="3">
        <item x="1"/>
        <item x="0"/>
        <item x="2"/>
      </items>
    </pivotField>
  </pivotFields>
  <rowFields count="3">
    <field x="17"/>
    <field x="18"/>
    <field x="8"/>
  </rowFields>
  <rowItems count="2">
    <i>
      <x/>
      <x/>
      <x/>
    </i>
    <i t="grand">
      <x/>
    </i>
  </rowItems>
  <colFields count="4">
    <field x="29"/>
    <field x="28"/>
    <field x="27"/>
    <field x="12"/>
  </colFields>
  <colItems count="2">
    <i>
      <x/>
      <x/>
      <x v="1"/>
    </i>
    <i t="grand">
      <x/>
    </i>
  </colItems>
  <dataFields count="1">
    <dataField name="$OpenAmountsInFCY$" fld="4" baseField="0" baseItem="0" numFmtId="4"/>
  </dataFields>
  <formats count="30">
    <format dxfId="1228">
      <pivotArea type="origin" dataOnly="0" labelOnly="1" outline="0" fieldPosition="0"/>
    </format>
    <format dxfId="1227">
      <pivotArea field="29" type="button" dataOnly="0" labelOnly="1" outline="0" axis="axisCol" fieldPosition="0"/>
    </format>
    <format dxfId="1226">
      <pivotArea field="28" type="button" dataOnly="0" labelOnly="1" outline="0" axis="axisCol" fieldPosition="1"/>
    </format>
    <format dxfId="1225">
      <pivotArea field="27" type="button" dataOnly="0" labelOnly="1" outline="0" axis="axisCol" fieldPosition="2"/>
    </format>
    <format dxfId="1224">
      <pivotArea field="12" type="button" dataOnly="0" labelOnly="1" outline="0" axis="axisCol" fieldPosition="3"/>
    </format>
    <format dxfId="1223">
      <pivotArea field="17" type="button" dataOnly="0" labelOnly="1" outline="0" axis="axisRow" fieldPosition="0"/>
    </format>
    <format dxfId="1222">
      <pivotArea field="18" type="button" dataOnly="0" labelOnly="1" outline="0" axis="axisRow" fieldPosition="1"/>
    </format>
    <format dxfId="1221">
      <pivotArea field="8" type="button" dataOnly="0" labelOnly="1" outline="0" axis="axisRow" fieldPosition="2"/>
    </format>
    <format dxfId="1220">
      <pivotArea dataOnly="0" labelOnly="1" outline="0" fieldPosition="0">
        <references count="1">
          <reference field="29" count="1">
            <x v="0"/>
          </reference>
        </references>
      </pivotArea>
    </format>
    <format dxfId="1219">
      <pivotArea dataOnly="0" labelOnly="1" grandCol="1" outline="0" fieldPosition="0"/>
    </format>
    <format dxfId="1218">
      <pivotArea dataOnly="0" labelOnly="1" outline="0" fieldPosition="0">
        <references count="2">
          <reference field="28" count="1">
            <x v="0"/>
          </reference>
          <reference field="29" count="1" selected="0">
            <x v="0"/>
          </reference>
        </references>
      </pivotArea>
    </format>
    <format dxfId="1217">
      <pivotArea dataOnly="0" labelOnly="1" outline="0" fieldPosition="0">
        <references count="3">
          <reference field="27" count="1">
            <x v="1"/>
          </reference>
          <reference field="28" count="1" selected="0">
            <x v="0"/>
          </reference>
          <reference field="29" count="1" selected="0">
            <x v="0"/>
          </reference>
        </references>
      </pivotArea>
    </format>
    <format dxfId="1216">
      <pivotArea type="all" dataOnly="0" outline="0" fieldPosition="0"/>
    </format>
    <format dxfId="1215">
      <pivotArea outline="0" collapsedLevelsAreSubtotals="1" fieldPosition="0"/>
    </format>
    <format dxfId="1214">
      <pivotArea type="origin" dataOnly="0" labelOnly="1" outline="0" fieldPosition="0"/>
    </format>
    <format dxfId="1213">
      <pivotArea field="29" type="button" dataOnly="0" labelOnly="1" outline="0" axis="axisCol" fieldPosition="0"/>
    </format>
    <format dxfId="1212">
      <pivotArea field="28" type="button" dataOnly="0" labelOnly="1" outline="0" axis="axisCol" fieldPosition="1"/>
    </format>
    <format dxfId="1211">
      <pivotArea field="27" type="button" dataOnly="0" labelOnly="1" outline="0" axis="axisCol" fieldPosition="2"/>
    </format>
    <format dxfId="1210">
      <pivotArea field="12" type="button" dataOnly="0" labelOnly="1" outline="0" axis="axisCol" fieldPosition="3"/>
    </format>
    <format dxfId="1209">
      <pivotArea field="17" type="button" dataOnly="0" labelOnly="1" outline="0" axis="axisRow" fieldPosition="0"/>
    </format>
    <format dxfId="1208">
      <pivotArea field="18" type="button" dataOnly="0" labelOnly="1" outline="0" axis="axisRow" fieldPosition="1"/>
    </format>
    <format dxfId="1207">
      <pivotArea field="8" type="button" dataOnly="0" labelOnly="1" outline="0" axis="axisRow" fieldPosition="2"/>
    </format>
    <format dxfId="1206">
      <pivotArea dataOnly="0" labelOnly="1" outline="0" fieldPosition="0">
        <references count="1">
          <reference field="17" count="0"/>
        </references>
      </pivotArea>
    </format>
    <format dxfId="1205">
      <pivotArea dataOnly="0" labelOnly="1" grandRow="1" outline="0" fieldPosition="0"/>
    </format>
    <format dxfId="1204">
      <pivotArea dataOnly="0" labelOnly="1" outline="0" fieldPosition="0">
        <references count="2">
          <reference field="17" count="0" selected="0"/>
          <reference field="18" count="0"/>
        </references>
      </pivotArea>
    </format>
    <format dxfId="1203">
      <pivotArea dataOnly="0" labelOnly="1" outline="0" fieldPosition="0">
        <references count="3">
          <reference field="8" count="0"/>
          <reference field="17" count="0" selected="0"/>
          <reference field="18" count="0" selected="0"/>
        </references>
      </pivotArea>
    </format>
    <format dxfId="1202">
      <pivotArea dataOnly="0" labelOnly="1" outline="0" fieldPosition="0">
        <references count="1">
          <reference field="29" count="1">
            <x v="0"/>
          </reference>
        </references>
      </pivotArea>
    </format>
    <format dxfId="1201">
      <pivotArea dataOnly="0" labelOnly="1" grandCol="1" outline="0" fieldPosition="0"/>
    </format>
    <format dxfId="1200">
      <pivotArea dataOnly="0" labelOnly="1" outline="0" fieldPosition="0">
        <references count="2">
          <reference field="28" count="1">
            <x v="0"/>
          </reference>
          <reference field="29" count="1" selected="0">
            <x v="0"/>
          </reference>
        </references>
      </pivotArea>
    </format>
    <format dxfId="1199">
      <pivotArea dataOnly="0" labelOnly="1" outline="0" fieldPosition="0">
        <references count="3">
          <reference field="27" count="1">
            <x v="1"/>
          </reference>
          <reference field="28" count="1" selected="0">
            <x v="0"/>
          </reference>
          <reference field="29" count="1" selected="0">
            <x v="0"/>
          </reference>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D63077-F263-4723-BBF9-4D0E0A9042B8}" name="PivotTable7" cacheId="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olHeaderCaption="$CurrencyCode$">
  <location ref="B1:I4" firstHeaderRow="1" firstDataRow="2" firstDataCol="6"/>
  <pivotFields count="30">
    <pivotField compact="0" numFmtId="14" outline="0" showAll="0" defaultSubtotal="0">
      <items count="1">
        <item x="0"/>
      </items>
    </pivotField>
    <pivotField compact="0" numFmtId="14" outline="0" showAll="0" defaultSubtotal="0"/>
    <pivotField dataField="1" compact="0" outline="0" showAll="0" defaultSubtotal="0"/>
    <pivotField compact="0" outline="0" showAll="0" defaultSubtotal="0"/>
    <pivotField compact="0" outline="0" showAll="0" defaultSubtotal="0"/>
    <pivotField compact="0" outline="0" showAll="0" defaultSubtotal="0"/>
    <pivotField name="$Dimension1Code$" compact="0" outline="0" showAll="0" defaultSubtotal="0">
      <items count="1">
        <item x="0"/>
      </items>
    </pivotField>
    <pivotField name="$Dimension2Code$" compact="0" outline="0" showAll="0" defaultSubtotal="0">
      <items count="1">
        <item x="0"/>
      </items>
    </pivotField>
    <pivotField name="$CurrencyCodeDisplay$" axis="axisCol" compact="0" outline="0" showAll="0" defaultSubtotal="0">
      <items count="1">
        <item x="0"/>
      </items>
    </pivotField>
    <pivotField compact="0" numFmtId="14" outline="0" showAll="0" defaultSubtotal="0">
      <items count="1">
        <item x="0"/>
      </items>
    </pivotField>
    <pivotField compact="0" numFmtId="14" outline="0" showAll="0" defaultSubtotal="0"/>
    <pivotField name="$DueDate$" axis="axisRow" compact="0" numFmtId="14" outline="0" showAll="0" defaultSubtotal="0">
      <items count="1">
        <item x="0"/>
      </items>
    </pivotField>
    <pivotField compact="0" outline="0" subtotalTop="0" showAll="0" defaultSubtotal="0">
      <items count="1">
        <item x="0"/>
      </items>
    </pivotField>
    <pivotField compact="0" outline="0" subtotalTop="0" showAll="0" defaultSubtotal="0"/>
    <pivotField compact="0" outline="0" subtotalTop="0" showAll="0" defaultSubtotal="0"/>
    <pivotField compact="0" outline="0" subtotalTop="0" showAll="0" defaultSubtotal="0"/>
    <pivotField compact="0" outline="0" showAll="0" defaultSubtotal="0"/>
    <pivotField name="$CustomerNumber$" axis="axisRow" compact="0" outline="0" showAll="0" defaultSubtotal="0">
      <items count="1">
        <item x="0"/>
      </items>
    </pivotField>
    <pivotField name="$CustomerName$" axis="axisRow" compact="0" outline="0" showAll="0" defaultSubtotal="0">
      <items count="1">
        <item x="0"/>
      </items>
    </pivotField>
    <pivotField compact="0" outline="0" showAll="0" defaultSubtotal="0"/>
    <pivotField compact="0" outline="0" showAll="0" defaultSubtotal="0"/>
    <pivotField compact="0" outline="0" showAll="0" defaultSubtotal="0">
      <items count="3">
        <item x="1"/>
        <item x="0"/>
        <item x="2"/>
      </items>
    </pivotField>
    <pivotField compact="0" outline="0" showAll="0" defaultSubtotal="0"/>
    <pivotField compact="0" outline="0" showAll="0" defaultSubtotal="0">
      <items count="14">
        <item x="0"/>
        <item x="1"/>
        <item x="2"/>
        <item x="3"/>
        <item x="4"/>
        <item x="5"/>
        <item x="6"/>
        <item x="7"/>
        <item x="8"/>
        <item x="9"/>
        <item x="10"/>
        <item x="11"/>
        <item x="12"/>
        <item x="13"/>
      </items>
    </pivotField>
    <pivotField name="$DueDateMonth$" axis="axisRow" compact="0" outline="0" showAll="0" defaultSubtotal="0">
      <items count="14">
        <item sd="0" x="0"/>
        <item sd="0" x="1"/>
        <item sd="0" x="2"/>
        <item sd="0" x="3"/>
        <item sd="0" x="4"/>
        <item sd="0" x="5"/>
        <item sd="0" x="6"/>
        <item sd="0" x="7"/>
        <item sd="0" x="8"/>
        <item sd="0" x="9"/>
        <item sd="0" x="10"/>
        <item sd="0" x="11"/>
        <item sd="0" x="12"/>
        <item sd="0" x="13"/>
      </items>
    </pivotField>
    <pivotField name="$DueDateQuarter$" axis="axisRow" compact="0" outline="0" showAll="0" defaultSubtotal="0">
      <items count="6">
        <item x="1"/>
        <item sd="0" x="2"/>
        <item sd="0" x="3"/>
        <item x="4"/>
        <item x="0"/>
        <item x="5"/>
      </items>
    </pivotField>
    <pivotField name="$DueDateYear$" axis="axisRow" compact="0" outline="0" showAll="0" defaultSubtotal="0">
      <items count="3">
        <item x="1"/>
        <item x="0"/>
        <item x="2"/>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1"/>
        <item x="2"/>
        <item x="3"/>
        <item x="4"/>
        <item x="0"/>
        <item x="5"/>
      </items>
    </pivotField>
    <pivotField compact="0" outline="0" subtotalTop="0" showAll="0" defaultSubtotal="0">
      <items count="3">
        <item x="1"/>
        <item x="0"/>
        <item x="2"/>
      </items>
    </pivotField>
  </pivotFields>
  <rowFields count="6">
    <field x="26"/>
    <field x="25"/>
    <field x="24"/>
    <field x="11"/>
    <field x="17"/>
    <field x="18"/>
  </rowFields>
  <rowItems count="2">
    <i>
      <x/>
      <x/>
      <x v="1"/>
    </i>
    <i t="grand">
      <x/>
    </i>
  </rowItems>
  <colFields count="1">
    <field x="8"/>
  </colFields>
  <colItems count="2">
    <i>
      <x/>
    </i>
    <i t="grand">
      <x/>
    </i>
  </colItems>
  <dataFields count="1">
    <dataField name="$OpenByFCY$" fld="2" baseField="0" baseItem="0" numFmtId="4"/>
  </dataFields>
  <formats count="29">
    <format dxfId="1198">
      <pivotArea type="all" dataOnly="0" outline="0" fieldPosition="0"/>
    </format>
    <format dxfId="1197">
      <pivotArea type="origin" dataOnly="0" labelOnly="1" outline="0" fieldPosition="0"/>
    </format>
    <format dxfId="1196">
      <pivotArea field="8" type="button" dataOnly="0" labelOnly="1" outline="0" axis="axisCol" fieldPosition="0"/>
    </format>
    <format dxfId="1195">
      <pivotArea type="topRight" dataOnly="0" labelOnly="1" outline="0" fieldPosition="0"/>
    </format>
    <format dxfId="1194">
      <pivotArea field="26" type="button" dataOnly="0" labelOnly="1" outline="0" axis="axisRow" fieldPosition="0"/>
    </format>
    <format dxfId="1193">
      <pivotArea field="25" type="button" dataOnly="0" labelOnly="1" outline="0" axis="axisRow" fieldPosition="1"/>
    </format>
    <format dxfId="1192">
      <pivotArea field="24" type="button" dataOnly="0" labelOnly="1" outline="0" axis="axisRow" fieldPosition="2"/>
    </format>
    <format dxfId="1191">
      <pivotArea field="11" type="button" dataOnly="0" labelOnly="1" outline="0" axis="axisRow" fieldPosition="3"/>
    </format>
    <format dxfId="1190">
      <pivotArea field="17" type="button" dataOnly="0" labelOnly="1" outline="0" axis="axisRow" fieldPosition="4"/>
    </format>
    <format dxfId="1189">
      <pivotArea field="18" type="button" dataOnly="0" labelOnly="1" outline="0" axis="axisRow" fieldPosition="5"/>
    </format>
    <format dxfId="1188">
      <pivotArea dataOnly="0" labelOnly="1" outline="0" fieldPosition="0">
        <references count="1">
          <reference field="8" count="0"/>
        </references>
      </pivotArea>
    </format>
    <format dxfId="1187">
      <pivotArea dataOnly="0" labelOnly="1" grandCol="1" outline="0" fieldPosition="0"/>
    </format>
    <format dxfId="1186">
      <pivotArea type="all" dataOnly="0" outline="0" fieldPosition="0"/>
    </format>
    <format dxfId="1185">
      <pivotArea outline="0" collapsedLevelsAreSubtotals="1" fieldPosition="0"/>
    </format>
    <format dxfId="1184">
      <pivotArea type="origin" dataOnly="0" labelOnly="1" outline="0" fieldPosition="0"/>
    </format>
    <format dxfId="1183">
      <pivotArea field="8" type="button" dataOnly="0" labelOnly="1" outline="0" axis="axisCol" fieldPosition="0"/>
    </format>
    <format dxfId="1182">
      <pivotArea type="topRight" dataOnly="0" labelOnly="1" outline="0" fieldPosition="0"/>
    </format>
    <format dxfId="1181">
      <pivotArea field="26" type="button" dataOnly="0" labelOnly="1" outline="0" axis="axisRow" fieldPosition="0"/>
    </format>
    <format dxfId="1180">
      <pivotArea field="25" type="button" dataOnly="0" labelOnly="1" outline="0" axis="axisRow" fieldPosition="1"/>
    </format>
    <format dxfId="1179">
      <pivotArea field="24" type="button" dataOnly="0" labelOnly="1" outline="0" axis="axisRow" fieldPosition="2"/>
    </format>
    <format dxfId="1178">
      <pivotArea field="11" type="button" dataOnly="0" labelOnly="1" outline="0" axis="axisRow" fieldPosition="3"/>
    </format>
    <format dxfId="1177">
      <pivotArea field="17" type="button" dataOnly="0" labelOnly="1" outline="0" axis="axisRow" fieldPosition="4"/>
    </format>
    <format dxfId="1176">
      <pivotArea field="18" type="button" dataOnly="0" labelOnly="1" outline="0" axis="axisRow" fieldPosition="5"/>
    </format>
    <format dxfId="1175">
      <pivotArea dataOnly="0" labelOnly="1" outline="0" fieldPosition="0">
        <references count="1">
          <reference field="26" count="1">
            <x v="0"/>
          </reference>
        </references>
      </pivotArea>
    </format>
    <format dxfId="1174">
      <pivotArea dataOnly="0" labelOnly="1" grandRow="1" outline="0" fieldPosition="0"/>
    </format>
    <format dxfId="1173">
      <pivotArea dataOnly="0" labelOnly="1" outline="0" fieldPosition="0">
        <references count="2">
          <reference field="25" count="1">
            <x v="0"/>
          </reference>
          <reference field="26" count="1" selected="0">
            <x v="0"/>
          </reference>
        </references>
      </pivotArea>
    </format>
    <format dxfId="1172">
      <pivotArea dataOnly="0" labelOnly="1" outline="0" fieldPosition="0">
        <references count="3">
          <reference field="24" count="1">
            <x v="1"/>
          </reference>
          <reference field="25" count="1" selected="0">
            <x v="0"/>
          </reference>
          <reference field="26" count="1" selected="0">
            <x v="0"/>
          </reference>
        </references>
      </pivotArea>
    </format>
    <format dxfId="1171">
      <pivotArea dataOnly="0" labelOnly="1" outline="0" fieldPosition="0">
        <references count="1">
          <reference field="8" count="0"/>
        </references>
      </pivotArea>
    </format>
    <format dxfId="1170">
      <pivotArea dataOnly="0" labelOnly="1" grandCol="1" outline="0" fieldPosition="0"/>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EF3D56DD-4D32-4237-B9E8-EAE4423B3461}" autoFormatId="16" applyNumberFormats="0" applyBorderFormats="0" applyFontFormats="0" applyPatternFormats="0" applyAlignmentFormats="0" applyWidthHeightFormats="0">
  <queryTableRefresh nextId="24">
    <queryTableFields count="19">
      <queryTableField id="1" name="PeriodStart" tableColumnId="1"/>
      <queryTableField id="2" name="PeriodEnd" tableColumnId="2"/>
      <queryTableField id="3" name="RemainingAmount" tableColumnId="3"/>
      <queryTableField id="4" name="OriginalAmount" tableColumnId="4"/>
      <queryTableField id="5" name="RemainingAmountLCY" tableColumnId="5"/>
      <queryTableField id="6" name="OriginalAmountLCY" tableColumnId="6"/>
      <queryTableField id="7" name="Dimension1Code" tableColumnId="7"/>
      <queryTableField id="8" name="Dimension2Code" tableColumnId="8"/>
      <queryTableField id="9" name="CurrencyCode" tableColumnId="9"/>
      <queryTableField id="10" name="PostingDate" tableColumnId="10"/>
      <queryTableField id="11" name="DocumentDate" tableColumnId="11"/>
      <queryTableField id="12" name="DueDate" tableColumnId="12"/>
      <queryTableField id="16" name="ReportingDate" tableColumnId="16"/>
      <queryTableField id="17" name="ReportingDate_Month" tableColumnId="17"/>
      <queryTableField id="18" name="ReportingDate_Quarter" tableColumnId="18"/>
      <queryTableField id="19" name="ReportingDate_Year" tableColumnId="19"/>
      <queryTableField id="13" name="EntryNo" tableColumnId="13"/>
      <queryTableField id="14" name="CustomerNumber" tableColumnId="14"/>
      <queryTableField id="15" name="CustomerName"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1Code" xr10:uid="{63B783AA-1887-4B23-BC66-4B12CB1270D2}" sourceName="Dimension1Code">
  <pivotTables>
    <pivotTable tabId="10" name="AgedAccountsRecievableByPeriodLCY"/>
  </pivotTables>
  <data>
    <tabular pivotCacheId="479287737"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2Code" xr10:uid="{080373AC-394A-4F6B-ACDB-DEE3126D6C05}" sourceName="Dimension2Code">
  <pivotTables>
    <pivotTable tabId="10" name="AgedAccountsRecievableByPeriodLCY"/>
  </pivotTables>
  <data>
    <tabular pivotCacheId="479287737" showMissing="0">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umber" xr10:uid="{4CA4AD60-9752-45A2-BFFE-44B9E0A94629}" sourceName="CustomerNumber">
  <pivotTables>
    <pivotTable tabId="10" name="AgedAccountsRecievableByPeriodLCY"/>
  </pivotTables>
  <data>
    <tabular pivotCacheId="479287737" showMissing="0">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1Code1" xr10:uid="{C751D1C8-0C02-47F0-8F58-55C64E61C0A0}" sourceName="Dimension1Code">
  <pivotTables>
    <pivotTable tabId="15" name="AgedAccountsRecievableByPeriodFCY"/>
  </pivotTables>
  <data>
    <tabular pivotCacheId="479287737" showMissing="0">
      <items count="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2Code1" xr10:uid="{74376C90-0A06-42CA-970D-DB7C76C25004}" sourceName="Dimension2Code">
  <pivotTables>
    <pivotTable tabId="15" name="AgedAccountsRecievableByPeriodFCY"/>
  </pivotTables>
  <data>
    <tabular pivotCacheId="479287737" showMissing="0">
      <items count="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Code" xr10:uid="{891F2984-6D04-44F2-9DE2-C4889FAD2654}" sourceName="CurrencyCode">
  <pivotTables>
    <pivotTable tabId="15" name="AgedAccountsRecievableByPeriodFCY"/>
  </pivotTables>
  <data>
    <tabular pivotCacheId="479287737" showMissing="0">
      <items count="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umber1" xr10:uid="{716C6546-660D-4FF9-89E6-84BC00E6937F}" sourceName="CustomerNumber">
  <pivotTables>
    <pivotTable tabId="15" name="AgedAccountsRecievableByPeriodFCY"/>
  </pivotTables>
  <data>
    <tabular pivotCacheId="479287737" showMissing="0">
      <items count="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1Code2" xr10:uid="{A46EE742-F1E3-473E-938C-6A8E512853D5}" sourceName="Dimension1Code">
  <pivotTables>
    <pivotTable tabId="16" name="PivotTable7"/>
  </pivotTables>
  <data>
    <tabular pivotCacheId="479287737" showMissing="0">
      <items count="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2Code2" xr10:uid="{EDA6C219-0B17-4607-BBE9-2DB140F606CF}" sourceName="Dimension2Code">
  <pivotTables>
    <pivotTable tabId="16" name="PivotTable7"/>
  </pivotTables>
  <data>
    <tabular pivotCacheId="479287737" showMissing="0">
      <items count="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umber2" xr10:uid="{64BF0B47-85B1-491D-8C7B-6A03A4F16C10}" sourceName="CustomerNumber">
  <pivotTables>
    <pivotTable tabId="16" name="PivotTable7"/>
  </pivotTables>
  <data>
    <tabular pivotCacheId="479287737" showMissing="0">
      <items count="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Code1" xr10:uid="{FDA5C683-9069-49BB-B00A-1D47860CBB9E}" sourceName="CurrencyCode">
  <pivotTables>
    <pivotTable tabId="16" name="PivotTable7"/>
  </pivotTables>
  <data>
    <tabular pivotCacheId="479287737"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mension1Code$" xr10:uid="{0B60DEDA-79BF-48E9-9133-3AB36F715FCC}" cache="Slicer_Dimension1Code" caption="$Dimension1Code$" rowHeight="241300"/>
  <slicer name="$Dimension2Code$" xr10:uid="{9597B613-C800-4DDA-BE48-A2B28F7D3B8C}" cache="Slicer_Dimension2Code" caption="$Dimension2Code$" rowHeight="241300"/>
  <slicer name="$CustomerNumber$" xr10:uid="{687B21D2-C034-44E3-BB5A-BE7A168B1813}" cache="Slicer_CustomerNumber" caption="$CustomerNumb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mension1Code$ 1" xr10:uid="{95DDE369-3E90-4312-B9E3-C48AF42213AA}" cache="Slicer_Dimension1Code1" caption="$Dimension1Code$" rowHeight="241300"/>
  <slicer name="$Dimension2Code$ 1" xr10:uid="{794ACF74-FA01-499D-853E-AE41F0FCA390}" cache="Slicer_Dimension2Code1" caption="$Dimension2Code$" rowHeight="241300"/>
  <slicer name="$CurrencyCode$" xr10:uid="{193A4EDE-E8DD-4410-A878-93D4F1534092}" cache="Slicer_CurrencyCode" caption="$CurrencyCodeDisplay$" rowHeight="241300"/>
  <slicer name="$CustomerNumber$ 1" xr10:uid="{09B945AD-71FA-4480-8FF8-18AE29668044}" cache="Slicer_CustomerNumber1" caption="$CustomerNumb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mension1Code$ 2" xr10:uid="{978889E0-4C2A-49A4-83AD-E9F2242CE24C}" cache="Slicer_Dimension1Code2" caption="$Dimension1Code$" rowHeight="241300"/>
  <slicer name="$Dimension2Code$ 2" xr10:uid="{57773E69-23C4-4491-8CC9-8CBBB4B03358}" cache="Slicer_Dimension2Code2" caption="$Dimension2Code$" rowHeight="241300"/>
  <slicer name="$CustomerNumber$ 2" xr10:uid="{7602B0E7-0754-47AF-A6DF-D4E934B25498}" cache="Slicer_CustomerNumber2" caption="$CustomerNumber$" rowHeight="241300"/>
  <slicer name="$CurrencyCode$ 1" xr10:uid="{0FB9EB0C-D132-440E-BEB6-0706DB66F515}" cache="Slicer_CurrencyCode1" caption="$CurrencyCodeDisplay$"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headerRowDxfId="1169">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Business Central Reports Table Style (Templat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A8D5DA4-0B08-4F36-BE68-5A21E3FC9972}" name="CustomerAgingDataAnalysis" displayName="CustomerAgingDataAnalysis" ref="A1:S2" tableType="queryTable" totalsRowShown="0">
  <autoFilter ref="A1:S2" xr:uid="{FA8D5DA4-0B08-4F36-BE68-5A21E3FC9972}"/>
  <tableColumns count="19">
    <tableColumn id="1" xr3:uid="{5FE20726-1A64-4173-AD65-A583D701378F}" uniqueName="1" name="PeriodStart" queryTableFieldId="1" dataDxfId="1117"/>
    <tableColumn id="2" xr3:uid="{8C3C044C-8FD5-4A22-9111-43E1DA83186C}" uniqueName="2" name="PeriodEnd" queryTableFieldId="2" dataDxfId="1116"/>
    <tableColumn id="3" xr3:uid="{B30EAA7C-7BF1-4EB5-B95C-BAACB61F7206}" uniqueName="3" name="RemainingAmount" queryTableFieldId="3"/>
    <tableColumn id="4" xr3:uid="{AEF0A71B-ADD3-48F1-AB00-F71DA7A79E8C}" uniqueName="4" name="OriginalAmount" queryTableFieldId="4"/>
    <tableColumn id="5" xr3:uid="{A7524598-55BB-4104-B8A5-99D1DF910209}" uniqueName="5" name="RemainingAmountLCY" queryTableFieldId="5"/>
    <tableColumn id="6" xr3:uid="{D602F8FB-BB9B-415D-8C04-5F849F9B5ED4}" uniqueName="6" name="OriginalAmountLCY" queryTableFieldId="6"/>
    <tableColumn id="7" xr3:uid="{7E6957CA-468B-4434-A2E2-DFED9A602601}" uniqueName="7" name="Dimension1Code" queryTableFieldId="7" dataDxfId="1168"/>
    <tableColumn id="8" xr3:uid="{F4A84355-391F-42A4-875F-4F1DCB54889E}" uniqueName="8" name="Dimension2Code" queryTableFieldId="8" dataDxfId="1167"/>
    <tableColumn id="9" xr3:uid="{7B9E46A1-D887-46B9-A49B-7524946CCE88}" uniqueName="9" name="CurrencyCode" queryTableFieldId="9" dataDxfId="1166"/>
    <tableColumn id="10" xr3:uid="{BFE38CD6-A291-4D57-B9B7-0FF74A61E2C2}" uniqueName="10" name="PostingDate" queryTableFieldId="10" dataDxfId="1115"/>
    <tableColumn id="11" xr3:uid="{FFAE3EF4-2188-4257-B69C-00EA3B22AA94}" uniqueName="11" name="DocumentDate" queryTableFieldId="11" dataDxfId="1114"/>
    <tableColumn id="12" xr3:uid="{28CDF7DD-35CE-416B-BF2F-E37873EA8EC0}" uniqueName="12" name="DueDate" queryTableFieldId="12" dataDxfId="1113"/>
    <tableColumn id="16" xr3:uid="{E1D50C0E-DA36-445B-852A-0CEFEEC07672}" uniqueName="16" name="ReportingDate" queryTableFieldId="16" dataDxfId="1112"/>
    <tableColumn id="17" xr3:uid="{0CC1B2CD-2E3B-45A7-BB7E-2ADBBA4C7978}" uniqueName="17" name="ReportingDate_Month" queryTableFieldId="17" dataDxfId="1165"/>
    <tableColumn id="18" xr3:uid="{04680967-CA3B-4091-BD5D-5491A03F8B99}" uniqueName="18" name="ReportingDate_Quarter" queryTableFieldId="18" dataDxfId="1164"/>
    <tableColumn id="19" xr3:uid="{1DB152ED-0CDD-46B7-8B43-E2987D318664}" uniqueName="19" name="ReportingDate_Year" queryTableFieldId="19" dataDxfId="1163"/>
    <tableColumn id="13" xr3:uid="{9C0EACA8-D984-4751-AC16-C124E634F400}" uniqueName="13" name="EntryNo" queryTableFieldId="13"/>
    <tableColumn id="14" xr3:uid="{6262D5E0-920F-4037-A84E-0C6DDC12F214}" uniqueName="14" name="CustomerNumber" queryTableFieldId="14" dataDxfId="1162"/>
    <tableColumn id="15" xr3:uid="{3F3A0963-ECF7-456A-9704-5A98645ED769}" uniqueName="15" name="CustomerName" queryTableFieldId="15" dataDxfId="1161"/>
  </tableColumns>
  <tableStyleInfo name="TableStyleMedium7" showFirstColumn="0" showLastColumn="0" showRowStripes="1" showColumnStripes="0"/>
</table>
</file>

<file path=xl/tables/table3.xml><?xml version="1.0" encoding="utf-8"?>
<x:table xmlns:mc="http://schemas.openxmlformats.org/markup-compatibility/2006" xmlns:xr="http://schemas.microsoft.com/office/spreadsheetml/2014/revision" xmlns:xr3="http://schemas.microsoft.com/office/spreadsheetml/2016/revision3" xmlns:x="http://schemas.openxmlformats.org/spreadsheetml/2006/main" id="5" name="CustomerAgingData" displayName="CustomerAgingData" ref="A1:U2" insertRow="1" totalsRowShown="0" headerRowDxfId="1160" xr:uid="{4D8AF2CE-7229-4FC1-B9DE-AB8CC6186AA5}" mc:Ignorable="xr xr3">
  <x:autoFilter ref="A1:U2" xr:uid="{4D8AF2CE-7229-4FC1-B9DE-AB8CC6186AA5}"/>
  <x:tableColumns count="21">
    <x:tableColumn id="1" name="PeriodStart" dataDxfId="1159" xr3:uid="{981E6834-39A6-4819-B80D-E873650F777A}"/>
    <x:tableColumn id="2" name="PeriodEnd" dataDxfId="1158" xr3:uid="{BFBEAD78-FC7C-476B-A320-768E5E4E012F}"/>
    <x:tableColumn id="3" name="RemainingAmount" dataDxfId="1157" xr3:uid="{A7601170-D2A3-406C-B999-FE3A7A5ADD32}"/>
    <x:tableColumn id="4" name="OriginalAmount" dataDxfId="1156" xr3:uid="{115754F4-AEBE-4765-BB32-2CB99E1EDBBB}"/>
    <x:tableColumn id="5" name="RemainingAmountLCY" dataDxfId="1155" xr3:uid="{1368BE5D-8584-4DB3-BD3B-D626880F3B69}"/>
    <x:tableColumn id="6" name="OriginalAmountLCY" dataDxfId="1154" xr3:uid="{370AB9CB-6B27-434E-9240-A2055E80E1D8}"/>
    <x:tableColumn id="7" name="Dimension1Code" dataDxfId="1153" xr3:uid="{7B5E708B-2BAD-4042-93B4-BC3EB2187076}"/>
    <x:tableColumn id="8" name="Dimension2Code" dataDxfId="1152" xr3:uid="{DCE6D374-2A36-4928-972A-CAD4134A98FC}"/>
    <x:tableColumn id="9" name="CurrencyCode" dataDxfId="1151" xr3:uid="{3120F039-9606-43CE-B7C2-1AAF0E5736E6}"/>
    <x:tableColumn id="10" name="PostingDate" dataDxfId="1150" xr3:uid="{1698B3C1-540C-4868-B403-9B17F8BA1FCC}"/>
    <x:tableColumn id="11" name="DocumentDate" dataDxfId="1149" xr3:uid="{CBAF6C5C-24CF-4BA9-9079-DBE9998400E3}"/>
    <x:tableColumn id="12" name="DueDate" dataDxfId="1148" xr3:uid="{5565CB2F-830E-4E34-A100-DA2D84D8386A}"/>
    <x:tableColumn id="13" name="ReportingDate" dataDxfId="1147" xr3:uid="{1B36DEC9-EFBD-4726-BD13-10C73D24CE5D}"/>
    <x:tableColumn id="14" name="ReportingDate_Month" dataDxfId="1146" xr3:uid="{4346D27D-B078-489F-8281-AE63CC133026}"/>
    <x:tableColumn id="15" name="ReportingDate_Quarter" dataDxfId="1145" xr3:uid="{ABC743BB-3242-4645-BA5F-18A914CEC211}"/>
    <x:tableColumn id="16" name="ReportingDate_Year" dataDxfId="1144" xr3:uid="{30A14369-57D3-4763-A726-4854F2520E87}"/>
    <x:tableColumn id="17" name="EntryNo" dataDxfId="1143" xr3:uid="{D26CDD37-9C98-42D6-B7EA-DD962135F485}"/>
    <x:tableColumn id="18" name="CustomerNumber" dataDxfId="1142" xr3:uid="{06DAE1A4-70D5-4E33-B81B-516FB9F03710}"/>
    <x:tableColumn id="19" name="CustomerName" xr3:uid="{32E5311C-40DF-4DB2-968E-7A2CDFAA36DF}"/>
    <x:tableColumn id="20" name="DocumentType" dataDxfId="951" xr3:uid="{1A9A786C-A02B-446D-AE0A-9D1B35737E7D}"/>
    <x:tableColumn id="21" name="DocumentNo" dataDxfId="952" xr3:uid="{C3FDB5E5-445E-4717-9D2D-1025DBA7016D}"/>
  </x:tableColumns>
  <x:tableStyleInfo name="Business Central Reports Table Style (Template)" showFirstColumn="0" showLastColumn="0" showRowStripes="1" showColumnStripes="0"/>
</x: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ECCBC6-0CDF-4D44-AF66-6436B1EA9A63}" name="AgingData" displayName="AgingData" ref="A1:O2" insertRow="1" totalsRowShown="0" headerRowDxfId="1141" dataDxfId="1140">
  <autoFilter ref="A1:O2" xr:uid="{00000000-0009-0000-0100-000003000000}"/>
  <tableColumns count="15">
    <tableColumn id="1" xr3:uid="{21867904-D69E-41E3-B5BE-D9B124B8D7E4}" name="VendorNo" dataDxfId="1139"/>
    <tableColumn id="15" xr3:uid="{66A4C7BD-3AFB-4935-B8BA-75B340E33F34}" name="VendorDisplayName" dataDxfId="1138"/>
    <tableColumn id="2" xr3:uid="{21867904-D69E-41E3-B5BE-D9B124B8D7E4}" name="PeriodStart" dataDxfId="1137"/>
    <tableColumn id="3" xr3:uid="{21867904-D69E-41E3-B5BE-D9B124B8D7E4}" name="PeriodEnd" dataDxfId="1136"/>
    <tableColumn id="4" xr3:uid="{21867904-D69E-41E3-B5BE-D9B124B8D7E4}" name="RemainingAmount" dataDxfId="1135"/>
    <tableColumn id="5" xr3:uid="{21867904-D69E-41E3-B5BE-D9B124B8D7E4}" name="OriginalAmount" dataDxfId="1134"/>
    <tableColumn id="6" xr3:uid="{21867904-D69E-41E3-B5BE-D9B124B8D7E4}" name="RemainingAmountLCY" dataDxfId="1133"/>
    <tableColumn id="7" xr3:uid="{21867904-D69E-41E3-B5BE-D9B124B8D7E4}" name="OriginalAmountLCY" dataDxfId="1132"/>
    <tableColumn id="8" xr3:uid="{21867904-D69E-41E3-B5BE-D9B124B8D7E4}" name="Dimension1Code" dataDxfId="1131"/>
    <tableColumn id="9" xr3:uid="{21867904-D69E-41E3-B5BE-D9B124B8D7E4}" name="Dimension2Code" dataDxfId="1130"/>
    <tableColumn id="10" xr3:uid="{21867904-D69E-41E3-B5BE-D9B124B8D7E4}" name="CurrencyCode" dataDxfId="1129"/>
    <tableColumn id="11" xr3:uid="{21867904-D69E-41E3-B5BE-D9B124B8D7E4}" name="PostingDate" dataDxfId="1128"/>
    <tableColumn id="12" xr3:uid="{21867904-D69E-41E3-B5BE-D9B124B8D7E4}" name="DocumentDate" dataDxfId="1127"/>
    <tableColumn id="13" xr3:uid="{21867904-D69E-41E3-B5BE-D9B124B8D7E4}" name="DueDate" dataDxfId="1126"/>
    <tableColumn id="14" xr3:uid="{21867904-D69E-41E3-B5BE-D9B124B8D7E4}" name="EntryNo" dataDxfId="1125"/>
  </tableColumns>
  <tableStyleInfo name="Business Central Reports Table Style (Template)" showFirstColumn="0" showLastColumn="0" showRowStripes="1" showColumnStripes="0"/>
</table>
</file>

<file path=xl/tables/table5.xml><?xml version="1.0" encoding="utf-8"?>
<x:table xmlns:mc="http://schemas.openxmlformats.org/markup-compatibility/2006" xmlns:xr="http://schemas.microsoft.com/office/spreadsheetml/2014/revision" xmlns:xr3="http://schemas.microsoft.com/office/spreadsheetml/2016/revision3" xmlns:x="http://schemas.openxmlformats.org/spreadsheetml/2006/main" id="9" name="Dimension1" displayName="Dimension1" ref="A1:B2" insertRow="1" totalsRowShown="0" headerRowDxfId="1124" dataCellStyle="Normal" xr:uid="{41D726F2-778D-4B1C-A5EA-875FED73D050}" mc:Ignorable="xr xr3">
  <x:autoFilter ref="A1:B2" xr:uid="{00000000-0009-0000-0100-000009000000}"/>
  <x:tableColumns count="2">
    <x:tableColumn id="1" name="Dim1Code" dataCellStyle="Normal" xr3:uid="{21867904-D69E-41E3-B5BE-D9B124B8D7E4}"/>
    <x:tableColumn id="2" name="Dim1Name" dataCellStyle="Normal" xr3:uid="{21867904-D69E-41E3-B5BE-D9B124B8D7E4}"/>
  </x:tableColumns>
  <x:tableStyleInfo name="Business Central Reports Table Style (Template)" showFirstColumn="0" showLastColumn="0" showRowStripes="1" showColumnStripes="0"/>
</x:table>
</file>

<file path=xl/tables/table6.xml><?xml version="1.0" encoding="utf-8"?>
<x:table xmlns:mc="http://schemas.openxmlformats.org/markup-compatibility/2006" xmlns:xr="http://schemas.microsoft.com/office/spreadsheetml/2014/revision" xmlns:xr3="http://schemas.microsoft.com/office/spreadsheetml/2016/revision3" xmlns:x="http://schemas.openxmlformats.org/spreadsheetml/2006/main" id="10" name="Dimension2" displayName="Dimension2" ref="A1:B2" insertRow="1" totalsRowShown="0" headerRowDxfId="1123" dataCellStyle="Normal" xr:uid="{41D726F2-778D-4B1C-A5EA-875FED73D050}" mc:Ignorable="xr xr3">
  <x:autoFilter ref="A1:B2" xr:uid="{00000000-0009-0000-0100-00000A000000}"/>
  <x:tableColumns count="2">
    <x:tableColumn id="1" name="Dim2Code" dataCellStyle="Normal" xr3:uid="{21867904-D69E-41E3-B5BE-D9B124B8D7E4}"/>
    <x:tableColumn id="2" name="Dim2Name" dataCellStyle="Normal" xr3:uid="{21867904-D69E-41E3-B5BE-D9B124B8D7E4}"/>
  </x:tableColumns>
  <x:tableStyleInfo name="Business Central Reports Table Style (Template)" showFirstColumn="0" showLastColumn="0" showRowStripes="1" showColumnStripes="0"/>
</x: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47" totalsRowShown="0" headerRowDxfId="1122">
  <autoFilter ref="A1:B47" xr:uid="{EF02A179-C226-4470-BF2E-AC1BEBC8C0D4}"/>
  <tableColumns count="2">
    <tableColumn id="1" xr3:uid="{00000000-0010-0000-0100-000001000000}" name="Caption"/>
    <tableColumn id="2" xr3:uid="{00000000-0010-0000-0100-000002000000}" name="Value"/>
  </tableColumns>
  <tableStyleInfo name="Business Central Reports Table Style (Templat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0" totalsRowShown="0" headerRowDxfId="1121">
  <autoFilter ref="A1:B10" xr:uid="{134EB915-8B19-4838-BDED-CECBACACF4F9}"/>
  <tableColumns count="2">
    <tableColumn id="1" xr3:uid="{00000000-0010-0000-0200-000001000000}" name="Report Property"/>
    <tableColumn id="2" xr3:uid="{00000000-0010-0000-0200-000002000000}" name="Report Property Value"/>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0" totalsRowShown="0" headerRowDxfId="1120">
  <autoFilter ref="D1:E10" xr:uid="{1DFF5EE2-2A86-40DE-9DFD-1E96553323F6}"/>
  <tableColumns count="2">
    <tableColumn id="1" xr3:uid="{00000000-0010-0000-0300-000001000000}" name="Request Property"/>
    <tableColumn id="2" xr3:uid="{00000000-0010-0000-0300-000002000000}" name="Request Property Value"/>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1119">
  <autoFilter ref="G1:H2" xr:uid="{8D3A40BA-47FA-41F3-82A4-C5BD4909C0B4}"/>
  <tableColumns count="2">
    <tableColumn id="1" xr3:uid="{00000000-0010-0000-0400-000001000000}" name="Request Page Option"/>
    <tableColumn id="2" xr3:uid="{00000000-0010-0000-0400-000002000000}" name="Request Page Option Value"/>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5" totalsRowShown="0" headerRowDxfId="1118">
  <autoFilter ref="J1:K5" xr:uid="{D269260C-C433-478B-84A3-3CB73C333872}"/>
  <tableColumns count="2">
    <tableColumn id="1" xr3:uid="{00000000-0010-0000-0500-000001000000}" name="Filter"/>
    <tableColumn id="2" xr3:uid="{00000000-0010-0000-0500-00000200000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3.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4.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 Id="rId4"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11214-6B83-472D-9B85-E98EE284595D}">
  <sheetPr codeName="Sheet1">
    <pageSetUpPr fitToPage="1"/>
  </sheetPr>
  <dimension ref="A2:R10"/>
  <sheetViews>
    <sheetView showGridLines="0" tabSelected="1" topLeftCell="H1" zoomScaleNormal="100" workbookViewId="0">
      <selection activeCell="N8" sqref="N8"/>
    </sheetView>
  </sheetViews>
  <sheetFormatPr defaultColWidth="8.7109375" defaultRowHeight="20.100000000000001" customHeight="1" x14ac:dyDescent="0.25"/>
  <cols>
    <col min="1" max="1" width="9.28515625" style="23" customWidth="1"/>
    <col min="2" max="2" width="11.5703125" style="16" customWidth="1"/>
    <col min="3" max="3" width="26.7109375" style="16" bestFit="1" customWidth="1"/>
    <col min="4" max="4" width="16" style="16" bestFit="1" customWidth="1"/>
    <col min="5" max="5" width="15.140625" style="16" bestFit="1" customWidth="1"/>
    <col min="6" max="6" width="12.140625" style="16" bestFit="1" customWidth="1"/>
    <col min="7" max="7" width="14.7109375" style="16" bestFit="1" customWidth="1"/>
    <col min="8" max="8" width="10.42578125" style="16" bestFit="1" customWidth="1"/>
    <col min="9" max="9" width="16.7109375" style="16" bestFit="1" customWidth="1"/>
    <col min="10" max="10" width="17.7109375" style="16" bestFit="1" customWidth="1"/>
    <col min="11" max="11" width="14.7109375" style="16" bestFit="1" customWidth="1"/>
    <col min="12" max="12" width="13.85546875" style="16" bestFit="1" customWidth="1"/>
    <col min="13" max="13" width="18.140625" style="16" bestFit="1" customWidth="1"/>
    <col min="14" max="14" width="15.5703125" style="16" bestFit="1" customWidth="1"/>
    <col min="15" max="15" width="23.140625" style="16" bestFit="1" customWidth="1"/>
    <col min="16" max="16" width="20.5703125" style="16" customWidth="1"/>
    <col min="17" max="17" width="29.28515625" style="16" bestFit="1" customWidth="1"/>
    <col min="18" max="18" width="26.85546875" style="16" bestFit="1" customWidth="1"/>
    <col min="19" max="21" width="24.5703125" style="16" customWidth="1"/>
    <col min="22" max="27" width="20.5703125" style="16" customWidth="1"/>
    <col min="28" max="46" width="15.5703125" style="16" customWidth="1"/>
    <col min="47" max="47" width="15.140625" style="16" bestFit="1" customWidth="1"/>
    <col min="48" max="48" width="12.5703125" style="16" bestFit="1" customWidth="1"/>
    <col min="49" max="49" width="11.7109375" style="16" bestFit="1" customWidth="1"/>
    <col min="50" max="50" width="22.85546875" style="16" bestFit="1" customWidth="1"/>
    <col min="51" max="51" width="19.85546875" style="16" bestFit="1" customWidth="1"/>
    <col min="52" max="52" width="22.140625" style="16" bestFit="1" customWidth="1"/>
    <col min="53" max="53" width="19" style="16" bestFit="1" customWidth="1"/>
    <col min="54" max="54" width="16.5703125" style="16" bestFit="1" customWidth="1"/>
    <col min="55" max="55" width="13.42578125" style="16" bestFit="1" customWidth="1"/>
    <col min="56" max="56" width="10.5703125" style="16" bestFit="1" customWidth="1"/>
    <col min="57" max="57" width="15.42578125" style="16" bestFit="1" customWidth="1"/>
    <col min="58" max="58" width="21.85546875" style="16" bestFit="1" customWidth="1"/>
    <col min="59" max="59" width="19.85546875" style="16" bestFit="1" customWidth="1"/>
    <col min="60" max="60" width="21.28515625" style="16" bestFit="1" customWidth="1"/>
    <col min="61" max="61" width="10.42578125" style="16" bestFit="1" customWidth="1"/>
    <col min="62" max="67" width="19.140625" style="16" bestFit="1" customWidth="1"/>
    <col min="68" max="68" width="10.42578125" style="16" bestFit="1" customWidth="1"/>
    <col min="69" max="1046" width="16.5703125" style="16" bestFit="1" customWidth="1"/>
    <col min="1047" max="1047" width="12.85546875" style="16" bestFit="1" customWidth="1"/>
    <col min="1048" max="1060" width="10.42578125" style="16" bestFit="1" customWidth="1"/>
    <col min="1061" max="1061" width="10" style="16" bestFit="1" customWidth="1"/>
    <col min="1062" max="1083" width="10.42578125" style="16" bestFit="1" customWidth="1"/>
    <col min="1084" max="1084" width="10" style="16" bestFit="1" customWidth="1"/>
    <col min="1085" max="1106" width="10.42578125" style="16" bestFit="1" customWidth="1"/>
    <col min="1107" max="1108" width="10" style="16" bestFit="1" customWidth="1"/>
    <col min="1109" max="1121" width="10.42578125" style="16" bestFit="1" customWidth="1"/>
    <col min="1122" max="1122" width="11.7109375" style="16" bestFit="1" customWidth="1"/>
    <col min="1123" max="1123" width="10.7109375" style="16" bestFit="1" customWidth="1"/>
    <col min="1124" max="1127" width="11.7109375" style="16" bestFit="1" customWidth="1"/>
    <col min="1128" max="1128" width="12.7109375" style="16" bestFit="1" customWidth="1"/>
    <col min="1129" max="16384" width="8.7109375" style="16"/>
  </cols>
  <sheetData>
    <row r="2" spans="2:18" ht="20.100000000000001" customHeight="1" thickBot="1" x14ac:dyDescent="0.3">
      <c r="B2" s="12" t="s">
        <v>88</v>
      </c>
      <c r="P2" s="13" t="str" cm="1">
        <f t="array" ref="P2">ReportRequest.CompanyName</f>
        <v>Company name placeholder</v>
      </c>
    </row>
    <row r="3" spans="2:18" ht="20.100000000000001" customHeight="1" thickTop="1" x14ac:dyDescent="0.25"/>
    <row r="4" spans="2:18" ht="20.100000000000001" customHeight="1" x14ac:dyDescent="0.25">
      <c r="B4" s="11" t="e">
        <f>_xlfn.CONCAT(Caption.AgedBy, " ", Caption.ReportingDate)</f>
        <v>#NAME?</v>
      </c>
      <c r="O4" s="14" t="e" cm="1">
        <f t="array" ref="O4">Caption.DataRetrieved</f>
        <v>#REF!</v>
      </c>
      <c r="P4" s="27" t="e" cm="1">
        <f t="array" ref="P4">ReportRequest.DateLocal</f>
        <v>#NAME?</v>
      </c>
    </row>
    <row r="5" spans="2:18" ht="20.100000000000001" customHeight="1" x14ac:dyDescent="0.25">
      <c r="R5" s="14"/>
    </row>
    <row r="6" spans="2:18" ht="20.100000000000001" customHeight="1" x14ac:dyDescent="0.25">
      <c r="B6" s="11" t="e" cm="1">
        <f t="array" ref="B6">IF(EndingDate="", "", Caption.AgedAsOf)</f>
        <v>#N/A</v>
      </c>
      <c r="C6" s="26" t="e" cm="1">
        <f t="array" ref="C6">EndingDate</f>
        <v>#N/A</v>
      </c>
      <c r="R6" s="14"/>
    </row>
    <row r="8" spans="2:18" ht="20.100000000000001" customHeight="1" x14ac:dyDescent="0.25">
      <c r="B8" s="34" t="s">
        <v>60</v>
      </c>
      <c r="C8" s="34" t="s">
        <v>59</v>
      </c>
      <c r="D8" s="35" t="s">
        <v>156</v>
      </c>
      <c r="E8" s="35" t="s">
        <v>157</v>
      </c>
      <c r="F8" s="35" t="s">
        <v>158</v>
      </c>
      <c r="G8" s="35" t="s">
        <v>159</v>
      </c>
      <c r="H8" s="35" t="s">
        <v>61</v>
      </c>
      <c r="I8" s="35" t="s">
        <v>76</v>
      </c>
      <c r="J8" s="35" t="s">
        <v>75</v>
      </c>
      <c r="K8" s="35" t="s">
        <v>74</v>
      </c>
      <c r="L8" s="35" t="s">
        <v>68</v>
      </c>
      <c r="M8" s="34" t="s">
        <v>164</v>
      </c>
      <c r="N8" s="34" t="s">
        <v>165</v>
      </c>
      <c r="O8" s="33" t="s">
        <v>160</v>
      </c>
      <c r="P8" s="33" t="s">
        <v>161</v>
      </c>
      <c r="Q8" s="33" t="s">
        <v>162</v>
      </c>
      <c r="R8" s="33" t="s">
        <v>163</v>
      </c>
    </row>
    <row r="9" spans="2:18" ht="20.100000000000001" customHeight="1" x14ac:dyDescent="0.25">
      <c r="B9" s="16" t="s">
        <v>155</v>
      </c>
      <c r="C9" s="16" t="s">
        <v>155</v>
      </c>
      <c r="D9" s="16" t="s">
        <v>155</v>
      </c>
      <c r="E9" s="16" t="s">
        <v>155</v>
      </c>
      <c r="F9" s="16" t="s">
        <v>155</v>
      </c>
      <c r="G9" s="16" t="s">
        <v>155</v>
      </c>
      <c r="H9" s="16" t="s">
        <v>155</v>
      </c>
      <c r="I9" s="16" t="s">
        <v>155</v>
      </c>
      <c r="J9" s="16" t="s">
        <v>155</v>
      </c>
      <c r="K9" s="16" t="s">
        <v>155</v>
      </c>
      <c r="L9" s="16" t="s">
        <v>155</v>
      </c>
      <c r="M9" s="16" t="s">
        <v>155</v>
      </c>
      <c r="N9" s="16" t="s">
        <v>155</v>
      </c>
      <c r="O9" s="17"/>
      <c r="P9" s="17"/>
      <c r="Q9" s="17"/>
      <c r="R9" s="17"/>
    </row>
    <row r="10" spans="2:18" ht="20.100000000000001" customHeight="1" x14ac:dyDescent="0.25">
      <c r="B10" s="16" t="s">
        <v>55</v>
      </c>
      <c r="O10" s="17"/>
      <c r="P10" s="17"/>
      <c r="Q10" s="17"/>
      <c r="R10" s="17"/>
    </row>
  </sheetData>
  <phoneticPr fontId="7" type="noConversion"/>
  <printOptions horizontalCentered="1"/>
  <pageMargins left="0.23622047244094491" right="0.23622047244094491" top="0.74803149606299213" bottom="0.74803149606299213" header="0.31496062992125984" footer="0.31496062992125984"/>
  <pageSetup paperSize="9" scale="38"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3C249-1F2C-4F24-98D7-7446AD7E3361}">
  <sheetPr codeName="Sheet4"/>
  <dimension ref="A1:I7"/>
  <sheetViews>
    <sheetView showGridLines="0" zoomScaleNormal="100" workbookViewId="0">
      <selection activeCell="A29" sqref="A29"/>
    </sheetView>
  </sheetViews>
  <sheetFormatPr defaultColWidth="8.7109375" defaultRowHeight="20.100000000000001" customHeight="1" x14ac:dyDescent="0.25"/>
  <cols>
    <col min="1" max="1" width="56" style="23" customWidth="1"/>
    <col min="2" max="2" width="20.85546875" style="16" bestFit="1" customWidth="1"/>
    <col min="3" max="3" width="19" style="16" bestFit="1" customWidth="1"/>
    <col min="4" max="4" width="22.7109375" style="16" bestFit="1" customWidth="1"/>
    <col min="5" max="5" width="25.7109375" style="16" bestFit="1" customWidth="1"/>
    <col min="6" max="6" width="24.85546875" style="16" bestFit="1" customWidth="1"/>
    <col min="7" max="7" width="18" style="16" bestFit="1" customWidth="1"/>
    <col min="8" max="8" width="23.28515625" style="16" bestFit="1" customWidth="1"/>
    <col min="9" max="18" width="21.28515625" style="16" bestFit="1" customWidth="1"/>
    <col min="19" max="19" width="10.42578125" style="16" bestFit="1" customWidth="1"/>
    <col min="20" max="25" width="19.140625" style="16" bestFit="1" customWidth="1"/>
    <col min="26" max="26" width="10.42578125" style="16" bestFit="1" customWidth="1"/>
    <col min="27" max="1004" width="16.5703125" style="16" bestFit="1" customWidth="1"/>
    <col min="1005" max="1005" width="12.85546875" style="16" bestFit="1" customWidth="1"/>
    <col min="1006" max="1018" width="10.42578125" style="16" bestFit="1" customWidth="1"/>
    <col min="1019" max="1019" width="10" style="16" bestFit="1" customWidth="1"/>
    <col min="1020" max="1041" width="10.42578125" style="16" bestFit="1" customWidth="1"/>
    <col min="1042" max="1042" width="10" style="16" bestFit="1" customWidth="1"/>
    <col min="1043" max="1064" width="10.42578125" style="16" bestFit="1" customWidth="1"/>
    <col min="1065" max="1066" width="10" style="16" bestFit="1" customWidth="1"/>
    <col min="1067" max="1079" width="10.42578125" style="16" bestFit="1" customWidth="1"/>
    <col min="1080" max="1080" width="11.7109375" style="16" bestFit="1" customWidth="1"/>
    <col min="1081" max="1081" width="10.7109375" style="16" bestFit="1" customWidth="1"/>
    <col min="1082" max="1085" width="11.7109375" style="16" bestFit="1" customWidth="1"/>
    <col min="1086" max="1086" width="12.7109375" style="16" bestFit="1" customWidth="1"/>
    <col min="1087" max="16384" width="8.7109375" style="16"/>
  </cols>
  <sheetData>
    <row r="1" spans="2:9" ht="20.25" x14ac:dyDescent="0.25">
      <c r="B1" s="21" t="s">
        <v>56</v>
      </c>
      <c r="C1" s="22"/>
      <c r="D1" s="21" t="s">
        <v>74</v>
      </c>
      <c r="E1" s="21" t="s">
        <v>75</v>
      </c>
      <c r="F1" s="21" t="s">
        <v>76</v>
      </c>
      <c r="G1" s="21" t="s">
        <v>77</v>
      </c>
    </row>
    <row r="2" spans="2:9" ht="20.25" x14ac:dyDescent="0.25">
      <c r="B2" s="22"/>
      <c r="C2" s="22"/>
      <c r="D2" s="22" t="s">
        <v>63</v>
      </c>
      <c r="E2" s="22" t="s">
        <v>55</v>
      </c>
      <c r="H2" s="18"/>
      <c r="I2" s="19"/>
    </row>
    <row r="3" spans="2:9" ht="20.25" x14ac:dyDescent="0.25">
      <c r="B3" s="22"/>
      <c r="C3" s="22"/>
      <c r="D3" s="22" t="s">
        <v>58</v>
      </c>
      <c r="E3" s="22"/>
      <c r="H3" s="18"/>
      <c r="I3" s="20"/>
    </row>
    <row r="4" spans="2:9" ht="20.25" x14ac:dyDescent="0.25">
      <c r="B4" s="22"/>
      <c r="C4" s="22"/>
      <c r="D4" s="22" t="s">
        <v>73</v>
      </c>
      <c r="E4" s="22"/>
      <c r="H4" s="18"/>
      <c r="I4" s="19"/>
    </row>
    <row r="5" spans="2:9" ht="20.25" x14ac:dyDescent="0.25">
      <c r="B5" s="21" t="s">
        <v>60</v>
      </c>
      <c r="C5" s="21" t="s">
        <v>59</v>
      </c>
      <c r="E5" s="22"/>
      <c r="H5" s="18"/>
    </row>
    <row r="6" spans="2:9" ht="20.100000000000001" customHeight="1" x14ac:dyDescent="0.25">
      <c r="B6" s="16" t="s">
        <v>62</v>
      </c>
      <c r="C6" s="16" t="s">
        <v>62</v>
      </c>
      <c r="D6" s="17">
        <v>0</v>
      </c>
      <c r="E6" s="17">
        <v>0</v>
      </c>
      <c r="H6" s="18"/>
    </row>
    <row r="7" spans="2:9" ht="20.100000000000001" customHeight="1" x14ac:dyDescent="0.25">
      <c r="B7" s="16" t="s">
        <v>55</v>
      </c>
      <c r="D7" s="17">
        <v>0</v>
      </c>
      <c r="E7" s="17">
        <v>0</v>
      </c>
      <c r="H7" s="1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C76B6-57D2-472E-8AF9-793B03F11081}">
  <sheetPr codeName="Sheet5"/>
  <dimension ref="A1:I7"/>
  <sheetViews>
    <sheetView showGridLines="0" zoomScaleNormal="100" workbookViewId="0"/>
  </sheetViews>
  <sheetFormatPr defaultColWidth="8.7109375" defaultRowHeight="20.100000000000001" customHeight="1" x14ac:dyDescent="0.25"/>
  <cols>
    <col min="1" max="1" width="56.140625" style="16" customWidth="1"/>
    <col min="2" max="2" width="21" style="16" bestFit="1" customWidth="1"/>
    <col min="3" max="3" width="28.7109375" style="16" customWidth="1"/>
    <col min="4" max="4" width="24" style="16" bestFit="1" customWidth="1"/>
    <col min="5" max="5" width="22.7109375" style="16" bestFit="1" customWidth="1"/>
    <col min="6" max="6" width="25.7109375" style="16" bestFit="1" customWidth="1"/>
    <col min="7" max="7" width="24.85546875" style="16" bestFit="1" customWidth="1"/>
    <col min="8" max="8" width="18" style="16" bestFit="1" customWidth="1"/>
    <col min="9" max="9" width="15.140625" style="16" bestFit="1" customWidth="1"/>
    <col min="10" max="19" width="24" style="16" bestFit="1" customWidth="1"/>
    <col min="20" max="20" width="10.42578125" style="16" bestFit="1" customWidth="1"/>
    <col min="21" max="24" width="23.5703125" style="16" bestFit="1" customWidth="1"/>
    <col min="25" max="25" width="12.85546875" style="16" bestFit="1" customWidth="1"/>
    <col min="26" max="1005" width="16.5703125" style="16" bestFit="1" customWidth="1"/>
    <col min="1006" max="1006" width="12.85546875" style="16" bestFit="1" customWidth="1"/>
    <col min="1007" max="1019" width="10.42578125" style="16" bestFit="1" customWidth="1"/>
    <col min="1020" max="1020" width="10" style="16" bestFit="1" customWidth="1"/>
    <col min="1021" max="1042" width="10.42578125" style="16" bestFit="1" customWidth="1"/>
    <col min="1043" max="1043" width="10" style="16" bestFit="1" customWidth="1"/>
    <col min="1044" max="1065" width="10.42578125" style="16" bestFit="1" customWidth="1"/>
    <col min="1066" max="1067" width="10" style="16" bestFit="1" customWidth="1"/>
    <col min="1068" max="1080" width="10.42578125" style="16" bestFit="1" customWidth="1"/>
    <col min="1081" max="1081" width="11.7109375" style="16" bestFit="1" customWidth="1"/>
    <col min="1082" max="1082" width="10.7109375" style="16" bestFit="1" customWidth="1"/>
    <col min="1083" max="1086" width="11.7109375" style="16" bestFit="1" customWidth="1"/>
    <col min="1087" max="1087" width="12.7109375" style="16" bestFit="1" customWidth="1"/>
    <col min="1088" max="16384" width="8.7109375" style="16"/>
  </cols>
  <sheetData>
    <row r="1" spans="1:9" ht="20.25" x14ac:dyDescent="0.25">
      <c r="A1" s="23"/>
      <c r="B1" s="21" t="s">
        <v>57</v>
      </c>
      <c r="C1" s="22"/>
      <c r="D1" s="22"/>
      <c r="E1" s="21" t="s">
        <v>74</v>
      </c>
      <c r="F1" s="21" t="s">
        <v>75</v>
      </c>
      <c r="G1" s="21" t="s">
        <v>76</v>
      </c>
      <c r="H1" s="21" t="s">
        <v>77</v>
      </c>
    </row>
    <row r="2" spans="1:9" ht="14.25" x14ac:dyDescent="0.25">
      <c r="B2" s="22"/>
      <c r="C2" s="22"/>
      <c r="D2" s="22"/>
      <c r="E2" s="22" t="s">
        <v>63</v>
      </c>
      <c r="F2" s="22" t="s">
        <v>55</v>
      </c>
      <c r="I2" s="19"/>
    </row>
    <row r="3" spans="1:9" ht="14.25" x14ac:dyDescent="0.25">
      <c r="B3" s="22"/>
      <c r="C3" s="22"/>
      <c r="D3" s="22"/>
      <c r="E3" s="22" t="s">
        <v>58</v>
      </c>
      <c r="F3" s="22"/>
      <c r="I3" s="20"/>
    </row>
    <row r="4" spans="1:9" ht="14.25" x14ac:dyDescent="0.25">
      <c r="B4" s="22"/>
      <c r="C4" s="22"/>
      <c r="D4" s="22"/>
      <c r="E4" s="22" t="s">
        <v>73</v>
      </c>
      <c r="F4" s="22"/>
    </row>
    <row r="5" spans="1:9" ht="14.25" x14ac:dyDescent="0.25">
      <c r="B5" s="21" t="s">
        <v>60</v>
      </c>
      <c r="C5" s="21" t="s">
        <v>59</v>
      </c>
      <c r="D5" s="21" t="s">
        <v>68</v>
      </c>
      <c r="F5" s="22"/>
    </row>
    <row r="6" spans="1:9" ht="20.100000000000001" customHeight="1" x14ac:dyDescent="0.25">
      <c r="B6" s="16" t="s">
        <v>62</v>
      </c>
      <c r="C6" s="16" t="s">
        <v>62</v>
      </c>
      <c r="D6" s="16" t="s">
        <v>62</v>
      </c>
      <c r="E6" s="17">
        <v>0</v>
      </c>
      <c r="F6" s="17">
        <v>0</v>
      </c>
    </row>
    <row r="7" spans="1:9" ht="20.100000000000001" customHeight="1" x14ac:dyDescent="0.25">
      <c r="B7" s="16" t="s">
        <v>55</v>
      </c>
      <c r="E7" s="17">
        <v>0</v>
      </c>
      <c r="F7" s="17">
        <v>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55A36-1BAC-4BE3-8ACB-7B54809701CE}">
  <sheetPr codeName="Sheet6"/>
  <dimension ref="A1:J4"/>
  <sheetViews>
    <sheetView showGridLines="0" workbookViewId="0"/>
  </sheetViews>
  <sheetFormatPr defaultColWidth="8.7109375" defaultRowHeight="20.100000000000001" customHeight="1" x14ac:dyDescent="0.25"/>
  <cols>
    <col min="1" max="1" width="56.28515625" style="16" customWidth="1"/>
    <col min="2" max="2" width="24.42578125" style="16" bestFit="1" customWidth="1"/>
    <col min="3" max="3" width="17.140625" style="16" bestFit="1" customWidth="1"/>
    <col min="4" max="5" width="12.7109375" style="16" bestFit="1" customWidth="1"/>
    <col min="6" max="6" width="8.7109375" style="16"/>
    <col min="7" max="7" width="19" style="16" bestFit="1" customWidth="1"/>
    <col min="8" max="8" width="24" style="16" bestFit="1" customWidth="1"/>
    <col min="9" max="9" width="11.140625" style="16" bestFit="1" customWidth="1"/>
    <col min="10" max="11" width="23" style="16" bestFit="1" customWidth="1"/>
    <col min="12" max="12" width="10.42578125" style="16" bestFit="1" customWidth="1"/>
    <col min="13" max="16384" width="8.7109375" style="16"/>
  </cols>
  <sheetData>
    <row r="1" spans="1:10" ht="20.25" x14ac:dyDescent="0.25">
      <c r="A1" s="24"/>
      <c r="B1" s="21" t="s">
        <v>65</v>
      </c>
      <c r="C1" s="22"/>
      <c r="D1" s="22"/>
      <c r="E1" s="22"/>
      <c r="F1" s="22"/>
      <c r="G1" s="22"/>
      <c r="H1" s="21" t="s">
        <v>68</v>
      </c>
      <c r="I1" s="22"/>
    </row>
    <row r="2" spans="1:10" ht="14.25" x14ac:dyDescent="0.25">
      <c r="A2" s="15"/>
      <c r="B2" s="21" t="s">
        <v>66</v>
      </c>
      <c r="C2" s="21" t="s">
        <v>67</v>
      </c>
      <c r="D2" s="21" t="s">
        <v>64</v>
      </c>
      <c r="E2" s="21" t="s">
        <v>61</v>
      </c>
      <c r="F2" s="21" t="s">
        <v>60</v>
      </c>
      <c r="G2" s="21" t="s">
        <v>59</v>
      </c>
      <c r="H2" s="22" t="s">
        <v>62</v>
      </c>
      <c r="I2" s="22" t="s">
        <v>55</v>
      </c>
      <c r="J2" s="19"/>
    </row>
    <row r="3" spans="1:10" ht="20.100000000000001" customHeight="1" x14ac:dyDescent="0.25">
      <c r="B3" s="16" t="s">
        <v>63</v>
      </c>
      <c r="C3" s="16" t="s">
        <v>58</v>
      </c>
      <c r="D3" s="16" t="s">
        <v>73</v>
      </c>
      <c r="H3" s="17">
        <v>0</v>
      </c>
      <c r="I3" s="17">
        <v>0</v>
      </c>
      <c r="J3" s="20"/>
    </row>
    <row r="4" spans="1:10" ht="20.100000000000001" customHeight="1" x14ac:dyDescent="0.25">
      <c r="B4" s="16" t="s">
        <v>55</v>
      </c>
      <c r="H4" s="17">
        <v>0</v>
      </c>
      <c r="I4" s="17">
        <v>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FE771-D476-415D-8516-077D7B452AFC}">
  <sheetPr codeName="Sheet7"/>
  <dimension ref="A1:C1"/>
  <sheetViews>
    <sheetView workbookViewId="0">
      <selection activeCell="C3" sqref="C3"/>
    </sheetView>
  </sheetViews>
  <sheetFormatPr defaultRowHeight="14.25" x14ac:dyDescent="0.25"/>
  <cols>
    <col min="1" max="1" width="17" customWidth="1"/>
    <col min="2" max="2" width="11.42578125" customWidth="1"/>
  </cols>
  <sheetData>
    <row r="1" spans="1:3" x14ac:dyDescent="0.25">
      <c r="A1" s="8" t="s">
        <v>2</v>
      </c>
      <c r="B1" s="8" t="s">
        <v>0</v>
      </c>
      <c r="C1" s="8" t="s">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26CB2-C839-447B-A106-A2F5EAA6311E}">
  <sheetPr codeName="Sheet9"/>
  <dimension ref="A1:S2"/>
  <sheetViews>
    <sheetView workbookViewId="0">
      <selection sqref="A1:S2"/>
    </sheetView>
  </sheetViews>
  <sheetFormatPr defaultRowHeight="14.25" x14ac:dyDescent="0.25"/>
  <cols>
    <col min="1" max="1" width="13.140625" bestFit="1" customWidth="1"/>
    <col min="2" max="2" width="12.28515625" bestFit="1" customWidth="1"/>
    <col min="3" max="3" width="20.140625" bestFit="1" customWidth="1"/>
    <col min="4" max="4" width="17.7109375" bestFit="1" customWidth="1"/>
    <col min="5" max="5" width="23.42578125" bestFit="1" customWidth="1"/>
    <col min="6" max="6" width="21.140625" bestFit="1" customWidth="1"/>
    <col min="7" max="8" width="18.42578125" bestFit="1" customWidth="1"/>
    <col min="9" max="9" width="15.5703125" bestFit="1" customWidth="1"/>
    <col min="10" max="10" width="14.140625" bestFit="1" customWidth="1"/>
    <col min="11" max="11" width="16.7109375" bestFit="1" customWidth="1"/>
    <col min="12" max="12" width="11" bestFit="1" customWidth="1"/>
    <col min="13" max="13" width="16.28515625" bestFit="1" customWidth="1"/>
    <col min="14" max="14" width="23" bestFit="1" customWidth="1"/>
    <col min="15" max="15" width="24" bestFit="1" customWidth="1"/>
    <col min="16" max="16" width="21" bestFit="1" customWidth="1"/>
    <col min="17" max="17" width="10.42578125" bestFit="1" customWidth="1"/>
    <col min="18" max="18" width="19" bestFit="1" customWidth="1"/>
    <col min="19" max="19" width="17" bestFit="1" customWidth="1"/>
  </cols>
  <sheetData>
    <row r="1" spans="1:19" x14ac:dyDescent="0.25">
      <c r="A1" t="s">
        <v>31</v>
      </c>
      <c r="B1" t="s">
        <v>32</v>
      </c>
      <c r="C1" t="s">
        <v>33</v>
      </c>
      <c r="D1" t="s">
        <v>34</v>
      </c>
      <c r="E1" t="s">
        <v>35</v>
      </c>
      <c r="F1" t="s">
        <v>36</v>
      </c>
      <c r="G1" t="s">
        <v>37</v>
      </c>
      <c r="H1" t="s">
        <v>38</v>
      </c>
      <c r="I1" t="s">
        <v>39</v>
      </c>
      <c r="J1" t="s">
        <v>40</v>
      </c>
      <c r="K1" t="s">
        <v>41</v>
      </c>
      <c r="L1" t="s">
        <v>42</v>
      </c>
      <c r="M1" t="s">
        <v>69</v>
      </c>
      <c r="N1" t="s">
        <v>70</v>
      </c>
      <c r="O1" t="s">
        <v>71</v>
      </c>
      <c r="P1" t="s">
        <v>72</v>
      </c>
      <c r="Q1" t="s">
        <v>43</v>
      </c>
      <c r="R1" t="s">
        <v>29</v>
      </c>
      <c r="S1" t="s">
        <v>30</v>
      </c>
    </row>
    <row r="2" spans="1:19" x14ac:dyDescent="0.25">
      <c r="A2" s="2">
        <v>1</v>
      </c>
      <c r="B2" s="2">
        <v>1</v>
      </c>
      <c r="C2">
        <v>0</v>
      </c>
      <c r="D2">
        <v>0</v>
      </c>
      <c r="E2">
        <v>0</v>
      </c>
      <c r="F2">
        <v>0</v>
      </c>
      <c r="G2" t="s">
        <v>62</v>
      </c>
      <c r="H2" t="s">
        <v>62</v>
      </c>
      <c r="I2" t="s">
        <v>62</v>
      </c>
      <c r="J2" s="2">
        <v>1</v>
      </c>
      <c r="K2" s="2">
        <v>1</v>
      </c>
      <c r="L2" s="2">
        <v>1</v>
      </c>
      <c r="M2" s="2">
        <v>1</v>
      </c>
      <c r="Q2">
        <v>0</v>
      </c>
      <c r="R2" t="s">
        <v>62</v>
      </c>
      <c r="S2" t="s">
        <v>62</v>
      </c>
    </row>
  </sheetData>
  <phoneticPr fontId="7"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183F5-4CA8-4A93-A7AA-467E7C557F56}">
  <dimension ref="A1"/>
  <sheetViews>
    <sheetView workbookViewId="0"/>
  </sheetViews>
  <sheetFormatPr defaultRowHeight="14.25" x14ac:dyDescent="0.25"/>
  <cols>
    <col min="1" max="1" width="13.28515625" bestFit="1" customWidth="1"/>
    <col min="2" max="2" width="12.140625" bestFit="1" customWidth="1"/>
    <col min="3" max="3" width="19.85546875" bestFit="1" customWidth="1"/>
    <col min="4" max="4" width="17.5703125" bestFit="1" customWidth="1"/>
    <col min="5" max="5" width="23.42578125" bestFit="1" customWidth="1"/>
    <col min="6" max="6" width="20.85546875" bestFit="1" customWidth="1"/>
    <col min="7" max="8" width="18.140625" bestFit="1" customWidth="1"/>
    <col min="9" max="9" width="15.5703125" bestFit="1" customWidth="1"/>
    <col min="10" max="10" width="13.85546875" bestFit="1" customWidth="1"/>
    <col min="11" max="11" width="16.5703125" bestFit="1" customWidth="1"/>
    <col min="12" max="12" width="10.85546875" bestFit="1" customWidth="1"/>
    <col min="13" max="13" width="16.42578125" bestFit="1" customWidth="1"/>
    <col min="14" max="14" width="23" bestFit="1" customWidth="1"/>
    <col min="15" max="15" width="24.140625" bestFit="1" customWidth="1"/>
    <col min="16" max="16" width="21" bestFit="1" customWidth="1"/>
    <col min="17" max="17" width="10.42578125" bestFit="1" customWidth="1"/>
    <col min="18" max="18" width="19" bestFit="1" customWidth="1"/>
    <col min="19" max="19" width="16.85546875" bestFit="1" customWidth="1"/>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7420B-7F77-4D17-977E-0561034FE0CB}">
  <sheetPr codeName="Sheet10"/>
  <dimension ref="A1:U2"/>
  <sheetViews>
    <sheetView workbookViewId="0">
      <selection activeCell="S2" sqref="S2"/>
    </sheetView>
  </sheetViews>
  <sheetFormatPr defaultRowHeight="14.25" x14ac:dyDescent="0.25"/>
  <cols>
    <col min="1" max="1" width="18.42578125" customWidth="1"/>
    <col min="2" max="2" width="12.140625" customWidth="1"/>
    <col min="10" max="10" width="14" customWidth="1"/>
    <col min="11" max="11" width="16.7109375" customWidth="1"/>
    <col min="12" max="12" width="11" customWidth="1"/>
    <col min="13" max="13" width="10.42578125" bestFit="1" customWidth="1"/>
    <col min="14" max="14" width="19" bestFit="1" customWidth="1"/>
    <col min="15" max="15" width="30.140625" bestFit="1" customWidth="1"/>
  </cols>
  <sheetData>
    <row r="1" spans="1:21" x14ac:dyDescent="0.25">
      <c r="A1" t="s">
        <v>31</v>
      </c>
      <c r="B1" t="s">
        <v>32</v>
      </c>
      <c r="C1" t="s">
        <v>33</v>
      </c>
      <c r="D1" t="s">
        <v>34</v>
      </c>
      <c r="E1" t="s">
        <v>35</v>
      </c>
      <c r="F1" t="s">
        <v>36</v>
      </c>
      <c r="G1" t="s">
        <v>37</v>
      </c>
      <c r="H1" t="s">
        <v>38</v>
      </c>
      <c r="I1" t="s">
        <v>39</v>
      </c>
      <c r="J1" t="s">
        <v>40</v>
      </c>
      <c r="K1" t="s">
        <v>41</v>
      </c>
      <c r="L1" t="s">
        <v>42</v>
      </c>
      <c r="M1" t="s">
        <v>69</v>
      </c>
      <c r="N1" t="s">
        <v>70</v>
      </c>
      <c r="O1" t="s">
        <v>71</v>
      </c>
      <c r="P1" t="s">
        <v>72</v>
      </c>
      <c r="Q1" t="s">
        <v>43</v>
      </c>
      <c r="R1" t="s">
        <v>29</v>
      </c>
      <c r="S1" t="s">
        <v>30</v>
      </c>
      <c r="T1" s="32" t="s">
        <v>164</v>
      </c>
      <c r="U1" s="32" t="s">
        <v>165</v>
      </c>
    </row>
    <row r="2" spans="1:21" ht="16.5" x14ac:dyDescent="0.3">
      <c r="A2" s="5"/>
      <c r="B2" s="5"/>
      <c r="C2" s="7"/>
      <c r="D2" s="7"/>
      <c r="E2" s="7"/>
      <c r="F2" s="7"/>
      <c r="G2" s="6"/>
      <c r="H2" s="6"/>
      <c r="I2" s="6"/>
      <c r="J2" s="5"/>
      <c r="K2" s="5"/>
      <c r="L2" s="5"/>
      <c r="M2" s="5"/>
      <c r="N2" s="4"/>
      <c r="O2" s="4"/>
      <c r="P2" s="4"/>
      <c r="Q2" s="4"/>
      <c r="R2" s="6"/>
      <c r="T2" s="31"/>
      <c r="U2" s="4"/>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9B0C7-4828-470E-A5F6-129FB6E5F5ED}">
  <sheetPr codeName="Sheet11"/>
  <dimension ref="A1:O2"/>
  <sheetViews>
    <sheetView workbookViewId="0">
      <selection activeCell="C3" sqref="C3"/>
    </sheetView>
  </sheetViews>
  <sheetFormatPr defaultColWidth="9.140625" defaultRowHeight="14.25" x14ac:dyDescent="0.25"/>
  <cols>
    <col min="1" max="1" width="18.42578125" style="3" customWidth="1"/>
    <col min="2" max="3" width="14.140625" style="3" customWidth="1"/>
    <col min="4" max="7" width="14" style="3" customWidth="1"/>
    <col min="8" max="10" width="9.140625" style="3"/>
    <col min="11" max="13" width="13.42578125" style="3" customWidth="1"/>
    <col min="14" max="16384" width="9.140625" style="3"/>
  </cols>
  <sheetData>
    <row r="1" spans="1:15" s="8" customFormat="1" x14ac:dyDescent="0.25">
      <c r="A1" s="8" t="s">
        <v>54</v>
      </c>
      <c r="B1" s="8" t="s">
        <v>53</v>
      </c>
      <c r="C1" s="8" t="s">
        <v>31</v>
      </c>
      <c r="D1" s="8" t="s">
        <v>32</v>
      </c>
      <c r="E1" s="8" t="s">
        <v>33</v>
      </c>
      <c r="F1" s="8" t="s">
        <v>34</v>
      </c>
      <c r="G1" s="8" t="s">
        <v>35</v>
      </c>
      <c r="H1" s="8" t="s">
        <v>36</v>
      </c>
      <c r="I1" s="8" t="s">
        <v>37</v>
      </c>
      <c r="J1" s="8" t="s">
        <v>38</v>
      </c>
      <c r="K1" s="8" t="s">
        <v>39</v>
      </c>
      <c r="L1" s="8" t="s">
        <v>40</v>
      </c>
      <c r="M1" s="8" t="s">
        <v>41</v>
      </c>
      <c r="N1" s="8" t="s">
        <v>42</v>
      </c>
      <c r="O1" s="8" t="s">
        <v>43</v>
      </c>
    </row>
    <row r="2" spans="1:15" ht="16.5" x14ac:dyDescent="0.3">
      <c r="A2" s="6"/>
      <c r="B2" s="6"/>
      <c r="C2" s="5"/>
      <c r="D2" s="5"/>
      <c r="E2" s="7"/>
      <c r="F2" s="7"/>
      <c r="G2" s="7"/>
      <c r="H2" s="7"/>
      <c r="I2" s="6"/>
      <c r="J2" s="6"/>
      <c r="K2" s="6"/>
      <c r="L2" s="5"/>
      <c r="M2" s="5"/>
      <c r="N2" s="5"/>
      <c r="O2" s="4"/>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154C8-B88A-484D-B2F4-B5793833A3CB}">
  <sheetPr codeName="Sheet12"/>
  <dimension ref="A1:B1"/>
  <sheetViews>
    <sheetView workbookViewId="0"/>
  </sheetViews>
  <sheetFormatPr defaultRowHeight="20.100000000000001" customHeight="1" x14ac:dyDescent="0.25"/>
  <cols>
    <col min="1" max="1" width="12.42578125" bestFit="1" customWidth="1"/>
    <col min="2" max="2" width="20.7109375" customWidth="1"/>
  </cols>
  <sheetData>
    <row r="1" spans="1:2" ht="20.100000000000001" customHeight="1" x14ac:dyDescent="0.25">
      <c r="A1" s="9" t="s">
        <v>44</v>
      </c>
      <c r="B1" s="9" t="s">
        <v>45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99B98-BBB8-4EE2-A303-A5292F54738B}">
  <sheetPr codeName="Sheet13"/>
  <dimension ref="A1:B1"/>
  <sheetViews>
    <sheetView workbookViewId="0"/>
  </sheetViews>
  <sheetFormatPr defaultRowHeight="20.100000000000001" customHeight="1" x14ac:dyDescent="0.25"/>
  <cols>
    <col min="1" max="1" width="12.42578125" bestFit="1" customWidth="1"/>
    <col min="2" max="2" width="20.7109375" customWidth="1"/>
  </cols>
  <sheetData>
    <row r="1" spans="1:2" ht="20.100000000000001" customHeight="1" x14ac:dyDescent="0.25">
      <c r="A1" s="9" t="s">
        <v>46</v>
      </c>
      <c r="B1" s="9" t="s">
        <v>47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03921-A10C-40BD-B0E5-2F57C2209654}">
  <sheetPr codeName="Sheet14"/>
  <dimension ref="A1:C7"/>
  <sheetViews>
    <sheetView showGridLines="0" workbookViewId="0"/>
  </sheetViews>
  <sheetFormatPr defaultColWidth="8.7109375" defaultRowHeight="20.100000000000001" customHeight="1" x14ac:dyDescent="0.25"/>
  <cols>
    <col min="1" max="1" width="20.7109375" style="16" customWidth="1"/>
    <col min="2" max="2" width="25.5703125" style="16" customWidth="1"/>
    <col min="3" max="16384" width="8.7109375" style="16"/>
  </cols>
  <sheetData>
    <row r="1" spans="1:3" ht="20.100000000000001" customHeight="1" x14ac:dyDescent="0.25">
      <c r="A1" s="10" t="s">
        <v>149</v>
      </c>
      <c r="B1" s="11" t="str" cm="1">
        <f t="array" ref="B1">ReportRequest.EnvironmentName</f>
        <v>Environment name placeholder</v>
      </c>
    </row>
    <row r="2" spans="1:3" ht="20.100000000000001" customHeight="1" x14ac:dyDescent="0.25">
      <c r="A2" s="10" t="s">
        <v>150</v>
      </c>
      <c r="B2" s="11" t="str" cm="1">
        <f t="array" ref="B2">ReportRequest.CompanyName</f>
        <v>Company name placeholder</v>
      </c>
    </row>
    <row r="3" spans="1:3" ht="20.100000000000001" customHeight="1" x14ac:dyDescent="0.25">
      <c r="A3" s="10" t="s">
        <v>151</v>
      </c>
      <c r="B3" s="11" t="str" cm="1">
        <f t="array" ref="B3">ReportRequest.UserName</f>
        <v>User name placeholder</v>
      </c>
    </row>
    <row r="4" spans="1:3" ht="20.100000000000001" customHeight="1" x14ac:dyDescent="0.25">
      <c r="A4" s="10" t="s">
        <v>152</v>
      </c>
      <c r="B4" s="25" t="e" cm="1">
        <f t="array" ref="B4">ReportRequest.DateLocal</f>
        <v>#NAME?</v>
      </c>
    </row>
    <row r="5" spans="1:3" ht="20.100000000000001" customHeight="1" x14ac:dyDescent="0.25">
      <c r="A5" s="10"/>
      <c r="B5" s="29" t="e" cm="1">
        <f t="array" ref="B5">ReportRequest.DateLocal</f>
        <v>#NAME?</v>
      </c>
      <c r="C5" s="28"/>
    </row>
    <row r="6" spans="1:3" ht="20.100000000000001" customHeight="1" x14ac:dyDescent="0.25">
      <c r="A6" s="10" t="s">
        <v>153</v>
      </c>
      <c r="B6" s="11" t="e" cm="1">
        <f t="array" ref="B6">ReportMetadata.ObjectCaption</f>
        <v>#NAME?</v>
      </c>
    </row>
    <row r="7" spans="1:3" ht="20.100000000000001" customHeight="1" x14ac:dyDescent="0.25">
      <c r="A7" s="10" t="s">
        <v>154</v>
      </c>
      <c r="B7" s="30" t="str">
        <f>HYPERLINK(_xlfn.CONCAT("https://learn.microsoft.com/dynamics365/business-central/reports/report-",ReportMetadata.ObjectID))</f>
        <v>https://learn.microsoft.com/dynamics365/business-central/reports/report-</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76BF2-A47E-4096-BFDE-E05FAC74DB5E}">
  <sheetPr codeName="Sheet8"/>
  <dimension ref="A1:B47"/>
  <sheetViews>
    <sheetView workbookViewId="0"/>
  </sheetViews>
  <sheetFormatPr defaultRowHeight="14.25" x14ac:dyDescent="0.25"/>
  <cols>
    <col min="1" max="1" width="25" customWidth="1"/>
    <col min="2" max="2" width="40" customWidth="1"/>
  </cols>
  <sheetData>
    <row r="1" spans="1:2" x14ac:dyDescent="0.25">
      <c r="A1" s="8" t="s">
        <v>3</v>
      </c>
      <c r="B1" s="8" t="s">
        <v>1</v>
      </c>
    </row>
    <row r="2" spans="1:2" x14ac:dyDescent="0.25">
      <c r="A2" t="s">
        <v>29</v>
      </c>
      <c r="B2" t="s">
        <v>89</v>
      </c>
    </row>
    <row r="3" spans="1:2" x14ac:dyDescent="0.25">
      <c r="A3" t="s">
        <v>30</v>
      </c>
      <c r="B3" t="s">
        <v>90</v>
      </c>
    </row>
    <row r="4" spans="1:2" x14ac:dyDescent="0.25">
      <c r="A4" t="s">
        <v>31</v>
      </c>
      <c r="B4" t="s">
        <v>91</v>
      </c>
    </row>
    <row r="5" spans="1:2" x14ac:dyDescent="0.25">
      <c r="A5" t="s">
        <v>32</v>
      </c>
      <c r="B5" t="s">
        <v>92</v>
      </c>
    </row>
    <row r="6" spans="1:2" x14ac:dyDescent="0.25">
      <c r="A6" t="s">
        <v>33</v>
      </c>
      <c r="B6" t="s">
        <v>93</v>
      </c>
    </row>
    <row r="7" spans="1:2" x14ac:dyDescent="0.25">
      <c r="A7" t="s">
        <v>34</v>
      </c>
      <c r="B7" t="s">
        <v>94</v>
      </c>
    </row>
    <row r="8" spans="1:2" x14ac:dyDescent="0.25">
      <c r="A8" t="s">
        <v>35</v>
      </c>
      <c r="B8" t="s">
        <v>95</v>
      </c>
    </row>
    <row r="9" spans="1:2" x14ac:dyDescent="0.25">
      <c r="A9" t="s">
        <v>36</v>
      </c>
      <c r="B9" t="s">
        <v>96</v>
      </c>
    </row>
    <row r="10" spans="1:2" x14ac:dyDescent="0.25">
      <c r="A10" t="s">
        <v>37</v>
      </c>
      <c r="B10" t="s">
        <v>97</v>
      </c>
    </row>
    <row r="11" spans="1:2" x14ac:dyDescent="0.25">
      <c r="A11" t="s">
        <v>38</v>
      </c>
      <c r="B11" t="s">
        <v>98</v>
      </c>
    </row>
    <row r="12" spans="1:2" x14ac:dyDescent="0.25">
      <c r="A12" t="s">
        <v>40</v>
      </c>
      <c r="B12" t="s">
        <v>99</v>
      </c>
    </row>
    <row r="13" spans="1:2" x14ac:dyDescent="0.25">
      <c r="A13" t="s">
        <v>41</v>
      </c>
      <c r="B13" t="s">
        <v>100</v>
      </c>
    </row>
    <row r="14" spans="1:2" x14ac:dyDescent="0.25">
      <c r="A14" t="s">
        <v>42</v>
      </c>
      <c r="B14" t="s">
        <v>101</v>
      </c>
    </row>
    <row r="15" spans="1:2" x14ac:dyDescent="0.25">
      <c r="A15" t="s">
        <v>69</v>
      </c>
      <c r="B15" t="s">
        <v>101</v>
      </c>
    </row>
    <row r="16" spans="1:2" x14ac:dyDescent="0.25">
      <c r="A16" t="s">
        <v>70</v>
      </c>
      <c r="B16" s="16" t="s">
        <v>102</v>
      </c>
    </row>
    <row r="17" spans="1:2" x14ac:dyDescent="0.25">
      <c r="A17" t="s">
        <v>71</v>
      </c>
      <c r="B17" s="16" t="s">
        <v>103</v>
      </c>
    </row>
    <row r="18" spans="1:2" x14ac:dyDescent="0.25">
      <c r="A18" t="s">
        <v>72</v>
      </c>
      <c r="B18" s="16" t="s">
        <v>104</v>
      </c>
    </row>
    <row r="19" spans="1:2" x14ac:dyDescent="0.25">
      <c r="A19" t="s">
        <v>43</v>
      </c>
      <c r="B19" t="s">
        <v>105</v>
      </c>
    </row>
    <row r="20" spans="1:2" x14ac:dyDescent="0.25">
      <c r="A20" t="s">
        <v>44</v>
      </c>
      <c r="B20" t="s">
        <v>106</v>
      </c>
    </row>
    <row r="21" spans="1:2" x14ac:dyDescent="0.25">
      <c r="A21" t="s">
        <v>45</v>
      </c>
      <c r="B21" t="s">
        <v>90</v>
      </c>
    </row>
    <row r="22" spans="1:2" x14ac:dyDescent="0.25">
      <c r="A22" t="s">
        <v>46</v>
      </c>
      <c r="B22" t="s">
        <v>106</v>
      </c>
    </row>
    <row r="23" spans="1:2" x14ac:dyDescent="0.25">
      <c r="A23" t="s">
        <v>47</v>
      </c>
      <c r="B23" t="s">
        <v>90</v>
      </c>
    </row>
    <row r="24" spans="1:2" x14ac:dyDescent="0.25">
      <c r="A24" t="s">
        <v>107</v>
      </c>
      <c r="B24" t="s">
        <v>108</v>
      </c>
    </row>
    <row r="25" spans="1:2" x14ac:dyDescent="0.25">
      <c r="A25" t="s">
        <v>109</v>
      </c>
      <c r="B25" t="s">
        <v>87</v>
      </c>
    </row>
    <row r="26" spans="1:2" x14ac:dyDescent="0.25">
      <c r="A26" t="s">
        <v>110</v>
      </c>
      <c r="B26" t="s">
        <v>111</v>
      </c>
    </row>
    <row r="27" spans="1:2" x14ac:dyDescent="0.25">
      <c r="A27" t="s">
        <v>112</v>
      </c>
      <c r="B27" t="s">
        <v>113</v>
      </c>
    </row>
    <row r="28" spans="1:2" x14ac:dyDescent="0.25">
      <c r="A28" t="s">
        <v>114</v>
      </c>
      <c r="B28" t="s">
        <v>115</v>
      </c>
    </row>
    <row r="29" spans="1:2" x14ac:dyDescent="0.25">
      <c r="A29" t="s">
        <v>116</v>
      </c>
      <c r="B29" t="s">
        <v>117</v>
      </c>
    </row>
    <row r="30" spans="1:2" x14ac:dyDescent="0.25">
      <c r="A30" t="s">
        <v>118</v>
      </c>
      <c r="B30" t="s">
        <v>119</v>
      </c>
    </row>
    <row r="31" spans="1:2" x14ac:dyDescent="0.25">
      <c r="A31" t="s">
        <v>120</v>
      </c>
      <c r="B31" t="s">
        <v>121</v>
      </c>
    </row>
    <row r="32" spans="1:2" x14ac:dyDescent="0.25">
      <c r="A32" t="s">
        <v>122</v>
      </c>
      <c r="B32" t="s">
        <v>123</v>
      </c>
    </row>
    <row r="33" spans="1:2" x14ac:dyDescent="0.25">
      <c r="A33" t="s">
        <v>124</v>
      </c>
      <c r="B33" t="s">
        <v>125</v>
      </c>
    </row>
    <row r="34" spans="1:2" x14ac:dyDescent="0.25">
      <c r="A34" t="s">
        <v>126</v>
      </c>
      <c r="B34" t="s">
        <v>127</v>
      </c>
    </row>
    <row r="35" spans="1:2" x14ac:dyDescent="0.25">
      <c r="A35" t="s">
        <v>128</v>
      </c>
      <c r="B35" t="s">
        <v>129</v>
      </c>
    </row>
    <row r="36" spans="1:2" x14ac:dyDescent="0.25">
      <c r="A36" t="s">
        <v>130</v>
      </c>
      <c r="B36" t="s">
        <v>104</v>
      </c>
    </row>
    <row r="37" spans="1:2" x14ac:dyDescent="0.25">
      <c r="A37" t="s">
        <v>131</v>
      </c>
      <c r="B37" t="s">
        <v>102</v>
      </c>
    </row>
    <row r="38" spans="1:2" x14ac:dyDescent="0.25">
      <c r="A38" t="s">
        <v>132</v>
      </c>
      <c r="B38" t="s">
        <v>103</v>
      </c>
    </row>
    <row r="39" spans="1:2" x14ac:dyDescent="0.25">
      <c r="A39" t="s">
        <v>133</v>
      </c>
      <c r="B39" t="s">
        <v>134</v>
      </c>
    </row>
    <row r="40" spans="1:2" x14ac:dyDescent="0.25">
      <c r="A40" t="s">
        <v>135</v>
      </c>
      <c r="B40" t="s">
        <v>136</v>
      </c>
    </row>
    <row r="41" spans="1:2" x14ac:dyDescent="0.25">
      <c r="A41" t="s">
        <v>137</v>
      </c>
      <c r="B41" t="s">
        <v>138</v>
      </c>
    </row>
    <row r="42" spans="1:2" x14ac:dyDescent="0.25">
      <c r="A42" t="s">
        <v>139</v>
      </c>
      <c r="B42" t="s">
        <v>140</v>
      </c>
    </row>
    <row r="43" spans="1:2" x14ac:dyDescent="0.25">
      <c r="A43" t="s">
        <v>141</v>
      </c>
      <c r="B43" t="s">
        <v>142</v>
      </c>
    </row>
    <row r="44" spans="1:2" x14ac:dyDescent="0.25">
      <c r="A44" t="s">
        <v>143</v>
      </c>
      <c r="B44" t="s">
        <v>144</v>
      </c>
    </row>
    <row r="45" spans="1:2" x14ac:dyDescent="0.25">
      <c r="A45" t="s">
        <v>145</v>
      </c>
      <c r="B45" t="s">
        <v>146</v>
      </c>
    </row>
    <row r="46" spans="1:2" x14ac:dyDescent="0.25">
      <c r="A46" t="s">
        <v>78</v>
      </c>
      <c r="B46" t="s">
        <v>79</v>
      </c>
    </row>
    <row r="47" spans="1:2" x14ac:dyDescent="0.25">
      <c r="A47" t="s">
        <v>147</v>
      </c>
      <c r="B47" t="s">
        <v>148</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8C651-FD33-4B09-8AC9-6E454132EBE3}">
  <sheetPr codeName="Sheet15"/>
  <dimension ref="A1:K10"/>
  <sheetViews>
    <sheetView workbookViewId="0"/>
  </sheetViews>
  <sheetFormatPr defaultRowHeight="14.25" x14ac:dyDescent="0.25"/>
  <cols>
    <col min="1" max="1" width="25" customWidth="1"/>
    <col min="2" max="2" width="40" customWidth="1"/>
    <col min="3" max="3" width="5" customWidth="1"/>
    <col min="4" max="4" width="25" customWidth="1"/>
    <col min="5" max="5" width="40" customWidth="1"/>
    <col min="6" max="6" width="5" customWidth="1"/>
    <col min="7" max="7" width="25" customWidth="1"/>
    <col min="8" max="8" width="40" customWidth="1"/>
    <col min="9" max="9" width="5" customWidth="1"/>
    <col min="10" max="10" width="50" customWidth="1"/>
    <col min="11" max="11" width="40" customWidth="1"/>
  </cols>
  <sheetData>
    <row r="1" spans="1:11" ht="16.5" x14ac:dyDescent="0.3">
      <c r="A1" s="1" t="s">
        <v>6</v>
      </c>
      <c r="B1" s="1" t="s">
        <v>7</v>
      </c>
      <c r="C1" s="1" t="s">
        <v>48</v>
      </c>
      <c r="D1" s="1" t="s">
        <v>17</v>
      </c>
      <c r="E1" s="1" t="s">
        <v>18</v>
      </c>
      <c r="F1" s="1" t="s">
        <v>48</v>
      </c>
      <c r="G1" s="1" t="s">
        <v>4</v>
      </c>
      <c r="H1" s="1" t="s">
        <v>5</v>
      </c>
      <c r="I1" s="1" t="s">
        <v>48</v>
      </c>
      <c r="J1" s="1" t="s">
        <v>27</v>
      </c>
      <c r="K1" s="1" t="s">
        <v>28</v>
      </c>
    </row>
    <row r="2" spans="1:11" x14ac:dyDescent="0.25">
      <c r="A2" t="s">
        <v>8</v>
      </c>
      <c r="C2" t="s">
        <v>48</v>
      </c>
      <c r="D2" t="s">
        <v>19</v>
      </c>
      <c r="F2" t="s">
        <v>48</v>
      </c>
      <c r="G2" t="s">
        <v>4</v>
      </c>
      <c r="I2" t="s">
        <v>48</v>
      </c>
      <c r="J2" t="s">
        <v>49</v>
      </c>
    </row>
    <row r="3" spans="1:11" x14ac:dyDescent="0.25">
      <c r="A3" t="s">
        <v>9</v>
      </c>
      <c r="C3" t="s">
        <v>48</v>
      </c>
      <c r="D3" t="s">
        <v>20</v>
      </c>
      <c r="E3" t="s">
        <v>85</v>
      </c>
      <c r="F3" t="s">
        <v>48</v>
      </c>
      <c r="I3" t="s">
        <v>48</v>
      </c>
      <c r="J3" t="s">
        <v>50</v>
      </c>
    </row>
    <row r="4" spans="1:11" x14ac:dyDescent="0.25">
      <c r="A4" t="s">
        <v>10</v>
      </c>
      <c r="C4" t="s">
        <v>48</v>
      </c>
      <c r="D4" t="s">
        <v>21</v>
      </c>
      <c r="F4" t="s">
        <v>48</v>
      </c>
      <c r="I4" t="s">
        <v>48</v>
      </c>
      <c r="J4" t="s">
        <v>51</v>
      </c>
    </row>
    <row r="5" spans="1:11" x14ac:dyDescent="0.25">
      <c r="A5" t="s">
        <v>11</v>
      </c>
      <c r="C5" t="s">
        <v>48</v>
      </c>
      <c r="D5" t="s">
        <v>22</v>
      </c>
      <c r="E5" t="s">
        <v>80</v>
      </c>
      <c r="F5" t="s">
        <v>48</v>
      </c>
      <c r="I5" t="s">
        <v>48</v>
      </c>
      <c r="J5" t="s">
        <v>52</v>
      </c>
    </row>
    <row r="6" spans="1:11" x14ac:dyDescent="0.25">
      <c r="A6" t="s">
        <v>12</v>
      </c>
      <c r="C6" t="s">
        <v>48</v>
      </c>
      <c r="D6" t="s">
        <v>23</v>
      </c>
      <c r="F6" t="s">
        <v>48</v>
      </c>
      <c r="I6" t="s">
        <v>48</v>
      </c>
      <c r="J6" t="s">
        <v>48</v>
      </c>
      <c r="K6" t="s">
        <v>48</v>
      </c>
    </row>
    <row r="7" spans="1:11" x14ac:dyDescent="0.25">
      <c r="A7" t="s">
        <v>13</v>
      </c>
      <c r="C7" t="s">
        <v>48</v>
      </c>
      <c r="D7" t="s">
        <v>24</v>
      </c>
      <c r="E7" t="s">
        <v>81</v>
      </c>
      <c r="F7" t="s">
        <v>48</v>
      </c>
      <c r="G7" t="s">
        <v>48</v>
      </c>
      <c r="H7" t="s">
        <v>48</v>
      </c>
      <c r="I7" t="s">
        <v>48</v>
      </c>
      <c r="J7" t="s">
        <v>48</v>
      </c>
      <c r="K7" t="s">
        <v>48</v>
      </c>
    </row>
    <row r="8" spans="1:11" x14ac:dyDescent="0.25">
      <c r="A8" t="s">
        <v>14</v>
      </c>
      <c r="B8" t="s">
        <v>86</v>
      </c>
      <c r="C8" t="s">
        <v>48</v>
      </c>
      <c r="D8" t="s">
        <v>25</v>
      </c>
      <c r="E8" t="s">
        <v>82</v>
      </c>
      <c r="F8" t="s">
        <v>48</v>
      </c>
      <c r="G8" t="s">
        <v>48</v>
      </c>
      <c r="H8" t="s">
        <v>48</v>
      </c>
      <c r="I8" t="s">
        <v>48</v>
      </c>
      <c r="J8" t="s">
        <v>48</v>
      </c>
      <c r="K8" t="s">
        <v>48</v>
      </c>
    </row>
    <row r="9" spans="1:11" x14ac:dyDescent="0.25">
      <c r="A9" t="s">
        <v>15</v>
      </c>
      <c r="C9" t="s">
        <v>48</v>
      </c>
      <c r="D9" t="s">
        <v>0</v>
      </c>
      <c r="E9" t="s">
        <v>83</v>
      </c>
      <c r="F9" t="s">
        <v>48</v>
      </c>
      <c r="G9" t="s">
        <v>48</v>
      </c>
      <c r="H9" t="s">
        <v>48</v>
      </c>
      <c r="I9" t="s">
        <v>48</v>
      </c>
      <c r="J9" t="s">
        <v>48</v>
      </c>
      <c r="K9" t="s">
        <v>48</v>
      </c>
    </row>
    <row r="10" spans="1:11" x14ac:dyDescent="0.25">
      <c r="A10" t="s">
        <v>16</v>
      </c>
      <c r="C10" t="s">
        <v>48</v>
      </c>
      <c r="D10" t="s">
        <v>26</v>
      </c>
      <c r="E10" t="s">
        <v>84</v>
      </c>
      <c r="F10" t="s">
        <v>48</v>
      </c>
      <c r="G10" t="s">
        <v>48</v>
      </c>
      <c r="H10" t="s">
        <v>48</v>
      </c>
      <c r="I10" t="s">
        <v>48</v>
      </c>
      <c r="J10" t="s">
        <v>48</v>
      </c>
      <c r="K10" t="s">
        <v>48</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3B8E10-4AD8-4260-A457-8B341510E0D5}">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$AgedAccountsReceivablePrint$</vt:lpstr>
      <vt:lpstr>$ByPeriodLCY$</vt:lpstr>
      <vt:lpstr>$ByPeriodFCY$</vt:lpstr>
      <vt:lpstr>$DueByCurrencies$</vt:lpstr>
      <vt:lpstr>TranslationData</vt:lpstr>
      <vt:lpstr>CustomerAgingData_Query</vt:lpstr>
      <vt:lpstr>CustomerAgingDataPrint</vt:lpstr>
      <vt:lpstr>CustomerAgingData</vt:lpstr>
      <vt:lpstr>AgingData</vt:lpstr>
      <vt:lpstr>Dimension1</vt:lpstr>
      <vt:lpstr>Dimension2</vt:lpstr>
      <vt:lpstr>$AboutTheReportLabel$</vt:lpstr>
      <vt:lpstr>CaptionData</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Nikola Kukrika</dc:creator>
  <cp:lastModifiedBy>Neelesh Singhal (Alletec Pty Ltd)</cp:lastModifiedBy>
  <cp:lastPrinted>2025-02-12T11:47:24Z</cp:lastPrinted>
  <dcterms:created xsi:type="dcterms:W3CDTF">2024-02-15T15:38:37Z</dcterms:created>
  <dcterms:modified xsi:type="dcterms:W3CDTF">2026-04-07T10:01:52Z</dcterms:modified>
</cp:coreProperties>
</file>
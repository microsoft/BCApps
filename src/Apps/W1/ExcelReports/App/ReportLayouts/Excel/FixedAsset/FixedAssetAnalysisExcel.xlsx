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730"/>
  <x:workbookPr hidePivotFieldList="1"/>
  <mc:AlternateContent xmlns:mc="http://schemas.openxmlformats.org/markup-compatibility/2006">
    <mc:Choice Requires="x15">
      <x15ac:absPath xmlns:x15ac="http://schemas.microsoft.com/office/spreadsheetml/2010/11/ac" url="C:\Users\daniel.williams\Source\Gold\Yellowstone.Apps\Apps\W1\ExcelReports\app\ReportLayouts\Excel\FixedAsset\"/>
    </mc:Choice>
  </mc:AlternateContent>
  <xr:revisionPtr revIDLastSave="0" documentId="13_ncr:1_{88F90A69-F253-41C3-971A-B4FEEDDC0764}" xr6:coauthVersionLast="47" xr6:coauthVersionMax="47" xr10:uidLastSave="{00000000-0000-0000-0000-000000000000}"/>
  <x:bookViews>
    <x:workbookView xWindow="-120" yWindow="-120" windowWidth="29040" windowHeight="15720" xr2:uid="{00000000-000D-0000-FFFF-FFFF00000000}"/>
  </x:bookViews>
  <x:sheets>
    <x:sheet name="$FixedAssetAnalysisPrint$" sheetId="12" r:id="rId1"/>
    <x:sheet name="$FixedAssetAnalysis$" sheetId="7" r:id="rId2"/>
    <x:sheet name="$BookValue$" sheetId="10" r:id="rId3"/>
    <x:sheet name="CaptionData" sheetId="3" state="hidden" r:id="rId4"/>
    <x:sheet name="$AboutTheReportLabel$" sheetId="13" r:id="rId5"/>
    <x:sheet name="FixedAssetData" sheetId="5" state="hidden" r:id="rId6"/>
    <x:sheet name="TranslationData" sheetId="2" state="hidden" r:id="rId7"/>
    <x:sheet name="Metadata" sheetId="9" state="hidden" r:id="rId8"/>
    <x:sheet name="Aggregated Metadata" sheetId="4" state="hidden" r:id="rId9"/>
  </x:sheets>
  <x:definedNames>
    <x:definedName name="AcquisitionCost">Metadata!$A$10</x:definedName>
    <x:definedName name="Caption.Amount2LCY" comment="Use this function to get the Amount2LCY from the CaptionData table in the CaptionData worksheet">_xlfn.XLOOKUP("Amount2LCY",#REF!,#REF!,"none",)</x:definedName>
    <x:definedName name="Caption.AmountLCY" comment="Use this function to get the AmountLCY from the CaptionData table in the CaptionData worksheet">_xlfn.XLOOKUP("AmountLCY",#REF!,#REF!,"none",)</x:definedName>
    <x:definedName name="Caption.CustomerName" comment="Use this function to get the CustomerName from the CaptionData table in the CaptionData worksheet">_xlfn.XLOOKUP("CustomerName",#REF!,#REF!,"none",)</x:definedName>
    <x:definedName name="Caption.CustomerNo" comment="Use this function to get the CustomerNo from the CaptionData table in the CaptionData worksheet">_xlfn.XLOOKUP("CustomerNo",#REF!,#REF!,"none",)</x:definedName>
    <x:definedName name="Caption.DataRetrieved" comment="Use this function to get the DataRetrieved from the CaptionData table in the CaptionData worksheet">_xlfn.XLOOKUP("DataRetrieved",#REF!,#REF!,"none",)</x:definedName>
    <x:definedName name="Caption.DateFilterLabel" comment="Use this function to get the DateFilterLabel from the CaptionData table in the CaptionData worksheet">_xlfn.XLOOKUP("DateFilterLabel",#REF!,#REF!,"none",)</x:definedName>
    <x:definedName name="Caption.RankAccordingTo" comment="Use this function to get the RankAccordingTo from the CaptionData table in the CaptionData worksheet">_xlfn.XLOOKUP("RankAccordingTo",#REF!,#REF!,"none",)</x:definedName>
    <x:definedName name="Caption.TopCustomerListLabel" comment="Use this function to get the TopCustomerListLabel from the CaptionData table in the CaptionData worksheet">_xlfn.XLOOKUP("TopCustomerListLabel",#REF!,#REF!,"none",)</x:definedName>
    <x:definedName name="CompanyName">Metadata!$A$1</x:definedName>
    <x:definedName name="DataRetrieved">Metadata!$A$6</x:definedName>
    <x:definedName name="Depreciation">Metadata!$A$9</x:definedName>
    <x:definedName name="DepreciationBook">Metadata!$A$7</x:definedName>
    <x:definedName name="DepreciationBookCode">Metadata!$A$3</x:definedName>
    <x:definedName name="EndingDate">Metadata!$A$5</x:definedName>
    <x:definedName name="Period">Metadata!$A$8</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ID",#REF!,#REF!,"none",)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_xlfn.XLOOKUP("Company display name",#REF!,#REF!,"none",)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RetrievedAt">Metadata!$A$2</x:definedName>
    <x:definedName name="Slicer_BudgetedAsset">#N/A</x:definedName>
    <x:definedName name="Slicer_BudgetedAsset1">#N/A</x:definedName>
    <x:definedName name="Slicer_FixedAssetClassCode">#N/A</x:definedName>
    <x:definedName name="Slicer_FixedAssetClassCode1">#N/A</x:definedName>
    <x:definedName name="Slicer_FixedAssetLocationCode">#N/A</x:definedName>
    <x:definedName name="Slicer_FixedAssetLocationCode1">#N/A</x:definedName>
    <x:definedName name="Slicer_FixedAssetSubclassCode">#N/A</x:definedName>
    <x:definedName name="Slicer_FixedAssetSubclassCode1">#N/A</x:definedName>
    <x:definedName name="Slicer_GlobalDimension1Code">#N/A</x:definedName>
    <x:definedName name="Slicer_GlobalDimension1Code1">#N/A</x:definedName>
    <x:definedName name="Slicer_GlobalDimension2Code">#N/A</x:definedName>
    <x:definedName name="Slicer_GlobalDimension2Code1">#N/A</x:definedName>
    <x:definedName name="StartingDate">Metadata!$A$4</x:definedName>
  </x:definedNames>
  <x:calcPr calcId="191029" forceFullCalc="1"/>
  <x:pivotCaches>
    <x:pivotCache cacheId="0" r:id="rId10"/>
    <x:pivotCache cacheId="1" r:id="rId11"/>
    <x:pivotCache cacheId="4" r:id="rId12"/>
  </x:pivotCaches>
  <x:extLst>
    <x: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x:ext>
    <x:ext xmlns:x14="http://schemas.microsoft.com/office/spreadsheetml/2009/9/main" uri="{79F54976-1DA5-4618-B147-4CDE4B953A38}">
      <x14:workbookPr/>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6" i="13" l="1" a="1"/>
  <c r="B6" i="13" s="1"/>
  <c r="B5" i="13" a="1"/>
  <c r="B5" i="13" s="1"/>
  <c r="B4" i="13" a="1"/>
  <c r="B4" i="13" s="1"/>
  <c r="P4" i="12" a="1"/>
  <c r="P4" i="12" s="1"/>
  <c r="O4" i="12" a="1"/>
  <c r="O4" i="12" s="1"/>
  <c r="B7" i="13"/>
  <c r="B3" i="13" a="1"/>
  <c r="B3" i="13" s="1"/>
  <c r="B2" i="13" a="1"/>
  <c r="B2" i="13" s="1"/>
  <c r="B1" i="13" a="1"/>
  <c r="B1" i="13" s="1"/>
  <c r="P2" i="12" a="1"/>
  <c r="P2" i="12" s="1"/>
  <c r="J2" i="7" l="1"/>
  <c r="I2" i="7"/>
  <c r="H2" i="7"/>
  <c r="A8" i="9"/>
  <c r="A7" i="9"/>
  <c r="A6" i="9"/>
  <c r="A5" i="9"/>
  <c r="A4" i="9"/>
  <c r="A3" i="9"/>
  <c r="A2" i="9"/>
  <c r="A1" i="9"/>
  <c r="B4" i="12" l="1"/>
  <c r="B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52B2DD-3052-4577-9636-BD6A5DB0760A}" keepAlive="1" name="Query - AcquisitionCostAtEndingDateData" description="Connection to the 'AcquisitionCostAtEndingDateData' query in the workbook." type="5" refreshedVersion="0" background="1">
    <dbPr connection="Provider=Microsoft.Mashup.OleDb.1;Data Source=$Workbook$;Location=AcquisitionCostAtEndingDateData;Extended Properties=&quot;&quot;" command="SELECT * FROM [AcquisitionCostAtEndingDateData]"/>
  </connection>
  <connection id="2" xr16:uid="{4BA5077B-1473-4FA2-BF26-2CB4491CB589}" keepAlive="1" name="Query - AcquisitionCostBeforeStartingDateData" description="Connection to the 'AcquisitionCostBeforeStartingDateData' query in the workbook." type="5" refreshedVersion="0" background="1">
    <dbPr connection="Provider=Microsoft.Mashup.OleDb.1;Data Source=$Workbook$;Location=AcquisitionCostBeforeStartingDateData;Extended Properties=&quot;&quot;" command="SELECT * FROM [AcquisitionCostBeforeStartingDateData]"/>
  </connection>
  <connection id="3" xr16:uid="{5B5BE2E9-C6AC-4AC2-81EF-B6B2546D38FE}" keepAlive="1" name="Query - AcquisitionCostNetChangeData" description="Connection to the 'AcquisitionCostNetChangeData' query in the workbook." type="5" refreshedVersion="0" background="1">
    <dbPr connection="Provider=Microsoft.Mashup.OleDb.1;Data Source=$Workbook$;Location=AcquisitionCostNetChangeData;Extended Properties=&quot;&quot;" command="SELECT * FROM [AcquisitionCostNetChangeData]"/>
  </connection>
  <connection id="4" xr16:uid="{E8CFC7B7-37E8-4401-8A33-4BBE2FB8DED1}" keepAlive="1" name="Query - BookValueAnalysisData" description="Connection to the 'BookValueAnalysisData' query in the workbook." type="5" refreshedVersion="8" background="1">
    <dbPr connection="Provider=Microsoft.Mashup.OleDb.1;Data Source=$Workbook$;Location=BookValueAnalysisData;Extended Properties=&quot;&quot;" command="SELECT * FROM [BookValueAnalysisData]"/>
  </connection>
  <connection id="5" xr16:uid="{9424EE20-862C-46D6-B6CA-DC4E6C92E2D1}" keepAlive="1" name="Query - BookValueAtEndingDateData" description="Connection to the 'BookValueAtEndingDateData' query in the workbook." type="5" refreshedVersion="0" background="1">
    <dbPr connection="Provider=Microsoft.Mashup.OleDb.1;Data Source=$Workbook$;Location=BookValueAtEndingDateData;Extended Properties=&quot;&quot;" command="SELECT * FROM [BookValueAtEndingDateData]"/>
  </connection>
  <connection id="6" xr16:uid="{9AF74356-C180-429E-9879-71F866BBFB7A}" keepAlive="1" name="Query - BookValueBeforeStartingDateData" description="Connection to the 'BookValueBeforeStartingDateData' query in the workbook." type="5" refreshedVersion="0" background="1">
    <dbPr connection="Provider=Microsoft.Mashup.OleDb.1;Data Source=$Workbook$;Location=BookValueBeforeStartingDateData;Extended Properties=&quot;&quot;" command="SELECT * FROM [BookValueBeforeStartingDateData]"/>
  </connection>
  <connection id="7" xr16:uid="{6FF6132D-092C-43F7-A931-F785A6B562D6}" keepAlive="1" name="Query - CaptionData" description="Connection to the 'CaptionData' query in the workbook." type="5" refreshedVersion="0" background="1">
    <dbPr connection="Provider=Microsoft.Mashup.OleDb.1;Data Source=$Workbook$;Location=CaptionData;Extended Properties=&quot;&quot;" command="SELECT * FROM [CaptionData]"/>
  </connection>
  <connection id="8" xr16:uid="{E51A887D-7D77-48C2-90EA-AA601ED3CD1C}" keepAlive="1" name="Query - DepreciationAtEndingDateData" description="Connection to the 'DepreciationAtEndingDateData' query in the workbook." type="5" refreshedVersion="0" background="1">
    <dbPr connection="Provider=Microsoft.Mashup.OleDb.1;Data Source=$Workbook$;Location=DepreciationAtEndingDateData;Extended Properties=&quot;&quot;" command="SELECT * FROM [DepreciationAtEndingDateData]"/>
  </connection>
  <connection id="9" xr16:uid="{71ED4995-7E09-4D91-B654-FA38718F3833}" keepAlive="1" name="Query - DepreciationBeforeStartingDateData" description="Connection to the 'DepreciationBeforeStartingDateData' query in the workbook." type="5" refreshedVersion="0" background="1">
    <dbPr connection="Provider=Microsoft.Mashup.OleDb.1;Data Source=$Workbook$;Location=DepreciationBeforeStartingDateData;Extended Properties=&quot;&quot;" command="SELECT * FROM [DepreciationBeforeStartingDateData]"/>
  </connection>
  <connection id="10" xr16:uid="{03F51E87-1517-4E44-832B-C90B4659BFA4}" keepAlive="1" name="Query - DepreciationNetChangeData" description="Connection to the 'DepreciationNetChangeData' query in the workbook." type="5" refreshedVersion="0" background="1">
    <dbPr connection="Provider=Microsoft.Mashup.OleDb.1;Data Source=$Workbook$;Location=DepreciationNetChangeData;Extended Properties=&quot;&quot;" command="SELECT * FROM [DepreciationNetChangeData]"/>
  </connection>
  <connection id="11" xr16:uid="{5217787A-D1E7-4313-AA3B-1FD0344A269B}" keepAlive="1" name="Query - FixedAssetData" description="Connection to the 'FixedAssetData' query in the workbook." type="5" refreshedVersion="8" background="1">
    <dbPr connection="Provider=Microsoft.Mashup.OleDb.1;Data Source=$Workbook$;Location=FixedAssetData;Extended Properties=&quot;&quot;" command="SELECT * FROM [FixedAssetData]"/>
  </connection>
  <connection id="12" xr16:uid="{032DF230-F2C5-4B7F-9D2F-135E9346AAAD}" keepAlive="1" name="Query - FixedAssetDataPrint" description="Connection to the 'FixedAssetDataPrint' query in the workbook." type="5" refreshedVersion="8" refreshOnLoad="1" saveData="1">
    <dbPr connection="Provider=Microsoft.Mashup.OleDb.1;Data Source=$Workbook$;Location=FixedAssetDataPrint;Extended Properties=&quot;&quot;" command="SELECT * FROM [FixedAssetDataPrint]"/>
  </connection>
  <connection id="13" xr16:uid="{DCFCF15D-ED3C-4E9F-A82E-9B86BBB96614}" keepAlive="1" name="Query - ProceedsOnDisposalNetChangeData" description="Connection to the 'ProceedsOnDisposalNetChangeData' query in the workbook." type="5" refreshedVersion="0" background="1">
    <dbPr connection="Provider=Microsoft.Mashup.OleDb.1;Data Source=$Workbook$;Location=ProceedsOnDisposalNetChangeData;Extended Properties=&quot;&quot;" command="SELECT * FROM [ProceedsOnDisposalNetChange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<sst xmlns="http://schemas.openxmlformats.org/spreadsheetml/2006/main" count="265" uniqueCount="163">
  <si>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</si>
  <si>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</si>
  <si>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</si>
  <si>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</si>
  <si>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</si>
  <si>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</si>
  <si>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</si>
  <si>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</si>
  <si>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</si>
  <si>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</si>
  <si>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</si>
  <si>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</si>
  <si>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</si>
  <si>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</si>
  <si>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</si>
  <si>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</si>
  <si>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</si>
  <si>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</si>
  <si>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</si>
  <si>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</si>
  <si>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</si>
  <si>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</si>
  <si>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</si>
  <si>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</si>
  <si>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</si>
  <si>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</si>
  <si>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</si>
  <si>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</si>
  <si>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</si>
  <si>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AssetNumber</t>
  </si>
  <si>
    <t>No.</t>
  </si>
  <si>
    <t>AssetDescription</t>
  </si>
  <si>
    <t>Description</t>
  </si>
  <si>
    <t>FixedAssetClassCode</t>
  </si>
  <si>
    <t>FA Class Code</t>
  </si>
  <si>
    <t>FixedAssetSubclassCode</t>
  </si>
  <si>
    <t>FA Subclass Code</t>
  </si>
  <si>
    <t>BudgetedAsset</t>
  </si>
  <si>
    <t>Budgeted Asset</t>
  </si>
  <si>
    <t>FixedAssetPostingTypeName</t>
  </si>
  <si>
    <t>FA Posting Type Name</t>
  </si>
  <si>
    <t>DataRetrieved</t>
  </si>
  <si>
    <t>Data retrieved:</t>
  </si>
  <si>
    <t>FixedAssetAnalysis</t>
  </si>
  <si>
    <t>Fixed Asset Analysis</t>
  </si>
  <si>
    <t>BeforeStartingDateLabel</t>
  </si>
  <si>
    <t>Before Starting Date</t>
  </si>
  <si>
    <t>AtEndingDateLabel</t>
  </si>
  <si>
    <t>At Ending Date</t>
  </si>
  <si>
    <t>NetChangeLabel</t>
  </si>
  <si>
    <t>Net Change</t>
  </si>
  <si>
    <t/>
  </si>
  <si>
    <t>DepreciationBookCode</t>
  </si>
  <si>
    <t>FAPostingType::FA Posting Type::2::FA Entry</t>
  </si>
  <si>
    <t>1</t>
  </si>
  <si>
    <t>StartingDate</t>
  </si>
  <si>
    <t>EndingDate</t>
  </si>
  <si>
    <t>SalesReport</t>
  </si>
  <si>
    <t>BudgetReport</t>
  </si>
  <si>
    <t>IncludeInactive</t>
  </si>
  <si>
    <t>BeforeStartingDate</t>
  </si>
  <si>
    <t>AtEndingDate</t>
  </si>
  <si>
    <t>NetChange</t>
  </si>
  <si>
    <t>Grand Total</t>
  </si>
  <si>
    <t>$FixedAssetAnalysis$</t>
  </si>
  <si>
    <t>(All)</t>
  </si>
  <si>
    <t>$FixedAssetClassCode$</t>
  </si>
  <si>
    <t>$FixedAssetSubclassCode$</t>
  </si>
  <si>
    <t>$AssetNumber$</t>
  </si>
  <si>
    <t>$AssetDescription$</t>
  </si>
  <si>
    <t>$FixedAssetPostingTypeName$</t>
  </si>
  <si>
    <t>DepreciationBook</t>
  </si>
  <si>
    <t>Depreciation Book</t>
  </si>
  <si>
    <t>Period</t>
  </si>
  <si>
    <t>Tenant Id Value</t>
  </si>
  <si>
    <t>Environment name Value</t>
  </si>
  <si>
    <t>Environment type Value</t>
  </si>
  <si>
    <t>Company name Value</t>
  </si>
  <si>
    <t>Company Id Value</t>
  </si>
  <si>
    <t>User name Value</t>
  </si>
  <si>
    <t>Date Value</t>
  </si>
  <si>
    <t>Language Value</t>
  </si>
  <si>
    <t>Format Region Value</t>
  </si>
  <si>
    <t>Extension ID Value</t>
  </si>
  <si>
    <t>Extension Name Value</t>
  </si>
  <si>
    <t>Extension Publisher Value</t>
  </si>
  <si>
    <t>Extension Version Value</t>
  </si>
  <si>
    <t>Object ID Value</t>
  </si>
  <si>
    <t>Object Name Value</t>
  </si>
  <si>
    <t>About This Report Title Value</t>
  </si>
  <si>
    <t>About This Report Text Value</t>
  </si>
  <si>
    <t>Report help link Value</t>
  </si>
  <si>
    <t>DepreciationBookCode Value</t>
  </si>
  <si>
    <t>StartingDate Value</t>
  </si>
  <si>
    <t>EndingDate Value</t>
  </si>
  <si>
    <t>SalesReport Value</t>
  </si>
  <si>
    <t>BudgetReport Value</t>
  </si>
  <si>
    <t>IncludeInactive Value</t>
  </si>
  <si>
    <t>$BeforeStartingDateLabel$</t>
  </si>
  <si>
    <t>$AtEndingDateLabel$</t>
  </si>
  <si>
    <t>$NetChangeLabel$</t>
  </si>
  <si>
    <t>Book Value</t>
  </si>
  <si>
    <t>FixedAssetPostingTypeNumber</t>
  </si>
  <si>
    <t>FixedAssetLocationCode</t>
  </si>
  <si>
    <t>AcquisitionDateField</t>
  </si>
  <si>
    <t>DisposalDateField</t>
  </si>
  <si>
    <t>FA Location Code</t>
  </si>
  <si>
    <t>FA Posting Type No.</t>
  </si>
  <si>
    <t>Period:</t>
  </si>
  <si>
    <t>BookValue</t>
  </si>
  <si>
    <t>AcquisitionDateLabel</t>
  </si>
  <si>
    <t>Acquisition Date</t>
  </si>
  <si>
    <t>DisposalDateLabel</t>
  </si>
  <si>
    <t>Disposal Date</t>
  </si>
  <si>
    <t>$AcquisitionCostNetChange$</t>
  </si>
  <si>
    <t>$ProceedsOnDisposalNetChange$</t>
  </si>
  <si>
    <t>$DepreciationNetChange$</t>
  </si>
  <si>
    <t>BookValueAnalysis</t>
  </si>
  <si>
    <t>AcquisitionCostNetChange</t>
  </si>
  <si>
    <t>ProceedsOnDisposalNetChange</t>
  </si>
  <si>
    <t>DepreciationNetChange</t>
  </si>
  <si>
    <t>Book Value Analysis</t>
  </si>
  <si>
    <t>Addition in Period</t>
  </si>
  <si>
    <t>Disposal in Period</t>
  </si>
  <si>
    <t>Depreciation in Period</t>
  </si>
  <si>
    <t>AcquisitionCostBefore</t>
  </si>
  <si>
    <t>Acquisition Cost Before</t>
  </si>
  <si>
    <t>AcquisitionCostAfter</t>
  </si>
  <si>
    <t>Acquisition Cost After</t>
  </si>
  <si>
    <t>BookValueAfter</t>
  </si>
  <si>
    <t>BookValueBefore</t>
  </si>
  <si>
    <t>Book Value After</t>
  </si>
  <si>
    <t>Book Value Before</t>
  </si>
  <si>
    <t>$AcquisitionCostBefore$</t>
  </si>
  <si>
    <t>$AcquisitionCostAfter$</t>
  </si>
  <si>
    <t>$DepreciationBefore$</t>
  </si>
  <si>
    <t>$DepreciationAfter$</t>
  </si>
  <si>
    <t>$BookValueBefore$</t>
  </si>
  <si>
    <t>$BookValueAfter$</t>
  </si>
  <si>
    <t>GlobalDimension1Code</t>
  </si>
  <si>
    <t>GlobalDimension2Code</t>
  </si>
  <si>
    <t>$AcquisitionDateLabel$</t>
  </si>
  <si>
    <t>$DisposalDateLabel$</t>
  </si>
  <si>
    <t>(blank)</t>
  </si>
  <si>
    <t>(blank) Total</t>
  </si>
  <si>
    <t>Department Code</t>
  </si>
  <si>
    <t>Project Code</t>
  </si>
  <si>
    <t>DepreciationAfter</t>
  </si>
  <si>
    <t>Depreciation After</t>
  </si>
  <si>
    <t>DepreciationBefore</t>
  </si>
  <si>
    <t>Depreciation Before</t>
  </si>
  <si>
    <t>BLANK</t>
  </si>
  <si>
    <t>$EnvironmentLabel$</t>
  </si>
  <si>
    <t>$CompanyLabel$</t>
  </si>
  <si>
    <t>$UserLabel$</t>
  </si>
  <si>
    <t>$RunOnLabel$</t>
  </si>
  <si>
    <t>$ReportNameLabel$</t>
  </si>
  <si>
    <t>$DocumentationLabel$</t>
  </si>
  <si>
    <t>$FixedAssetPostingTypeNumber$</t>
  </si>
  <si>
    <t>$FixedAssetLocationCode$</t>
  </si>
  <si>
    <t>$BudgetedAsset$</t>
  </si>
  <si>
    <t>$GlobalDimension1Code$</t>
  </si>
  <si>
    <t>$GlobalDimension2Code$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</si>
</sst>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8" x14ac:knownFonts="1">
    <font>
      <sz val="11"/>
      <color theme="1"/>
      <name val="Segoe UI"/>
      <family val="2"/>
      <scheme val="minor"/>
    </font>
    <font>
      <b/>
      <sz val="11"/>
      <name val="Segoe UI"/>
      <family val="2"/>
      <scheme val="minor"/>
    </font>
    <font>
      <b/>
      <sz val="11"/>
      <color theme="1"/>
      <name val="Segoe UI"/>
      <family val="2"/>
      <scheme val="minor"/>
    </font>
    <font>
      <b/>
      <sz val="15"/>
      <color theme="1"/>
      <name val="Segoe UI"/>
      <family val="2"/>
      <scheme val="minor"/>
    </font>
    <font>
      <b/>
      <sz val="13"/>
      <color theme="1"/>
      <name val="Segoe UI"/>
      <family val="2"/>
      <scheme val="minor"/>
    </font>
    <font>
      <sz val="10"/>
      <name val="Segoe UI"/>
      <family val="2"/>
      <scheme val="minor"/>
    </font>
    <font>
      <sz val="18"/>
      <color theme="1"/>
      <name val="Segoe UI Semibold"/>
      <family val="2"/>
      <scheme val="major"/>
    </font>
    <font>
      <sz val="8"/>
      <name val="Segoe UI"/>
      <family val="2"/>
      <scheme val="minor"/>
    </font>
    <font>
      <sz val="11"/>
      <name val="Segoe UI"/>
      <family val="2"/>
      <scheme val="minor"/>
    </font>
    <font>
      <sz val="11"/>
      <color theme="1"/>
      <name val="Segoe UI"/>
      <family val="2"/>
      <scheme val="minor"/>
    </font>
    <font>
      <b/>
      <sz val="18"/>
      <color theme="1"/>
      <name val="Segoe UI Semibold"/>
      <family val="2"/>
      <scheme val="major"/>
    </font>
    <font>
      <sz val="10"/>
      <color theme="1"/>
      <name val="Segoe UI"/>
      <family val="2"/>
      <scheme val="minor"/>
    </font>
    <font>
      <b/>
      <sz val="10"/>
      <color theme="1"/>
      <name val="Segoe UI Semibold"/>
      <family val="2"/>
      <scheme val="major"/>
    </font>
    <font>
      <sz val="10"/>
      <color theme="1"/>
      <name val="Segoe UI Semibold"/>
      <family val="2"/>
      <scheme val="major"/>
    </font>
    <font>
      <u/>
      <sz val="11"/>
      <color theme="10"/>
      <name val="Segoe UI"/>
      <family val="2"/>
      <scheme val="minor"/>
    </font>
    <font>
      <u/>
      <sz val="10"/>
      <color theme="10"/>
      <name val="Segoe UI"/>
      <family val="2"/>
      <scheme val="minor"/>
    </font>
    <font>
      <sz val="10"/>
      <color theme="1"/>
      <name val="Segoe UI Semibold"/>
      <scheme val="major"/>
    </font>
    <font>
      <sz val="14"/>
      <color theme="1"/>
      <name val="Segoe UI"/>
      <family val="2"/>
      <scheme val="minor"/>
    </font>
  </fonts>
  <fills count="5">
    <fill>
      <patternFill patternType="none"/>
    </fill>
    <fill>
      <patternFill patternType="gray125"/>
    </fill>
    <fill>
      <patternFill patternType="solid">
        <fgColor rgb="FFC0C0C0"/>
        <bgColor indexed="64"/>
      </patternFill>
    </fill>
    <fill>
      <patternFill patternType="solid">
        <fgColor theme="8" tint="0.79998168889431442"/>
        <bgColor indexed="65"/>
      </patternFill>
    </fill>
    <fill>
      <patternFill patternType="solid">
        <fgColor theme="5"/>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12">
    <xf numFmtId="0" fontId="0" fillId="0" borderId="0"/>
    <xf numFmtId="0" fontId="6" fillId="0" borderId="0" applyNumberFormat="0" applyFill="0" applyBorder="0" applyAlignment="0" applyProtection="0"/>
    <xf numFmtId="0" fontId="3" fillId="0" borderId="1" applyNumberFormat="0" applyFill="0" applyBorder="0" applyAlignment="0" applyProtection="0"/>
    <xf numFmtId="0" fontId="4" fillId="0" borderId="2" applyNumberFormat="0" applyFill="0" applyAlignment="0" applyProtection="0"/>
    <xf numFmtId="0" fontId="2" fillId="0" borderId="3" applyNumberFormat="0" applyFill="0" applyBorder="0" applyAlignment="0" applyProtection="0"/>
    <xf numFmtId="0" fontId="2" fillId="0" borderId="0" applyNumberFormat="0" applyFill="0" applyBorder="0" applyAlignment="0" applyProtection="0"/>
    <xf numFmtId="0" fontId="5" fillId="0" borderId="0"/>
    <xf numFmtId="0" fontId="9" fillId="3" borderId="0" applyNumberFormat="0" applyBorder="0" applyAlignment="0" applyProtection="0"/>
    <xf numFmtId="0" fontId="3" fillId="0" borderId="1" applyNumberFormat="0" applyFill="0" applyBorder="0" applyAlignment="0" applyProtection="0"/>
    <xf numFmtId="0" fontId="4" fillId="0" borderId="2" applyNumberFormat="0" applyFill="0" applyAlignment="0" applyProtection="0"/>
    <xf numFmtId="0" fontId="8" fillId="0" borderId="0"/>
    <xf numFmtId="0" fontId="14" fillId="0" borderId="0" applyNumberFormat="0" applyFill="0" applyBorder="0" applyAlignment="0" applyProtection="0"/>
  </cellStyleXfs>
  <cellXfs count="34">
    <xf numFmtId="0" fontId="0" fillId="0" borderId="0" xfId="0"/>
    <xf numFmtId="49" fontId="1" fillId="2" borderId="0" xfId="0" applyNumberFormat="1" applyFont="1" applyFill="1"/>
    <xf numFmtId="14" fontId="0" fillId="0" borderId="0" xfId="0" applyNumberFormat="1"/>
    <xf numFmtId="49" fontId="8" fillId="2" borderId="0" xfId="0" applyNumberFormat="1" applyFont="1" applyFill="1"/>
    <xf numFmtId="1" fontId="8" fillId="0" borderId="0" xfId="0" applyNumberFormat="1" applyFont="1"/>
    <xf numFmtId="49" fontId="8" fillId="0" borderId="0" xfId="0" applyNumberFormat="1" applyFont="1"/>
    <xf numFmtId="4" fontId="8" fillId="0" borderId="0" xfId="0" applyNumberFormat="1" applyFont="1"/>
    <xf numFmtId="14" fontId="8" fillId="0" borderId="0" xfId="0" applyNumberFormat="1" applyFont="1"/>
    <xf numFmtId="0" fontId="10" fillId="0" borderId="0" xfId="8" applyFont="1" applyBorder="1" applyAlignment="1">
      <alignment vertical="center"/>
    </xf>
    <xf numFmtId="0" fontId="11" fillId="0" borderId="0" xfId="0" applyFont="1" applyAlignment="1">
      <alignment vertical="center"/>
    </xf>
    <xf numFmtId="0" fontId="12" fillId="0" borderId="2" xfId="9" applyFont="1" applyAlignment="1">
      <alignment horizontal="right" vertical="center"/>
    </xf>
    <xf numFmtId="0" fontId="11" fillId="0" borderId="0" xfId="0" applyFont="1" applyAlignment="1">
      <alignment horizontal="right" vertical="center"/>
    </xf>
    <xf numFmtId="0" fontId="13" fillId="0" borderId="0" xfId="0" applyFont="1" applyAlignment="1">
      <alignment vertical="center"/>
    </xf>
    <xf numFmtId="0" fontId="11" fillId="0" borderId="0" xfId="0" applyFont="1" applyAlignment="1">
      <alignment horizontal="left" vertical="center"/>
    </xf>
    <xf numFmtId="0" fontId="0" fillId="0" borderId="0" xfId="0" applyAlignment="1">
      <alignment vertical="center"/>
    </xf>
    <xf numFmtId="0" fontId="3" fillId="0" borderId="0" xfId="2" applyBorder="1" applyAlignment="1">
      <alignment vertical="center"/>
    </xf>
    <xf numFmtId="4" fontId="0" fillId="0" borderId="0" xfId="0" applyNumberFormat="1" applyAlignment="1">
      <alignment horizontal="left" vertical="center"/>
    </xf>
    <xf numFmtId="14" fontId="11" fillId="0" borderId="0" xfId="0" applyNumberFormat="1" applyFont="1" applyAlignment="1">
      <alignment vertical="center"/>
    </xf>
    <xf numFmtId="4" fontId="11" fillId="0" borderId="0" xfId="0" applyNumberFormat="1" applyFont="1" applyAlignment="1">
      <alignment vertical="center"/>
    </xf>
    <xf numFmtId="4" fontId="0" fillId="0" borderId="0" xfId="0" applyNumberFormat="1" applyAlignment="1">
      <alignment vertical="center"/>
    </xf>
    <xf numFmtId="0" fontId="13" fillId="0" borderId="0" xfId="0" pivotButton="1" applyFont="1" applyAlignment="1">
      <alignment vertical="center"/>
    </xf>
    <xf numFmtId="4" fontId="13" fillId="0" borderId="0" xfId="0" applyNumberFormat="1" applyFont="1" applyAlignment="1">
      <alignment vertical="center"/>
    </xf>
    <xf numFmtId="0" fontId="13" fillId="4" borderId="0" xfId="0" applyFont="1" applyFill="1" applyAlignment="1">
      <alignment vertical="center"/>
    </xf>
    <xf numFmtId="4" fontId="13" fillId="4" borderId="0" xfId="0" applyNumberFormat="1" applyFont="1" applyFill="1" applyAlignment="1">
      <alignment vertical="center"/>
    </xf>
    <xf numFmtId="4" fontId="13" fillId="4" borderId="0" xfId="7" applyNumberFormat="1" applyFont="1" applyFill="1" applyAlignment="1">
      <alignment vertical="center"/>
    </xf>
    <xf numFmtId="0" fontId="13" fillId="4" borderId="0" xfId="7" applyFont="1" applyFill="1" applyAlignment="1">
      <alignment vertical="center"/>
    </xf>
    <xf numFmtId="0" fontId="16" fillId="0" borderId="0" xfId="0" pivotButton="1" applyFont="1" applyAlignment="1">
      <alignment vertical="center"/>
    </xf>
    <xf numFmtId="0" fontId="16" fillId="0" borderId="0" xfId="0" applyFont="1" applyAlignment="1">
      <alignment horizontal="right" vertical="center"/>
    </xf>
    <xf numFmtId="0" fontId="17" fillId="0" borderId="0" xfId="0" applyFont="1" applyAlignment="1">
      <alignment vertical="center"/>
    </xf>
    <xf numFmtId="164" fontId="11" fillId="0" borderId="0" xfId="0" applyNumberFormat="1" applyFont="1" applyAlignment="1">
      <alignment horizontal="right" vertical="center"/>
    </xf>
    <xf numFmtId="164" fontId="11" fillId="0" borderId="0" xfId="0" applyNumberFormat="1" applyFont="1" applyAlignment="1">
      <alignment horizontal="left" vertical="center"/>
    </xf>
    <xf numFmtId="0" fontId="16" fillId="0" borderId="0" xfId="0" pivotButton="1" applyFont="1" applyAlignment="1">
      <alignment horizontal="right" vertical="center"/>
    </xf>
    <xf numFmtId="165" fontId="11" fillId="0" borderId="0" xfId="0" applyNumberFormat="1" applyFont="1" applyAlignment="1">
      <alignment horizontal="left" vertical="center"/>
    </xf>
    <xf numFmtId="0" fontId="15" fillId="0" borderId="0" xfId="11" applyFont="1" applyAlignment="1">
      <alignment horizontal="left" vertical="center"/>
    </xf>
  </cellXfs>
  <cellStyles count="12">
    <cellStyle name="20% - Accent5" xfId="7" builtinId="46"/>
    <cellStyle name="Heading 1" xfId="2" builtinId="16" customBuiltin="1"/>
    <cellStyle name="Heading 1 2" xfId="8" xr:uid="{CB8BC457-4AA2-43E2-9083-AB14E523EC86}"/>
    <cellStyle name="Heading 2" xfId="3" builtinId="17" customBuiltin="1"/>
    <cellStyle name="Heading 2 2" xfId="9" xr:uid="{2A5D5472-E6F1-4922-969A-490DD5883352}"/>
    <cellStyle name="Heading 3" xfId="4" builtinId="18" customBuiltin="1"/>
    <cellStyle name="Heading 4" xfId="5" builtinId="19" customBuiltin="1"/>
    <cellStyle name="Hyperlink" xfId="11" builtinId="8"/>
    <cellStyle name="Normal" xfId="0" builtinId="0" customBuiltin="1"/>
    <cellStyle name="Normal 2" xfId="6" xr:uid="{34806C12-7702-4F03-AEFD-EAC4783366D2}"/>
    <cellStyle name="Normal 2 2" xfId="10" xr:uid="{071A008B-63CC-4084-8B00-C66A906EA8DF}"/>
    <cellStyle name="Title" xfId="1" builtinId="15" customBuiltin="1"/>
  </cellStyles>
  <dxfs count="331">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color auto="1"/>
      </font>
      <numFmt numFmtId="30" formatCode="@"/>
    </dxf>
    <dxf>
      <font>
        <color auto="1"/>
      </font>
      <numFmt numFmtId="30" formatCode="@"/>
    </dxf>
    <dxf>
      <font>
        <color auto="1"/>
      </font>
      <numFmt numFmtId="166" formatCode="m/d/yyyy"/>
    </dxf>
    <dxf>
      <font>
        <color auto="1"/>
      </font>
      <numFmt numFmtId="166" formatCode="m/d/yyyy"/>
    </dxf>
    <dxf>
      <font>
        <color auto="1"/>
      </font>
      <numFmt numFmtId="1" formatCode="0"/>
    </dxf>
    <dxf>
      <font>
        <color auto="1"/>
      </font>
      <numFmt numFmtId="30" formatCode="@"/>
    </dxf>
    <dxf>
      <font>
        <color auto="1"/>
      </font>
      <numFmt numFmtId="30" formatCode="@"/>
    </dxf>
    <dxf>
      <font>
        <color auto="1"/>
      </font>
      <numFmt numFmtId="30" formatCode="@"/>
    </dxf>
    <dxf>
      <font>
        <color auto="1"/>
      </font>
      <numFmt numFmtId="30" formatCode="@"/>
    </dxf>
    <dxf>
      <font>
        <color auto="1"/>
      </font>
      <numFmt numFmtId="30" formatCode="@"/>
    </dxf>
    <dxf>
      <font>
        <color auto="1"/>
      </font>
      <numFmt numFmtId="4" formatCode="#,##0.00"/>
    </dxf>
    <dxf>
      <font>
        <color auto="1"/>
      </font>
      <numFmt numFmtId="4" formatCode="#,##0.00"/>
    </dxf>
    <dxf>
      <font>
        <color auto="1"/>
      </font>
      <numFmt numFmtId="4" formatCode="#,##0.00"/>
    </dxf>
    <dxf>
      <font>
        <color auto="1"/>
      </font>
      <numFmt numFmtId="30" formatCode="@"/>
    </dxf>
    <dxf>
      <font>
        <color auto="1"/>
      </font>
      <numFmt numFmtId="1" formatCode="0"/>
    </dxf>
    <dxf>
      <font>
        <color auto="1"/>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ill>
        <patternFill patternType="solid">
          <bgColor theme="5"/>
        </patternFill>
      </fill>
    </dxf>
    <dxf>
      <fill>
        <patternFill patternType="solid">
          <bgColor theme="5"/>
        </patternFill>
      </fill>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4" formatCode="#,##0.00"/>
    </dxf>
    <dxf>
      <numFmt numFmtId="4" formatCode="#,##0.00"/>
    </dxf>
    <dxf>
      <numFmt numFmtId="4" formatCode="#,##0.00"/>
    </dxf>
    <dxf>
      <numFmt numFmtId="4" formatCode="#,##0.00"/>
    </dxf>
    <dxf>
      <numFmt numFmtId="4" formatCode="#,##0.00"/>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bgColor theme="0"/>
        </patternFill>
      </fill>
    </dxf>
    <dxf>
      <fill>
        <patternFill>
          <bgColor theme="2"/>
        </patternFill>
      </fill>
    </dxf>
    <dxf>
      <font>
        <b/>
        <i val="0"/>
      </font>
      <border>
        <top style="thin">
          <color rgb="FF212121"/>
        </top>
        <bottom style="thick">
          <color rgb="FF212121"/>
        </bottom>
      </border>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ont>
        <b val="0"/>
        <i val="0"/>
        <color theme="1"/>
      </font>
      <fill>
        <patternFill>
          <bgColor theme="5"/>
        </patternFill>
      </fill>
      <border>
        <top style="thin">
          <color theme="4"/>
        </top>
        <bottom style="thin">
          <color theme="4"/>
        </bottom>
      </border>
    </dxf>
    <dxf>
      <font>
        <color theme="1"/>
      </font>
      <fill>
        <patternFill>
          <bgColor theme="5"/>
        </patternFill>
      </fill>
      <border>
        <top style="thin">
          <color theme="4"/>
        </top>
        <bottom style="thin">
          <color theme="4"/>
        </bottom>
      </border>
    </dxf>
    <dxf>
      <fill>
        <patternFill>
          <bgColor rgb="FFF6F7F8"/>
        </patternFill>
      </fill>
    </dxf>
    <dxf>
      <font>
        <b/>
        <i val="0"/>
      </font>
      <border>
        <top style="thin">
          <color theme="1"/>
        </top>
        <bottom style="thick">
          <color theme="1"/>
        </bottom>
      </border>
    </dxf>
    <dxf>
      <font>
        <b val="0"/>
        <i val="0"/>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3" defaultTableStyle="Business Central Reports Table Style (Template)" defaultPivotStyle="Business Central Pivot Table Style (Template)">
    <tableStyle name="Business Central Pivot Table Style (Template)" table="0" count="6" xr9:uid="{C682026B-BEF3-4549-A95E-B4A28C8689C8}">
      <tableStyleElement type="wholeTable" dxfId="330"/>
      <tableStyleElement type="headerRow" dxfId="329"/>
      <tableStyleElement type="totalRow" dxfId="328"/>
      <tableStyleElement type="secondRowStripe" dxfId="327"/>
      <tableStyleElement type="pageFieldLabels" dxfId="326"/>
      <tableStyleElement type="pageFieldValues" dxfId="325"/>
    </tableStyle>
    <tableStyle name="Business Central Reports Slicer Style (Template)" pivot="0" table="0" count="10" xr9:uid="{F9E88400-C1C4-4FBE-8AD1-45AAC020EAC7}">
      <tableStyleElement type="wholeTable" dxfId="324"/>
      <tableStyleElement type="headerRow" dxfId="323"/>
    </tableStyle>
    <tableStyle name="Business Central Reports Table Style (Template)" pivot="0" count="5" xr9:uid="{4AE7A796-0EDA-4C30-B6FF-71D8744BFDCB}">
      <tableStyleElement type="wholeTable" dxfId="322"/>
      <tableStyleElement type="headerRow" dxfId="321"/>
      <tableStyleElement type="totalRow" dxfId="320"/>
      <tableStyleElement type="firstRowStripe" dxfId="319"/>
      <tableStyleElement type="secondRowStripe" dxfId="318"/>
    </tableStyle>
  </tableStyles>
  <extLst>
    <ext xmlns:x14="http://schemas.microsoft.com/office/spreadsheetml/2009/9/main" uri="{46F421CA-312F-682f-3DD2-61675219B42D}">
      <x14:dxfs count="8">
        <dxf>
          <border diagonalUp="0" diagonalDown="0">
            <left style="thin">
              <color rgb="FF212121"/>
            </left>
            <right style="thin">
              <color rgb="FF212121"/>
            </right>
            <top style="thin">
              <color rgb="FF212121"/>
            </top>
            <bottom style="thin">
              <color rgb="FF212121"/>
            </bottom>
            <vertical/>
            <horizontal/>
          </border>
        </dxf>
        <dxf>
          <border>
            <left style="thin">
              <color rgb="FF212121"/>
            </left>
            <right style="thin">
              <color rgb="FF212121"/>
            </right>
            <top style="thin">
              <color rgb="FF212121"/>
            </top>
            <bottom style="thin">
              <color rgb="FF212121"/>
            </bottom>
          </border>
        </dxf>
        <dxf>
          <border>
            <left style="thin">
              <color rgb="FF212121"/>
            </left>
            <right style="thin">
              <color rgb="FF212121"/>
            </right>
            <top style="thin">
              <color rgb="FF212121"/>
            </top>
            <bottom style="thin">
              <color rgb="FF212121"/>
            </bottom>
          </border>
        </dxf>
        <dxf>
          <border diagonalUp="0" diagonalDown="0">
            <left style="thin">
              <color rgb="FF212121"/>
            </left>
            <right style="thin">
              <color rgb="FF212121"/>
            </right>
            <top style="thin">
              <color rgb="FF212121"/>
            </top>
            <bottom style="thin">
              <color rgb="FF212121"/>
            </bottom>
            <vertical/>
            <horizontal/>
          </border>
        </dxf>
        <dxf>
          <font>
            <b val="0"/>
            <i/>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name val="Segoe UI"/>
            <family val="2"/>
            <scheme val="minor"/>
          </font>
          <fill>
            <patternFill>
              <bgColor rgb="FFF5F7F8"/>
            </patternFill>
          </fill>
        </dxf>
        <dxf>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tyles" Target="styles.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5272</xdr:colOff>
      <xdr:row>0</xdr:row>
      <xdr:rowOff>911</xdr:rowOff>
    </xdr:from>
    <xdr:to>
      <xdr:col>0</xdr:col>
      <xdr:colOff>1825812</xdr:colOff>
      <xdr:row>10</xdr:row>
      <xdr:rowOff>135681</xdr:rowOff>
    </xdr:to>
    <mc:AlternateContent xmlns:mc="http://schemas.openxmlformats.org/markup-compatibility/2006" xmlns:a14="http://schemas.microsoft.com/office/drawing/2010/main">
      <mc:Choice Requires="a14">
        <xdr:graphicFrame macro="">
          <xdr:nvGraphicFramePr>
            <xdr:cNvPr id="2" name="$FixedAssetClassCode$">
              <a:extLst>
                <a:ext uri="{FF2B5EF4-FFF2-40B4-BE49-F238E27FC236}">
                  <a16:creationId xmlns:a16="http://schemas.microsoft.com/office/drawing/2014/main" id="{94CCAC24-E8BE-4590-1275-3EA869578411}"/>
                </a:ext>
              </a:extLst>
            </xdr:cNvPr>
            <xdr:cNvGraphicFramePr/>
          </xdr:nvGraphicFramePr>
          <xdr:xfrm>
            <a:off x="0" y="0"/>
            <a:ext cx="0" cy="0"/>
          </xdr:xfrm>
          <a:graphic>
            <a:graphicData uri="http://schemas.microsoft.com/office/drawing/2010/slicer">
              <sle:slicer xmlns:sle="http://schemas.microsoft.com/office/drawing/2010/slicer" name="$FixedAssetClassCode$"/>
            </a:graphicData>
          </a:graphic>
        </xdr:graphicFrame>
      </mc:Choice>
      <mc:Fallback xmlns="">
        <xdr:sp macro="" textlink="">
          <xdr:nvSpPr>
            <xdr:cNvPr id="0" name=""/>
            <xdr:cNvSpPr>
              <a:spLocks noTextEdit="1"/>
            </xdr:cNvSpPr>
          </xdr:nvSpPr>
          <xdr:spPr>
            <a:xfrm>
              <a:off x="5907" y="91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1877674</xdr:colOff>
      <xdr:row>0</xdr:row>
      <xdr:rowOff>911</xdr:rowOff>
    </xdr:from>
    <xdr:to>
      <xdr:col>0</xdr:col>
      <xdr:colOff>3696309</xdr:colOff>
      <xdr:row>10</xdr:row>
      <xdr:rowOff>135681</xdr:rowOff>
    </xdr:to>
    <mc:AlternateContent xmlns:mc="http://schemas.openxmlformats.org/markup-compatibility/2006" xmlns:a14="http://schemas.microsoft.com/office/drawing/2010/main">
      <mc:Choice Requires="a14">
        <xdr:graphicFrame macro="">
          <xdr:nvGraphicFramePr>
            <xdr:cNvPr id="4" name="$FixedAssetSubclassCode$">
              <a:extLst>
                <a:ext uri="{FF2B5EF4-FFF2-40B4-BE49-F238E27FC236}">
                  <a16:creationId xmlns:a16="http://schemas.microsoft.com/office/drawing/2014/main" id="{5F2F5577-DF51-91E9-28A3-2D6E7A18BEF2}"/>
                </a:ext>
              </a:extLst>
            </xdr:cNvPr>
            <xdr:cNvGraphicFramePr/>
          </xdr:nvGraphicFramePr>
          <xdr:xfrm>
            <a:off x="0" y="0"/>
            <a:ext cx="0" cy="0"/>
          </xdr:xfrm>
          <a:graphic>
            <a:graphicData uri="http://schemas.microsoft.com/office/drawing/2010/slicer">
              <sle:slicer xmlns:sle="http://schemas.microsoft.com/office/drawing/2010/slicer" name="$FixedAssetSubclassCode$"/>
            </a:graphicData>
          </a:graphic>
        </xdr:graphicFrame>
      </mc:Choice>
      <mc:Fallback xmlns="">
        <xdr:sp macro="" textlink="">
          <xdr:nvSpPr>
            <xdr:cNvPr id="0" name=""/>
            <xdr:cNvSpPr>
              <a:spLocks noTextEdit="1"/>
            </xdr:cNvSpPr>
          </xdr:nvSpPr>
          <xdr:spPr>
            <a:xfrm>
              <a:off x="1878309" y="91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1877674</xdr:colOff>
      <xdr:row>10</xdr:row>
      <xdr:rowOff>182393</xdr:rowOff>
    </xdr:from>
    <xdr:to>
      <xdr:col>0</xdr:col>
      <xdr:colOff>3696309</xdr:colOff>
      <xdr:row>21</xdr:row>
      <xdr:rowOff>68243</xdr:rowOff>
    </xdr:to>
    <mc:AlternateContent xmlns:mc="http://schemas.openxmlformats.org/markup-compatibility/2006" xmlns:a14="http://schemas.microsoft.com/office/drawing/2010/main">
      <mc:Choice Requires="a14">
        <xdr:graphicFrame macro="">
          <xdr:nvGraphicFramePr>
            <xdr:cNvPr id="5" name="BudgetedAsset">
              <a:extLst>
                <a:ext uri="{FF2B5EF4-FFF2-40B4-BE49-F238E27FC236}">
                  <a16:creationId xmlns:a16="http://schemas.microsoft.com/office/drawing/2014/main" id="{23AB0409-AAB8-DB47-AAC5-DFF328EBAF8F}"/>
                </a:ext>
              </a:extLst>
            </xdr:cNvPr>
            <xdr:cNvGraphicFramePr/>
          </xdr:nvGraphicFramePr>
          <xdr:xfrm>
            <a:off x="0" y="0"/>
            <a:ext cx="0" cy="0"/>
          </xdr:xfrm>
          <a:graphic>
            <a:graphicData uri="http://schemas.microsoft.com/office/drawing/2010/slicer">
              <sle:slicer xmlns:sle="http://schemas.microsoft.com/office/drawing/2010/slicer" name="BudgetedAsset"/>
            </a:graphicData>
          </a:graphic>
        </xdr:graphicFrame>
      </mc:Choice>
      <mc:Fallback xmlns="">
        <xdr:sp macro="" textlink="">
          <xdr:nvSpPr>
            <xdr:cNvPr id="0" name=""/>
            <xdr:cNvSpPr>
              <a:spLocks noTextEdit="1"/>
            </xdr:cNvSpPr>
          </xdr:nvSpPr>
          <xdr:spPr>
            <a:xfrm>
              <a:off x="1878309" y="265825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5272</xdr:colOff>
      <xdr:row>10</xdr:row>
      <xdr:rowOff>182393</xdr:rowOff>
    </xdr:from>
    <xdr:to>
      <xdr:col>0</xdr:col>
      <xdr:colOff>1825812</xdr:colOff>
      <xdr:row>21</xdr:row>
      <xdr:rowOff>68243</xdr:rowOff>
    </xdr:to>
    <mc:AlternateContent xmlns:mc="http://schemas.openxmlformats.org/markup-compatibility/2006" xmlns:a14="http://schemas.microsoft.com/office/drawing/2010/main">
      <mc:Choice Requires="a14">
        <xdr:graphicFrame macro="">
          <xdr:nvGraphicFramePr>
            <xdr:cNvPr id="3" name="FixedAssetLocationCode">
              <a:extLst>
                <a:ext uri="{FF2B5EF4-FFF2-40B4-BE49-F238E27FC236}">
                  <a16:creationId xmlns:a16="http://schemas.microsoft.com/office/drawing/2014/main" id="{D35554BB-4921-0B13-EAB1-EB17A3704396}"/>
                </a:ext>
              </a:extLst>
            </xdr:cNvPr>
            <xdr:cNvGraphicFramePr/>
          </xdr:nvGraphicFramePr>
          <xdr:xfrm>
            <a:off x="0" y="0"/>
            <a:ext cx="0" cy="0"/>
          </xdr:xfrm>
          <a:graphic>
            <a:graphicData uri="http://schemas.microsoft.com/office/drawing/2010/slicer">
              <sle:slicer xmlns:sle="http://schemas.microsoft.com/office/drawing/2010/slicer" name="FixedAssetLocationCode"/>
            </a:graphicData>
          </a:graphic>
        </xdr:graphicFrame>
      </mc:Choice>
      <mc:Fallback xmlns="">
        <xdr:sp macro="" textlink="">
          <xdr:nvSpPr>
            <xdr:cNvPr id="0" name=""/>
            <xdr:cNvSpPr>
              <a:spLocks noTextEdit="1"/>
            </xdr:cNvSpPr>
          </xdr:nvSpPr>
          <xdr:spPr>
            <a:xfrm>
              <a:off x="5907" y="265825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5272</xdr:colOff>
      <xdr:row>21</xdr:row>
      <xdr:rowOff>122732</xdr:rowOff>
    </xdr:from>
    <xdr:to>
      <xdr:col>0</xdr:col>
      <xdr:colOff>1825812</xdr:colOff>
      <xdr:row>32</xdr:row>
      <xdr:rowOff>8582</xdr:rowOff>
    </xdr:to>
    <mc:AlternateContent xmlns:mc="http://schemas.openxmlformats.org/markup-compatibility/2006" xmlns:a14="http://schemas.microsoft.com/office/drawing/2010/main">
      <mc:Choice Requires="a14">
        <xdr:graphicFrame macro="">
          <xdr:nvGraphicFramePr>
            <xdr:cNvPr id="6" name="GlobalDimension1Code 1">
              <a:extLst>
                <a:ext uri="{FF2B5EF4-FFF2-40B4-BE49-F238E27FC236}">
                  <a16:creationId xmlns:a16="http://schemas.microsoft.com/office/drawing/2014/main" id="{D0F294B3-B4D0-252B-A9EE-B406AB1EF288}"/>
                </a:ext>
              </a:extLst>
            </xdr:cNvPr>
            <xdr:cNvGraphicFramePr/>
          </xdr:nvGraphicFramePr>
          <xdr:xfrm>
            <a:off x="0" y="0"/>
            <a:ext cx="0" cy="0"/>
          </xdr:xfrm>
          <a:graphic>
            <a:graphicData uri="http://schemas.microsoft.com/office/drawing/2010/slicer">
              <sle:slicer xmlns:sle="http://schemas.microsoft.com/office/drawing/2010/slicer" name="GlobalDimension1Code 1"/>
            </a:graphicData>
          </a:graphic>
        </xdr:graphicFrame>
      </mc:Choice>
      <mc:Fallback xmlns="">
        <xdr:sp macro="" textlink="">
          <xdr:nvSpPr>
            <xdr:cNvPr id="0" name=""/>
            <xdr:cNvSpPr>
              <a:spLocks noTextEdit="1"/>
            </xdr:cNvSpPr>
          </xdr:nvSpPr>
          <xdr:spPr>
            <a:xfrm>
              <a:off x="5907" y="5314492"/>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1877674</xdr:colOff>
      <xdr:row>21</xdr:row>
      <xdr:rowOff>122732</xdr:rowOff>
    </xdr:from>
    <xdr:to>
      <xdr:col>0</xdr:col>
      <xdr:colOff>3696309</xdr:colOff>
      <xdr:row>32</xdr:row>
      <xdr:rowOff>8582</xdr:rowOff>
    </xdr:to>
    <mc:AlternateContent xmlns:mc="http://schemas.openxmlformats.org/markup-compatibility/2006" xmlns:a14="http://schemas.microsoft.com/office/drawing/2010/main">
      <mc:Choice Requires="a14">
        <xdr:graphicFrame macro="">
          <xdr:nvGraphicFramePr>
            <xdr:cNvPr id="8" name="GlobalDimension2Code 1">
              <a:extLst>
                <a:ext uri="{FF2B5EF4-FFF2-40B4-BE49-F238E27FC236}">
                  <a16:creationId xmlns:a16="http://schemas.microsoft.com/office/drawing/2014/main" id="{2F5E9B49-E2E8-7D8D-0927-793908949233}"/>
                </a:ext>
              </a:extLst>
            </xdr:cNvPr>
            <xdr:cNvGraphicFramePr/>
          </xdr:nvGraphicFramePr>
          <xdr:xfrm>
            <a:off x="0" y="0"/>
            <a:ext cx="0" cy="0"/>
          </xdr:xfrm>
          <a:graphic>
            <a:graphicData uri="http://schemas.microsoft.com/office/drawing/2010/slicer">
              <sle:slicer xmlns:sle="http://schemas.microsoft.com/office/drawing/2010/slicer" name="GlobalDimension2Code 1"/>
            </a:graphicData>
          </a:graphic>
        </xdr:graphicFrame>
      </mc:Choice>
      <mc:Fallback xmlns="">
        <xdr:sp macro="" textlink="">
          <xdr:nvSpPr>
            <xdr:cNvPr id="0" name=""/>
            <xdr:cNvSpPr>
              <a:spLocks noTextEdit="1"/>
            </xdr:cNvSpPr>
          </xdr:nvSpPr>
          <xdr:spPr>
            <a:xfrm>
              <a:off x="1878309" y="5314492"/>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8890</xdr:colOff>
      <xdr:row>0</xdr:row>
      <xdr:rowOff>0</xdr:rowOff>
    </xdr:from>
    <xdr:to>
      <xdr:col>0</xdr:col>
      <xdr:colOff>1827525</xdr:colOff>
      <xdr:row>10</xdr:row>
      <xdr:rowOff>134770</xdr:rowOff>
    </xdr:to>
    <mc:AlternateContent xmlns:mc="http://schemas.openxmlformats.org/markup-compatibility/2006" xmlns:a14="http://schemas.microsoft.com/office/drawing/2010/main">
      <mc:Choice Requires="a14">
        <xdr:graphicFrame macro="">
          <xdr:nvGraphicFramePr>
            <xdr:cNvPr id="2" name="$FixedAssetClassCode$ 1">
              <a:extLst>
                <a:ext uri="{FF2B5EF4-FFF2-40B4-BE49-F238E27FC236}">
                  <a16:creationId xmlns:a16="http://schemas.microsoft.com/office/drawing/2014/main" id="{EEC6D4A0-6565-F700-6DE8-978869EEF589}"/>
                </a:ext>
              </a:extLst>
            </xdr:cNvPr>
            <xdr:cNvGraphicFramePr/>
          </xdr:nvGraphicFramePr>
          <xdr:xfrm>
            <a:off x="0" y="0"/>
            <a:ext cx="0" cy="0"/>
          </xdr:xfrm>
          <a:graphic>
            <a:graphicData uri="http://schemas.microsoft.com/office/drawing/2010/slicer">
              <sle:slicer xmlns:sle="http://schemas.microsoft.com/office/drawing/2010/slicer" name="$FixedAssetClassCode$ 1"/>
            </a:graphicData>
          </a:graphic>
        </xdr:graphicFrame>
      </mc:Choice>
      <mc:Fallback xmlns="">
        <xdr:sp macro="" textlink="">
          <xdr:nvSpPr>
            <xdr:cNvPr id="0" name=""/>
            <xdr:cNvSpPr>
              <a:spLocks noTextEdit="1"/>
            </xdr:cNvSpPr>
          </xdr:nvSpPr>
          <xdr:spPr>
            <a:xfrm>
              <a:off x="9525"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1871702</xdr:colOff>
      <xdr:row>0</xdr:row>
      <xdr:rowOff>0</xdr:rowOff>
    </xdr:from>
    <xdr:to>
      <xdr:col>0</xdr:col>
      <xdr:colOff>3689067</xdr:colOff>
      <xdr:row>10</xdr:row>
      <xdr:rowOff>134770</xdr:rowOff>
    </xdr:to>
    <mc:AlternateContent xmlns:mc="http://schemas.openxmlformats.org/markup-compatibility/2006" xmlns:a14="http://schemas.microsoft.com/office/drawing/2010/main">
      <mc:Choice Requires="a14">
        <xdr:graphicFrame macro="">
          <xdr:nvGraphicFramePr>
            <xdr:cNvPr id="3" name="$FixedAssetSubclassCode$ 1">
              <a:extLst>
                <a:ext uri="{FF2B5EF4-FFF2-40B4-BE49-F238E27FC236}">
                  <a16:creationId xmlns:a16="http://schemas.microsoft.com/office/drawing/2014/main" id="{C707CC6C-AD11-C373-86DC-92B84613DE53}"/>
                </a:ext>
              </a:extLst>
            </xdr:cNvPr>
            <xdr:cNvGraphicFramePr/>
          </xdr:nvGraphicFramePr>
          <xdr:xfrm>
            <a:off x="0" y="0"/>
            <a:ext cx="0" cy="0"/>
          </xdr:xfrm>
          <a:graphic>
            <a:graphicData uri="http://schemas.microsoft.com/office/drawing/2010/slicer">
              <sle:slicer xmlns:sle="http://schemas.microsoft.com/office/drawing/2010/slicer" name="$FixedAssetSubclassCode$ 1"/>
            </a:graphicData>
          </a:graphic>
        </xdr:graphicFrame>
      </mc:Choice>
      <mc:Fallback xmlns="">
        <xdr:sp macro="" textlink="">
          <xdr:nvSpPr>
            <xdr:cNvPr id="0" name=""/>
            <xdr:cNvSpPr>
              <a:spLocks noTextEdit="1"/>
            </xdr:cNvSpPr>
          </xdr:nvSpPr>
          <xdr:spPr>
            <a:xfrm>
              <a:off x="1870432"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8890</xdr:colOff>
      <xdr:row>10</xdr:row>
      <xdr:rowOff>172720</xdr:rowOff>
    </xdr:from>
    <xdr:to>
      <xdr:col>0</xdr:col>
      <xdr:colOff>1827525</xdr:colOff>
      <xdr:row>21</xdr:row>
      <xdr:rowOff>58570</xdr:rowOff>
    </xdr:to>
    <mc:AlternateContent xmlns:mc="http://schemas.openxmlformats.org/markup-compatibility/2006" xmlns:a14="http://schemas.microsoft.com/office/drawing/2010/main">
      <mc:Choice Requires="a14">
        <xdr:graphicFrame macro="">
          <xdr:nvGraphicFramePr>
            <xdr:cNvPr id="4" name="FixedAssetLocationCode 1">
              <a:extLst>
                <a:ext uri="{FF2B5EF4-FFF2-40B4-BE49-F238E27FC236}">
                  <a16:creationId xmlns:a16="http://schemas.microsoft.com/office/drawing/2014/main" id="{722D6C79-64FE-39DE-3D43-D5052759267A}"/>
                </a:ext>
              </a:extLst>
            </xdr:cNvPr>
            <xdr:cNvGraphicFramePr/>
          </xdr:nvGraphicFramePr>
          <xdr:xfrm>
            <a:off x="0" y="0"/>
            <a:ext cx="0" cy="0"/>
          </xdr:xfrm>
          <a:graphic>
            <a:graphicData uri="http://schemas.microsoft.com/office/drawing/2010/slicer">
              <sle:slicer xmlns:sle="http://schemas.microsoft.com/office/drawing/2010/slicer" name="FixedAssetLocationCode 1"/>
            </a:graphicData>
          </a:graphic>
        </xdr:graphicFrame>
      </mc:Choice>
      <mc:Fallback xmlns="">
        <xdr:sp macro="" textlink="">
          <xdr:nvSpPr>
            <xdr:cNvPr id="0" name=""/>
            <xdr:cNvSpPr>
              <a:spLocks noTextEdit="1"/>
            </xdr:cNvSpPr>
          </xdr:nvSpPr>
          <xdr:spPr>
            <a:xfrm>
              <a:off x="9525" y="264795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1871702</xdr:colOff>
      <xdr:row>10</xdr:row>
      <xdr:rowOff>172720</xdr:rowOff>
    </xdr:from>
    <xdr:to>
      <xdr:col>0</xdr:col>
      <xdr:colOff>3689067</xdr:colOff>
      <xdr:row>21</xdr:row>
      <xdr:rowOff>58570</xdr:rowOff>
    </xdr:to>
    <mc:AlternateContent xmlns:mc="http://schemas.openxmlformats.org/markup-compatibility/2006" xmlns:a14="http://schemas.microsoft.com/office/drawing/2010/main">
      <mc:Choice Requires="a14">
        <xdr:graphicFrame macro="">
          <xdr:nvGraphicFramePr>
            <xdr:cNvPr id="5" name="BudgetedAsset 1">
              <a:extLst>
                <a:ext uri="{FF2B5EF4-FFF2-40B4-BE49-F238E27FC236}">
                  <a16:creationId xmlns:a16="http://schemas.microsoft.com/office/drawing/2014/main" id="{27FAFF85-3439-D072-7BC3-1E83605F4D32}"/>
                </a:ext>
              </a:extLst>
            </xdr:cNvPr>
            <xdr:cNvGraphicFramePr/>
          </xdr:nvGraphicFramePr>
          <xdr:xfrm>
            <a:off x="0" y="0"/>
            <a:ext cx="0" cy="0"/>
          </xdr:xfrm>
          <a:graphic>
            <a:graphicData uri="http://schemas.microsoft.com/office/drawing/2010/slicer">
              <sle:slicer xmlns:sle="http://schemas.microsoft.com/office/drawing/2010/slicer" name="BudgetedAsset 1"/>
            </a:graphicData>
          </a:graphic>
        </xdr:graphicFrame>
      </mc:Choice>
      <mc:Fallback xmlns="">
        <xdr:sp macro="" textlink="">
          <xdr:nvSpPr>
            <xdr:cNvPr id="0" name=""/>
            <xdr:cNvSpPr>
              <a:spLocks noTextEdit="1"/>
            </xdr:cNvSpPr>
          </xdr:nvSpPr>
          <xdr:spPr>
            <a:xfrm>
              <a:off x="1870432" y="264795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8890</xdr:colOff>
      <xdr:row>21</xdr:row>
      <xdr:rowOff>96520</xdr:rowOff>
    </xdr:from>
    <xdr:to>
      <xdr:col>0</xdr:col>
      <xdr:colOff>1827525</xdr:colOff>
      <xdr:row>31</xdr:row>
      <xdr:rowOff>228750</xdr:rowOff>
    </xdr:to>
    <mc:AlternateContent xmlns:mc="http://schemas.openxmlformats.org/markup-compatibility/2006" xmlns:a14="http://schemas.microsoft.com/office/drawing/2010/main">
      <mc:Choice Requires="a14">
        <xdr:graphicFrame macro="">
          <xdr:nvGraphicFramePr>
            <xdr:cNvPr id="7" name="GlobalDimension1Code">
              <a:extLst>
                <a:ext uri="{FF2B5EF4-FFF2-40B4-BE49-F238E27FC236}">
                  <a16:creationId xmlns:a16="http://schemas.microsoft.com/office/drawing/2014/main" id="{095488ED-3FBC-0DEA-6A1E-7C857825D824}"/>
                </a:ext>
              </a:extLst>
            </xdr:cNvPr>
            <xdr:cNvGraphicFramePr/>
          </xdr:nvGraphicFramePr>
          <xdr:xfrm>
            <a:off x="0" y="0"/>
            <a:ext cx="0" cy="0"/>
          </xdr:xfrm>
          <a:graphic>
            <a:graphicData uri="http://schemas.microsoft.com/office/drawing/2010/slicer">
              <sle:slicer xmlns:sle="http://schemas.microsoft.com/office/drawing/2010/slicer" name="GlobalDimension1Code"/>
            </a:graphicData>
          </a:graphic>
        </xdr:graphicFrame>
      </mc:Choice>
      <mc:Fallback xmlns="">
        <xdr:sp macro="" textlink="">
          <xdr:nvSpPr>
            <xdr:cNvPr id="0" name=""/>
            <xdr:cNvSpPr>
              <a:spLocks noTextEdit="1"/>
            </xdr:cNvSpPr>
          </xdr:nvSpPr>
          <xdr:spPr>
            <a:xfrm>
              <a:off x="9525" y="52959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0</xdr:col>
      <xdr:colOff>1871702</xdr:colOff>
      <xdr:row>21</xdr:row>
      <xdr:rowOff>96520</xdr:rowOff>
    </xdr:from>
    <xdr:to>
      <xdr:col>0</xdr:col>
      <xdr:colOff>3689067</xdr:colOff>
      <xdr:row>31</xdr:row>
      <xdr:rowOff>228750</xdr:rowOff>
    </xdr:to>
    <mc:AlternateContent xmlns:mc="http://schemas.openxmlformats.org/markup-compatibility/2006" xmlns:a14="http://schemas.microsoft.com/office/drawing/2010/main">
      <mc:Choice Requires="a14">
        <xdr:graphicFrame macro="">
          <xdr:nvGraphicFramePr>
            <xdr:cNvPr id="8" name="GlobalDimension2Code">
              <a:extLst>
                <a:ext uri="{FF2B5EF4-FFF2-40B4-BE49-F238E27FC236}">
                  <a16:creationId xmlns:a16="http://schemas.microsoft.com/office/drawing/2014/main" id="{95296752-C899-2648-C52F-14499B720BEE}"/>
                </a:ext>
              </a:extLst>
            </xdr:cNvPr>
            <xdr:cNvGraphicFramePr/>
          </xdr:nvGraphicFramePr>
          <xdr:xfrm>
            <a:off x="0" y="0"/>
            <a:ext cx="0" cy="0"/>
          </xdr:xfrm>
          <a:graphic>
            <a:graphicData uri="http://schemas.microsoft.com/office/drawing/2010/slicer">
              <sle:slicer xmlns:sle="http://schemas.microsoft.com/office/drawing/2010/slicer" name="GlobalDimension2Code"/>
            </a:graphicData>
          </a:graphic>
        </xdr:graphicFrame>
      </mc:Choice>
      <mc:Fallback xmlns="">
        <xdr:sp macro="" textlink="">
          <xdr:nvSpPr>
            <xdr:cNvPr id="0" name=""/>
            <xdr:cNvSpPr>
              <a:spLocks noTextEdit="1"/>
            </xdr:cNvSpPr>
          </xdr:nvSpPr>
          <xdr:spPr>
            <a:xfrm>
              <a:off x="1870432" y="52959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Joshua Martínez Pineda" refreshedDate="45510.39509953704" backgroundQuery="1" missingItemsLimit="0" createdVersion="8" refreshedVersion="8" minRefreshableVersion="3" recordCount="1" xr:uid="{E3C52D82-A2F0-4EFB-86E1-385068141281}">
  <cacheSource type="external" connectionId="4"/>
  <cacheFields count="19">
    <cacheField name="AssetNumber" numFmtId="0">
      <sharedItems containsString="0" containsBlank="1" count="1">
        <m/>
      </sharedItems>
    </cacheField>
    <cacheField name="AssetDescription" numFmtId="0">
      <sharedItems containsString="0" containsBlank="1" count="1">
        <m/>
      </sharedItems>
    </cacheField>
    <cacheField name="FixedAssetClassCode" numFmtId="0">
      <sharedItems containsString="0" containsBlank="1" count="1">
        <m/>
      </sharedItems>
    </cacheField>
    <cacheField name="FixedAssetSubclassCode" numFmtId="0">
      <sharedItems containsString="0" containsBlank="1" count="1">
        <m/>
      </sharedItems>
    </cacheField>
    <cacheField name="FixedAssetLocationCode" numFmtId="0">
      <sharedItems containsString="0" containsBlank="1" count="1">
        <m/>
      </sharedItems>
    </cacheField>
    <cacheField name="BudgetedAsset" numFmtId="0">
      <sharedItems containsString="0" containsBlank="1" count="1">
        <m/>
      </sharedItems>
    </cacheField>
    <cacheField name="AcquisitionDateField" numFmtId="0">
      <sharedItems containsString="0" containsBlank="1" count="1">
        <m/>
      </sharedItems>
    </cacheField>
    <cacheField name="DisposalDateField" numFmtId="0">
      <sharedItems containsString="0" containsBlank="1" count="1">
        <m/>
      </sharedItems>
    </cacheField>
    <cacheField name="GlobalDimension1Code" numFmtId="0">
      <sharedItems containsString="0" containsBlank="1" count="1">
        <m/>
      </sharedItems>
    </cacheField>
    <cacheField name="GlobalDimension2Code" numFmtId="0">
      <sharedItems containsString="0" containsBlank="1" count="1">
        <m/>
      </sharedItems>
    </cacheField>
    <cacheField name="T.AcquisitionCostBeforeStartingDate" numFmtId="0">
      <sharedItems containsString="0" containsBlank="1" count="1">
        <m/>
      </sharedItems>
    </cacheField>
    <cacheField name="T.DepreciationBeforeStartingDate" numFmtId="0">
      <sharedItems containsString="0" containsBlank="1" count="1">
        <m/>
      </sharedItems>
    </cacheField>
    <cacheField name="T.BookValueBeforeStartingDate" numFmtId="0">
      <sharedItems containsString="0" containsBlank="1" count="1">
        <m/>
      </sharedItems>
    </cacheField>
    <cacheField name="T.AcquisitionCostAtEndingDate" numFmtId="0">
      <sharedItems containsString="0" containsBlank="1" count="1">
        <m/>
      </sharedItems>
    </cacheField>
    <cacheField name="T.DepreciationAtEndingDate" numFmtId="0">
      <sharedItems containsString="0" containsBlank="1" count="1">
        <m/>
      </sharedItems>
    </cacheField>
    <cacheField name="T.BookValueAtEndingDate" numFmtId="0">
      <sharedItems containsString="0" containsBlank="1" count="1">
        <m/>
      </sharedItems>
    </cacheField>
    <cacheField name="T.AcquisitionCostNetChange" numFmtId="0">
      <sharedItems containsString="0" containsBlank="1" count="1">
        <m/>
      </sharedItems>
    </cacheField>
    <cacheField name="T.ProceedsOnDisposalNetChange" numFmtId="0">
      <sharedItems containsString="0" containsBlank="1" count="1">
        <m/>
      </sharedItems>
    </cacheField>
    <cacheField name="T.DepreciationNetChange" numFmtId="0">
      <sharedItems containsString="0" containsBlank="1" count="1">
        <m/>
      </sharedItems>
    </cacheField>
  </cacheFields>
  <extLst>
    <ext xmlns:x14="http://schemas.microsoft.com/office/spreadsheetml/2009/9/main" uri="{725AE2AE-9491-48be-B2B4-4EB974FC3084}">
      <x14:pivotCacheDefinition pivotCacheId="1409078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Joshua Martínez Pineda" refreshedDate="45558.670254050929" backgroundQuery="1" missingItemsLimit="0" createdVersion="8" refreshedVersion="8" minRefreshableVersion="3" recordCount="1" xr:uid="{D4B325B3-F016-4D22-92FD-14BDEE8F7531}">
  <cacheSource type="external" connectionId="11"/>
  <cacheFields count="15">
    <cacheField name="FixedAssetPostingTypeNumber" numFmtId="0">
      <sharedItems containsString="0" containsBlank="1" count="1">
        <m/>
      </sharedItems>
    </cacheField>
    <cacheField name="FixedAssetPostingTypeName" numFmtId="0">
      <sharedItems containsString="0" containsBlank="1" count="1">
        <m/>
      </sharedItems>
    </cacheField>
    <cacheField name="BeforeStartingDate" numFmtId="0">
      <sharedItems containsString="0" containsBlank="1" count="1">
        <m/>
      </sharedItems>
    </cacheField>
    <cacheField name="AtEndingDate" numFmtId="0">
      <sharedItems containsString="0" containsBlank="1" count="1">
        <m/>
      </sharedItems>
    </cacheField>
    <cacheField name="NetChange" numFmtId="0">
      <sharedItems containsString="0" containsBlank="1" count="1">
        <m/>
      </sharedItems>
    </cacheField>
    <cacheField name="AssetNumber" numFmtId="0">
      <sharedItems containsString="0" containsBlank="1" count="1">
        <m/>
      </sharedItems>
    </cacheField>
    <cacheField name="AssetDescription" numFmtId="0">
      <sharedItems containsString="0" containsBlank="1" count="1">
        <m/>
      </sharedItems>
    </cacheField>
    <cacheField name="FixedAssetClassCode" numFmtId="0">
      <sharedItems containsString="0" containsBlank="1" count="1">
        <m/>
      </sharedItems>
    </cacheField>
    <cacheField name="FixedAssetSubclassCode" numFmtId="0">
      <sharedItems containsString="0" containsBlank="1" count="1">
        <m/>
      </sharedItems>
    </cacheField>
    <cacheField name="FixedAssetLocationCode" numFmtId="0">
      <sharedItems containsString="0" containsBlank="1" count="1">
        <m/>
      </sharedItems>
    </cacheField>
    <cacheField name="BudgetedAsset" numFmtId="0">
      <sharedItems containsString="0" containsBlank="1" count="1">
        <m/>
      </sharedItems>
    </cacheField>
    <cacheField name="AcquisitionDateField" numFmtId="0">
      <sharedItems containsString="0" containsBlank="1" count="1">
        <m/>
      </sharedItems>
    </cacheField>
    <cacheField name="DisposalDateField" numFmtId="0">
      <sharedItems containsString="0" containsBlank="1" count="1">
        <m/>
      </sharedItems>
    </cacheField>
    <cacheField name="GlobalDimension1Code" numFmtId="0">
      <sharedItems containsString="0" containsBlank="1" count="1">
        <m/>
      </sharedItems>
    </cacheField>
    <cacheField name="GlobalDimension2Code" numFmtId="0">
      <sharedItems containsString="0" containsBlank="1" count="1">
        <m/>
      </sharedItems>
    </cacheField>
  </cacheFields>
  <extLst>
    <ext xmlns:x14="http://schemas.microsoft.com/office/spreadsheetml/2009/9/main" uri="{725AE2AE-9491-48be-B2B4-4EB974FC3084}">
      <x14:pivotCacheDefinition pivotCacheId="171857688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830.904804166668" createdVersion="8" refreshedVersion="8" minRefreshableVersion="3" recordCount="1" xr:uid="{81C930FE-5903-4C80-8190-51D2C8CCFF18}">
  <cacheSource type="external" connectionId="12"/>
  <cacheFields count="15">
    <cacheField name="FixedAssetPostingTypeNumber" numFmtId="0">
      <sharedItems count="1">
        <s v="BLANK"/>
      </sharedItems>
    </cacheField>
    <cacheField name="FixedAssetPostingTypeName" numFmtId="0">
      <sharedItems count="1">
        <s v="BLANK"/>
      </sharedItems>
    </cacheField>
    <cacheField name="FixedAssetClassCode" numFmtId="0">
      <sharedItems count="1">
        <s v="BLANK"/>
      </sharedItems>
    </cacheField>
    <cacheField name="FixedAssetSubclassCode" numFmtId="0">
      <sharedItems count="1">
        <s v="BLANK"/>
      </sharedItems>
    </cacheField>
    <cacheField name="AssetNumber" numFmtId="0">
      <sharedItems count="1">
        <s v="BLANK"/>
      </sharedItems>
    </cacheField>
    <cacheField name="AssetDescription" numFmtId="0">
      <sharedItems count="1">
        <s v="BLANK"/>
      </sharedItems>
    </cacheField>
    <cacheField name="FixedAssetLocationCode" numFmtId="0">
      <sharedItems containsString="0" containsBlank="1" count="1">
        <m/>
      </sharedItems>
    </cacheField>
    <cacheField name="BudgetedAsset" numFmtId="0">
      <sharedItems containsString="0" containsBlank="1" count="1">
        <m/>
      </sharedItems>
    </cacheField>
    <cacheField name="AcquisitionDateField" numFmtId="0">
      <sharedItems containsSemiMixedTypes="0" containsNonDate="0" containsDate="1" containsString="0" minDate="1899-12-31T00:00:00" maxDate="1900-01-01T00:00:00" count="1">
        <d v="1899-12-31T00:00:00"/>
      </sharedItems>
    </cacheField>
    <cacheField name="DisposalDateField" numFmtId="0">
      <sharedItems containsSemiMixedTypes="0" containsNonDate="0" containsDate="1" containsString="0" minDate="1899-12-31T00:00:00" maxDate="1900-01-01T00:00:00" count="1">
        <d v="1899-12-31T00:00:00"/>
      </sharedItems>
    </cacheField>
    <cacheField name="BeforeStartingDate" numFmtId="0">
      <sharedItems containsSemiMixedTypes="0" containsString="0" containsNumber="1" containsInteger="1" minValue="0" maxValue="0" count="1">
        <n v="0"/>
      </sharedItems>
    </cacheField>
    <cacheField name="AtEndingDate" numFmtId="0">
      <sharedItems containsSemiMixedTypes="0" containsString="0" containsNumber="1" containsInteger="1" minValue="0" maxValue="0" count="1">
        <n v="0"/>
      </sharedItems>
    </cacheField>
    <cacheField name="NetChange" numFmtId="0">
      <sharedItems containsSemiMixedTypes="0" containsString="0" containsNumber="1" containsInteger="1" minValue="0" maxValue="0" count="1">
        <n v="0"/>
      </sharedItems>
    </cacheField>
    <cacheField name="GlobalDimension1Code" numFmtId="0">
      <sharedItems containsString="0" containsBlank="1" count="1">
        <m/>
      </sharedItems>
    </cacheField>
    <cacheField name="GlobalDimension2Cod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5A15E-E45A-4208-B10A-178C35DF6285}" name="PivotTable1" cacheId="4"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P10" firstHeaderRow="0" firstDataRow="1" firstDataCol="12"/>
  <pivotFields count="15">
    <pivotField name="$FixedAssetPostingTypeNumber$" axis="axisRow" compact="0" outline="0" showAll="0" defaultSubtotal="0">
      <items count="1">
        <item x="0"/>
      </items>
    </pivotField>
    <pivotField name="$FixedAssetPostingTypeName$" axis="axisRow" compact="0" outline="0" showAll="0" defaultSubtotal="0">
      <items count="1">
        <item x="0"/>
      </items>
    </pivotField>
    <pivotField name="$FixedAssetClassCode$" axis="axisRow" compact="0" outline="0" showAll="0" defaultSubtotal="0">
      <items count="1">
        <item x="0"/>
      </items>
    </pivotField>
    <pivotField name="$FixedAssetSubclassCode$" axis="axisRow" compact="0" outline="0" showAll="0" defaultSubtotal="0">
      <items count="1">
        <item x="0"/>
      </items>
      <extLst>
        <ext xmlns:x14="http://schemas.microsoft.com/office/spreadsheetml/2009/9/main" uri="{2946ED86-A175-432a-8AC1-64E0C546D7DE}">
          <x14:pivotField fillDownLabels="1"/>
        </ext>
      </extLst>
    </pivotField>
    <pivotField name="$AssetNumber$" axis="axisRow" compact="0" outline="0" showAll="0" defaultSubtotal="0">
      <items count="1">
        <item x="0"/>
      </items>
    </pivotField>
    <pivotField name="$AssetDescription$" axis="axisRow" compact="0" outline="0" showAll="0" defaultSubtotal="0">
      <items count="1">
        <item x="0"/>
      </items>
    </pivotField>
    <pivotField name="$FixedAssetLocationCode$" axis="axisRow" compact="0" outline="0" showAll="0" defaultSubtotal="0">
      <items count="1">
        <item x="0"/>
      </items>
    </pivotField>
    <pivotField name="$BudgetedAsset$" axis="axisRow" compact="0" outline="0" showAll="0" defaultSubtotal="0">
      <items count="1">
        <item x="0"/>
      </items>
    </pivotField>
    <pivotField name="$AcquisitionDateLabel$" axis="axisRow" compact="0" outline="0" showAll="0" defaultSubtotal="0">
      <items count="1">
        <item x="0"/>
      </items>
    </pivotField>
    <pivotField name="$DisposalDateLabel$"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name="$GlobalDimension1Code$" axis="axisRow" compact="0" outline="0" showAll="0" defaultSubtotal="0">
      <items count="1">
        <item x="0"/>
      </items>
    </pivotField>
    <pivotField name="$GlobalDimension2Code$" axis="axisRow" compact="0" outline="0" showAll="0" defaultSubtotal="0">
      <items count="1">
        <item x="0"/>
      </items>
    </pivotField>
  </pivotFields>
  <rowFields count="12">
    <field x="0"/>
    <field x="1"/>
    <field x="2"/>
    <field x="3"/>
    <field x="4"/>
    <field x="5"/>
    <field x="6"/>
    <field x="7"/>
    <field x="8"/>
    <field x="9"/>
    <field x="13"/>
    <field x="14"/>
  </rowFields>
  <rowItems count="2">
    <i>
      <x/>
      <x/>
      <x/>
      <x/>
      <x/>
      <x/>
      <x/>
      <x/>
      <x/>
      <x/>
      <x/>
      <x/>
    </i>
    <i t="grand">
      <x/>
    </i>
  </rowItems>
  <colFields count="1">
    <field x="-2"/>
  </colFields>
  <colItems count="3">
    <i>
      <x/>
    </i>
    <i i="1">
      <x v="1"/>
    </i>
    <i i="2">
      <x v="2"/>
    </i>
  </colItems>
  <dataFields count="3">
    <dataField name="$BeforeStartingDateLabel$" fld="10" baseField="0" baseItem="0"/>
    <dataField name="$AtEndingDateLabel$" fld="11" baseField="0" baseItem="0"/>
    <dataField name="$NetChangeLabel$" fld="12" baseField="0" baseItem="0"/>
  </dataFields>
  <formats count="88">
    <format dxfId="317">
      <pivotArea type="all" dataOnly="0" outline="0" fieldPosition="0"/>
    </format>
    <format dxfId="316">
      <pivotArea outline="0" collapsedLevelsAreSubtotals="1" fieldPosition="0"/>
    </format>
    <format dxfId="315">
      <pivotArea field="0" type="button" dataOnly="0" labelOnly="1" outline="0" axis="axisRow" fieldPosition="0"/>
    </format>
    <format dxfId="314">
      <pivotArea field="1" type="button" dataOnly="0" labelOnly="1" outline="0" axis="axisRow" fieldPosition="1"/>
    </format>
    <format dxfId="313">
      <pivotArea field="2" type="button" dataOnly="0" labelOnly="1" outline="0" axis="axisRow" fieldPosition="2"/>
    </format>
    <format dxfId="312">
      <pivotArea field="3" type="button" dataOnly="0" labelOnly="1" outline="0" axis="axisRow" fieldPosition="3"/>
    </format>
    <format dxfId="311">
      <pivotArea field="4" type="button" dataOnly="0" labelOnly="1" outline="0" axis="axisRow" fieldPosition="4"/>
    </format>
    <format dxfId="310">
      <pivotArea field="5" type="button" dataOnly="0" labelOnly="1" outline="0" axis="axisRow" fieldPosition="5"/>
    </format>
    <format dxfId="309">
      <pivotArea field="6" type="button" dataOnly="0" labelOnly="1" outline="0" axis="axisRow" fieldPosition="6"/>
    </format>
    <format dxfId="308">
      <pivotArea field="7" type="button" dataOnly="0" labelOnly="1" outline="0" axis="axisRow" fieldPosition="7"/>
    </format>
    <format dxfId="307">
      <pivotArea field="8" type="button" dataOnly="0" labelOnly="1" outline="0" axis="axisRow" fieldPosition="8"/>
    </format>
    <format dxfId="306">
      <pivotArea field="9" type="button" dataOnly="0" labelOnly="1" outline="0" axis="axisRow" fieldPosition="9"/>
    </format>
    <format dxfId="305">
      <pivotArea field="13" type="button" dataOnly="0" labelOnly="1" outline="0" axis="axisRow" fieldPosition="10"/>
    </format>
    <format dxfId="304">
      <pivotArea field="14" type="button" dataOnly="0" labelOnly="1" outline="0" axis="axisRow" fieldPosition="11"/>
    </format>
    <format dxfId="303">
      <pivotArea dataOnly="0" labelOnly="1" outline="0" fieldPosition="0">
        <references count="1">
          <reference field="0" count="0"/>
        </references>
      </pivotArea>
    </format>
    <format dxfId="302">
      <pivotArea dataOnly="0" labelOnly="1" grandRow="1" outline="0" fieldPosition="0"/>
    </format>
    <format dxfId="301">
      <pivotArea dataOnly="0" labelOnly="1" outline="0" fieldPosition="0">
        <references count="2">
          <reference field="0" count="0" selected="0"/>
          <reference field="1" count="0"/>
        </references>
      </pivotArea>
    </format>
    <format dxfId="300">
      <pivotArea dataOnly="0" labelOnly="1" outline="0" fieldPosition="0">
        <references count="3">
          <reference field="0" count="0" selected="0"/>
          <reference field="1" count="0" selected="0"/>
          <reference field="2" count="0"/>
        </references>
      </pivotArea>
    </format>
    <format dxfId="299">
      <pivotArea dataOnly="0" labelOnly="1" outline="0" fieldPosition="0">
        <references count="4">
          <reference field="0" count="0" selected="0"/>
          <reference field="1" count="0" selected="0"/>
          <reference field="2" count="0" selected="0"/>
          <reference field="3" count="0"/>
        </references>
      </pivotArea>
    </format>
    <format dxfId="298">
      <pivotArea dataOnly="0" labelOnly="1" outline="0" fieldPosition="0">
        <references count="5">
          <reference field="0" count="0" selected="0"/>
          <reference field="1" count="0" selected="0"/>
          <reference field="2" count="0" selected="0"/>
          <reference field="3" count="0" selected="0"/>
          <reference field="4" count="0"/>
        </references>
      </pivotArea>
    </format>
    <format dxfId="297">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296">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295">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294">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293">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92">
      <pivotArea dataOnly="0" labelOnly="1" outline="0" fieldPosition="0">
        <references count="11">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 field="13" count="0"/>
        </references>
      </pivotArea>
    </format>
    <format dxfId="291">
      <pivotArea dataOnly="0" labelOnly="1" outline="0" fieldPosition="0">
        <references count="12">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 field="13" count="0" selected="0"/>
          <reference field="14" count="0"/>
        </references>
      </pivotArea>
    </format>
    <format dxfId="290">
      <pivotArea dataOnly="0" labelOnly="1" outline="0" fieldPosition="0">
        <references count="1">
          <reference field="4294967294" count="3">
            <x v="0"/>
            <x v="1"/>
            <x v="2"/>
          </reference>
        </references>
      </pivotArea>
    </format>
    <format dxfId="289">
      <pivotArea type="all" dataOnly="0" outline="0" fieldPosition="0"/>
    </format>
    <format dxfId="288">
      <pivotArea outline="0" collapsedLevelsAreSubtotals="1" fieldPosition="0"/>
    </format>
    <format dxfId="287">
      <pivotArea field="0" type="button" dataOnly="0" labelOnly="1" outline="0" axis="axisRow" fieldPosition="0"/>
    </format>
    <format dxfId="286">
      <pivotArea field="1" type="button" dataOnly="0" labelOnly="1" outline="0" axis="axisRow" fieldPosition="1"/>
    </format>
    <format dxfId="285">
      <pivotArea field="2" type="button" dataOnly="0" labelOnly="1" outline="0" axis="axisRow" fieldPosition="2"/>
    </format>
    <format dxfId="284">
      <pivotArea field="3" type="button" dataOnly="0" labelOnly="1" outline="0" axis="axisRow" fieldPosition="3"/>
    </format>
    <format dxfId="283">
      <pivotArea field="4" type="button" dataOnly="0" labelOnly="1" outline="0" axis="axisRow" fieldPosition="4"/>
    </format>
    <format dxfId="282">
      <pivotArea field="5" type="button" dataOnly="0" labelOnly="1" outline="0" axis="axisRow" fieldPosition="5"/>
    </format>
    <format dxfId="281">
      <pivotArea field="6" type="button" dataOnly="0" labelOnly="1" outline="0" axis="axisRow" fieldPosition="6"/>
    </format>
    <format dxfId="280">
      <pivotArea field="7" type="button" dataOnly="0" labelOnly="1" outline="0" axis="axisRow" fieldPosition="7"/>
    </format>
    <format dxfId="279">
      <pivotArea field="8" type="button" dataOnly="0" labelOnly="1" outline="0" axis="axisRow" fieldPosition="8"/>
    </format>
    <format dxfId="278">
      <pivotArea field="9" type="button" dataOnly="0" labelOnly="1" outline="0" axis="axisRow" fieldPosition="9"/>
    </format>
    <format dxfId="277">
      <pivotArea field="13" type="button" dataOnly="0" labelOnly="1" outline="0" axis="axisRow" fieldPosition="10"/>
    </format>
    <format dxfId="276">
      <pivotArea field="14" type="button" dataOnly="0" labelOnly="1" outline="0" axis="axisRow" fieldPosition="11"/>
    </format>
    <format dxfId="275">
      <pivotArea dataOnly="0" labelOnly="1" outline="0" fieldPosition="0">
        <references count="1">
          <reference field="4294967294" count="3">
            <x v="0"/>
            <x v="1"/>
            <x v="2"/>
          </reference>
        </references>
      </pivotArea>
    </format>
    <format dxfId="274">
      <pivotArea field="0" type="button" dataOnly="0" labelOnly="1" outline="0" axis="axisRow" fieldPosition="0"/>
    </format>
    <format dxfId="273">
      <pivotArea field="1" type="button" dataOnly="0" labelOnly="1" outline="0" axis="axisRow" fieldPosition="1"/>
    </format>
    <format dxfId="272">
      <pivotArea field="2" type="button" dataOnly="0" labelOnly="1" outline="0" axis="axisRow" fieldPosition="2"/>
    </format>
    <format dxfId="271">
      <pivotArea field="3" type="button" dataOnly="0" labelOnly="1" outline="0" axis="axisRow" fieldPosition="3"/>
    </format>
    <format dxfId="270">
      <pivotArea field="4" type="button" dataOnly="0" labelOnly="1" outline="0" axis="axisRow" fieldPosition="4"/>
    </format>
    <format dxfId="269">
      <pivotArea field="5" type="button" dataOnly="0" labelOnly="1" outline="0" axis="axisRow" fieldPosition="5"/>
    </format>
    <format dxfId="268">
      <pivotArea field="6" type="button" dataOnly="0" labelOnly="1" outline="0" axis="axisRow" fieldPosition="6"/>
    </format>
    <format dxfId="267">
      <pivotArea field="7" type="button" dataOnly="0" labelOnly="1" outline="0" axis="axisRow" fieldPosition="7"/>
    </format>
    <format dxfId="266">
      <pivotArea field="8" type="button" dataOnly="0" labelOnly="1" outline="0" axis="axisRow" fieldPosition="8"/>
    </format>
    <format dxfId="265">
      <pivotArea field="9" type="button" dataOnly="0" labelOnly="1" outline="0" axis="axisRow" fieldPosition="9"/>
    </format>
    <format dxfId="264">
      <pivotArea field="13" type="button" dataOnly="0" labelOnly="1" outline="0" axis="axisRow" fieldPosition="10"/>
    </format>
    <format dxfId="263">
      <pivotArea field="14" type="button" dataOnly="0" labelOnly="1" outline="0" axis="axisRow" fieldPosition="11"/>
    </format>
    <format dxfId="262">
      <pivotArea dataOnly="0" labelOnly="1" outline="0" fieldPosition="0">
        <references count="1">
          <reference field="4294967294" count="3">
            <x v="0"/>
            <x v="1"/>
            <x v="2"/>
          </reference>
        </references>
      </pivotArea>
    </format>
    <format dxfId="261">
      <pivotArea dataOnly="0" labelOnly="1" outline="0" fieldPosition="0">
        <references count="1">
          <reference field="4294967294" count="3">
            <x v="0"/>
            <x v="1"/>
            <x v="2"/>
          </reference>
        </references>
      </pivotArea>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0" type="button" dataOnly="0" labelOnly="1" outline="0" axis="axisRow" fieldPosition="0"/>
    </format>
    <format dxfId="256">
      <pivotArea field="1" type="button" dataOnly="0" labelOnly="1" outline="0" axis="axisRow" fieldPosition="1"/>
    </format>
    <format dxfId="255">
      <pivotArea field="2" type="button" dataOnly="0" labelOnly="1" outline="0" axis="axisRow" fieldPosition="2"/>
    </format>
    <format dxfId="254">
      <pivotArea field="3" type="button" dataOnly="0" labelOnly="1" outline="0" axis="axisRow" fieldPosition="3"/>
    </format>
    <format dxfId="253">
      <pivotArea field="4" type="button" dataOnly="0" labelOnly="1" outline="0" axis="axisRow" fieldPosition="4"/>
    </format>
    <format dxfId="252">
      <pivotArea field="5" type="button" dataOnly="0" labelOnly="1" outline="0" axis="axisRow" fieldPosition="5"/>
    </format>
    <format dxfId="251">
      <pivotArea field="6" type="button" dataOnly="0" labelOnly="1" outline="0" axis="axisRow" fieldPosition="6"/>
    </format>
    <format dxfId="250">
      <pivotArea field="7" type="button" dataOnly="0" labelOnly="1" outline="0" axis="axisRow" fieldPosition="7"/>
    </format>
    <format dxfId="249">
      <pivotArea field="8" type="button" dataOnly="0" labelOnly="1" outline="0" axis="axisRow" fieldPosition="8"/>
    </format>
    <format dxfId="248">
      <pivotArea field="9" type="button" dataOnly="0" labelOnly="1" outline="0" axis="axisRow" fieldPosition="9"/>
    </format>
    <format dxfId="247">
      <pivotArea field="13" type="button" dataOnly="0" labelOnly="1" outline="0" axis="axisRow" fieldPosition="10"/>
    </format>
    <format dxfId="246">
      <pivotArea field="14" type="button" dataOnly="0" labelOnly="1" outline="0" axis="axisRow" fieldPosition="11"/>
    </format>
    <format dxfId="245">
      <pivotArea dataOnly="0" labelOnly="1" outline="0" fieldPosition="0">
        <references count="1">
          <reference field="0" count="0"/>
        </references>
      </pivotArea>
    </format>
    <format dxfId="244">
      <pivotArea dataOnly="0" labelOnly="1" grandRow="1" outline="0" fieldPosition="0"/>
    </format>
    <format dxfId="243">
      <pivotArea dataOnly="0" labelOnly="1" outline="0" fieldPosition="0">
        <references count="2">
          <reference field="0" count="0" selected="0"/>
          <reference field="1" count="0"/>
        </references>
      </pivotArea>
    </format>
    <format dxfId="242">
      <pivotArea dataOnly="0" labelOnly="1" outline="0" fieldPosition="0">
        <references count="3">
          <reference field="0" count="0" selected="0"/>
          <reference field="1" count="0" selected="0"/>
          <reference field="2" count="0"/>
        </references>
      </pivotArea>
    </format>
    <format dxfId="241">
      <pivotArea dataOnly="0" labelOnly="1" outline="0" fieldPosition="0">
        <references count="4">
          <reference field="0" count="0" selected="0"/>
          <reference field="1" count="0" selected="0"/>
          <reference field="2" count="0" selected="0"/>
          <reference field="3" count="0"/>
        </references>
      </pivotArea>
    </format>
    <format dxfId="240">
      <pivotArea dataOnly="0" labelOnly="1" outline="0" fieldPosition="0">
        <references count="5">
          <reference field="0" count="0" selected="0"/>
          <reference field="1" count="0" selected="0"/>
          <reference field="2" count="0" selected="0"/>
          <reference field="3" count="0" selected="0"/>
          <reference field="4" count="0"/>
        </references>
      </pivotArea>
    </format>
    <format dxfId="239">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238">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237">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236">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235">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34">
      <pivotArea dataOnly="0" labelOnly="1" outline="0" fieldPosition="0">
        <references count="11">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 field="13" count="0"/>
        </references>
      </pivotArea>
    </format>
    <format dxfId="233">
      <pivotArea dataOnly="0" labelOnly="1" outline="0" fieldPosition="0">
        <references count="12">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 field="13" count="0" selected="0"/>
          <reference field="14" count="0"/>
        </references>
      </pivotArea>
    </format>
    <format dxfId="232">
      <pivotArea dataOnly="0" labelOnly="1" outline="0" fieldPosition="0">
        <references count="1">
          <reference field="4294967294" count="3">
            <x v="0"/>
            <x v="1"/>
            <x v="2"/>
          </reference>
        </references>
      </pivotArea>
    </format>
    <format dxfId="231">
      <pivotArea field="8" type="button" dataOnly="0" labelOnly="1" outline="0" axis="axisRow" fieldPosition="8"/>
    </format>
    <format dxfId="230">
      <pivotArea field="9" type="button" dataOnly="0" labelOnly="1" outline="0" axis="axisRow" fieldPosition="9"/>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36318-F22B-45E5-B7D4-E5512CF61F63}" name="PivotTable2" cacheId="1"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fieldListSortAscending="1">
  <location ref="B3:J9" firstHeaderRow="0" firstDataRow="1" firstDataCol="6" rowPageCount="1" colPageCount="1"/>
  <pivotFields count="15">
    <pivotField compact="0" outline="0" showAll="0"/>
    <pivotField name="$FixedAssetPostingTypeName$" axis="axisPage" compact="0" outline="0" showAll="0">
      <items count="2">
        <item x="0"/>
        <item t="default"/>
      </items>
    </pivotField>
    <pivotField dataField="1" compact="0" outline="0" showAll="0"/>
    <pivotField dataField="1" compact="0" outline="0" showAll="0"/>
    <pivotField dataField="1" compact="0" outline="0" showAll="0"/>
    <pivotField name="$AssetNumber$" axis="axisRow" compact="0" outline="0" showAll="0" defaultSubtotal="0">
      <items count="1">
        <item x="0"/>
      </items>
    </pivotField>
    <pivotField name="$AssetDescription$" axis="axisRow" compact="0" outline="0" showAll="0" defaultSubtotal="0">
      <items count="1">
        <item x="0"/>
      </items>
    </pivotField>
    <pivotField name="$FixedAssetClassCode$" axis="axisRow" compact="0" outline="0" showAll="0" insertBlankRow="1">
      <items count="2">
        <item x="0"/>
        <item t="default"/>
      </items>
      <extLst>
        <ext xmlns:x14="http://schemas.microsoft.com/office/spreadsheetml/2009/9/main" uri="{2946ED86-A175-432a-8AC1-64E0C546D7DE}">
          <x14:pivotField fillDownLabels="1"/>
        </ext>
      </extLst>
    </pivotField>
    <pivotField name="$FixedAssetSubclassCode$" axis="axisRow" compact="0" outline="0" showAll="0" insertBlankRow="1">
      <items count="2">
        <item x="0"/>
        <item t="default"/>
      </items>
      <extLst>
        <ext xmlns:x14="http://schemas.microsoft.com/office/spreadsheetml/2009/9/main" uri="{2946ED86-A175-432a-8AC1-64E0C546D7DE}">
          <x14:pivotField fillDownLabels="1"/>
        </ext>
      </extLst>
    </pivotField>
    <pivotField compact="0" outline="0" showAll="0">
      <items count="2">
        <item x="0"/>
        <item t="default"/>
      </items>
    </pivotField>
    <pivotField compact="0" outline="0" showAll="0">
      <items count="2">
        <item x="0"/>
        <item t="default"/>
      </items>
    </pivotField>
    <pivotField name="$AcquisitionDateLabel$" axis="axisRow" compact="0" outline="0" showAll="0" defaultSubtotal="0">
      <items count="1">
        <item x="0"/>
      </items>
    </pivotField>
    <pivotField name="$DisposalDateLabel$" axis="axisRow" compact="0" outline="0" showAll="0" defaultSubtotal="0">
      <items count="1">
        <item x="0"/>
      </items>
    </pivotField>
    <pivotField compact="0" outline="0" showAll="0">
      <items count="2">
        <item x="0"/>
        <item t="default"/>
      </items>
    </pivotField>
    <pivotField compact="0" outline="0" showAll="0">
      <items count="2">
        <item x="0"/>
        <item t="default"/>
      </items>
    </pivotField>
  </pivotFields>
  <rowFields count="6">
    <field x="7"/>
    <field x="8"/>
    <field x="5"/>
    <field x="6"/>
    <field x="11"/>
    <field x="12"/>
  </rowFields>
  <rowItems count="6">
    <i>
      <x/>
      <x/>
      <x/>
      <x/>
      <x/>
      <x/>
    </i>
    <i t="default" r="1">
      <x/>
    </i>
    <i t="blank" r="1">
      <x/>
    </i>
    <i t="default">
      <x/>
    </i>
    <i t="blank">
      <x/>
    </i>
    <i t="grand">
      <x/>
    </i>
  </rowItems>
  <colFields count="1">
    <field x="-2"/>
  </colFields>
  <colItems count="3">
    <i>
      <x/>
    </i>
    <i i="1">
      <x v="1"/>
    </i>
    <i i="2">
      <x v="2"/>
    </i>
  </colItems>
  <pageFields count="1">
    <pageField fld="1" hier="-1"/>
  </pageFields>
  <dataFields count="3">
    <dataField name="$BeforeStartingDateLabel$" fld="2" baseField="5" baseItem="0" numFmtId="4"/>
    <dataField name="$AtEndingDateLabel$" fld="3" baseField="5" baseItem="0" numFmtId="4"/>
    <dataField name="$NetChangeLabel$" fld="4" baseField="5" baseItem="0" numFmtId="4"/>
  </dataFields>
  <formats count="72">
    <format dxfId="229">
      <pivotArea outline="0" fieldPosition="0">
        <references count="1">
          <reference field="4294967294" count="1" selected="0">
            <x v="0"/>
          </reference>
        </references>
      </pivotArea>
    </format>
    <format dxfId="228">
      <pivotArea dataOnly="0" labelOnly="1" outline="0" fieldPosition="0">
        <references count="1">
          <reference field="4294967294" count="1">
            <x v="0"/>
          </reference>
        </references>
      </pivotArea>
    </format>
    <format dxfId="227">
      <pivotArea outline="0" fieldPosition="0">
        <references count="1">
          <reference field="4294967294" count="1" selected="0">
            <x v="1"/>
          </reference>
        </references>
      </pivotArea>
    </format>
    <format dxfId="226">
      <pivotArea dataOnly="0" labelOnly="1" outline="0" fieldPosition="0">
        <references count="1">
          <reference field="4294967294" count="1">
            <x v="1"/>
          </reference>
        </references>
      </pivotArea>
    </format>
    <format dxfId="225">
      <pivotArea outline="0" fieldPosition="0">
        <references count="1">
          <reference field="4294967294" count="1" selected="0">
            <x v="2"/>
          </reference>
        </references>
      </pivotArea>
    </format>
    <format dxfId="224">
      <pivotArea dataOnly="0" labelOnly="1" outline="0" fieldPosition="0">
        <references count="1">
          <reference field="4294967294" count="1">
            <x v="2"/>
          </reference>
        </references>
      </pivotArea>
    </format>
    <format dxfId="223">
      <pivotArea type="all" dataOnly="0" outline="0" fieldPosition="0"/>
    </format>
    <format dxfId="222">
      <pivotArea outline="0" collapsedLevelsAreSubtotals="1" fieldPosition="0"/>
    </format>
    <format dxfId="221">
      <pivotArea field="7" type="button" dataOnly="0" labelOnly="1" outline="0" axis="axisRow" fieldPosition="0"/>
    </format>
    <format dxfId="220">
      <pivotArea field="8" type="button" dataOnly="0" labelOnly="1" outline="0" axis="axisRow" fieldPosition="1"/>
    </format>
    <format dxfId="219">
      <pivotArea field="5" type="button" dataOnly="0" labelOnly="1" outline="0" axis="axisRow" fieldPosition="2"/>
    </format>
    <format dxfId="218">
      <pivotArea field="6" type="button" dataOnly="0" labelOnly="1" outline="0" axis="axisRow" fieldPosition="3"/>
    </format>
    <format dxfId="217">
      <pivotArea field="11" type="button" dataOnly="0" labelOnly="1" outline="0" axis="axisRow" fieldPosition="4"/>
    </format>
    <format dxfId="216">
      <pivotArea field="12" type="button" dataOnly="0" labelOnly="1" outline="0" axis="axisRow" fieldPosition="5"/>
    </format>
    <format dxfId="215">
      <pivotArea dataOnly="0" labelOnly="1" outline="0" fieldPosition="0">
        <references count="1">
          <reference field="7" count="0"/>
        </references>
      </pivotArea>
    </format>
    <format dxfId="214">
      <pivotArea dataOnly="0" labelOnly="1" outline="0" fieldPosition="0">
        <references count="1">
          <reference field="7" count="0" defaultSubtotal="1"/>
        </references>
      </pivotArea>
    </format>
    <format dxfId="213">
      <pivotArea dataOnly="0" labelOnly="1" grandRow="1" outline="0" fieldPosition="0"/>
    </format>
    <format dxfId="212">
      <pivotArea dataOnly="0" labelOnly="1" outline="0" fieldPosition="0">
        <references count="2">
          <reference field="7" count="0" selected="0"/>
          <reference field="8" count="0"/>
        </references>
      </pivotArea>
    </format>
    <format dxfId="211">
      <pivotArea dataOnly="0" labelOnly="1" outline="0" fieldPosition="0">
        <references count="2">
          <reference field="7" count="0" selected="0"/>
          <reference field="8" count="0" defaultSubtotal="1"/>
        </references>
      </pivotArea>
    </format>
    <format dxfId="210">
      <pivotArea dataOnly="0" labelOnly="1" outline="0" fieldPosition="0">
        <references count="3">
          <reference field="5" count="0"/>
          <reference field="7" count="0" selected="0"/>
          <reference field="8" count="0" selected="0"/>
        </references>
      </pivotArea>
    </format>
    <format dxfId="209">
      <pivotArea dataOnly="0" labelOnly="1" outline="0" fieldPosition="0">
        <references count="4">
          <reference field="5" count="0" selected="0"/>
          <reference field="6" count="0"/>
          <reference field="7" count="0" selected="0"/>
          <reference field="8" count="0" selected="0"/>
        </references>
      </pivotArea>
    </format>
    <format dxfId="208">
      <pivotArea dataOnly="0" labelOnly="1" outline="0" fieldPosition="0">
        <references count="5">
          <reference field="5" count="0" selected="0"/>
          <reference field="6" count="0" selected="0"/>
          <reference field="7" count="0" selected="0"/>
          <reference field="8" count="0" selected="0"/>
          <reference field="11" count="0"/>
        </references>
      </pivotArea>
    </format>
    <format dxfId="207">
      <pivotArea dataOnly="0" labelOnly="1" outline="0" fieldPosition="0">
        <references count="6">
          <reference field="5" count="0" selected="0"/>
          <reference field="6" count="0" selected="0"/>
          <reference field="7" count="0" selected="0"/>
          <reference field="8" count="0" selected="0"/>
          <reference field="11" count="0" selected="0"/>
          <reference field="12" count="0"/>
        </references>
      </pivotArea>
    </format>
    <format dxfId="206">
      <pivotArea dataOnly="0" labelOnly="1" outline="0" fieldPosition="0">
        <references count="1">
          <reference field="4294967294" count="3">
            <x v="0"/>
            <x v="1"/>
            <x v="2"/>
          </reference>
        </references>
      </pivotArea>
    </format>
    <format dxfId="205">
      <pivotArea field="7" type="button" dataOnly="0" labelOnly="1" outline="0" axis="axisRow" fieldPosition="0"/>
    </format>
    <format dxfId="204">
      <pivotArea field="8" type="button" dataOnly="0" labelOnly="1" outline="0" axis="axisRow" fieldPosition="1"/>
    </format>
    <format dxfId="203">
      <pivotArea field="5" type="button" dataOnly="0" labelOnly="1" outline="0" axis="axisRow" fieldPosition="2"/>
    </format>
    <format dxfId="202">
      <pivotArea field="6" type="button" dataOnly="0" labelOnly="1" outline="0" axis="axisRow" fieldPosition="3"/>
    </format>
    <format dxfId="201">
      <pivotArea field="11" type="button" dataOnly="0" labelOnly="1" outline="0" axis="axisRow" fieldPosition="4"/>
    </format>
    <format dxfId="200">
      <pivotArea field="12" type="button" dataOnly="0" labelOnly="1" outline="0" axis="axisRow" fieldPosition="5"/>
    </format>
    <format dxfId="199">
      <pivotArea dataOnly="0" labelOnly="1" outline="0" fieldPosition="0">
        <references count="1">
          <reference field="4294967294" count="3">
            <x v="0"/>
            <x v="1"/>
            <x v="2"/>
          </reference>
        </references>
      </pivotArea>
    </format>
    <format dxfId="198">
      <pivotArea type="all" dataOnly="0" outline="0" fieldPosition="0"/>
    </format>
    <format dxfId="197">
      <pivotArea outline="0" collapsedLevelsAreSubtotals="1" fieldPosition="0"/>
    </format>
    <format dxfId="196">
      <pivotArea field="7" type="button" dataOnly="0" labelOnly="1" outline="0" axis="axisRow" fieldPosition="0"/>
    </format>
    <format dxfId="195">
      <pivotArea field="8" type="button" dataOnly="0" labelOnly="1" outline="0" axis="axisRow" fieldPosition="1"/>
    </format>
    <format dxfId="194">
      <pivotArea field="5" type="button" dataOnly="0" labelOnly="1" outline="0" axis="axisRow" fieldPosition="2"/>
    </format>
    <format dxfId="193">
      <pivotArea field="6" type="button" dataOnly="0" labelOnly="1" outline="0" axis="axisRow" fieldPosition="3"/>
    </format>
    <format dxfId="192">
      <pivotArea field="11" type="button" dataOnly="0" labelOnly="1" outline="0" axis="axisRow" fieldPosition="4"/>
    </format>
    <format dxfId="191">
      <pivotArea field="12" type="button" dataOnly="0" labelOnly="1" outline="0" axis="axisRow" fieldPosition="5"/>
    </format>
    <format dxfId="190">
      <pivotArea dataOnly="0" labelOnly="1" outline="0" fieldPosition="0">
        <references count="1">
          <reference field="7" count="0"/>
        </references>
      </pivotArea>
    </format>
    <format dxfId="189">
      <pivotArea dataOnly="0" labelOnly="1" outline="0" fieldPosition="0">
        <references count="1">
          <reference field="7" count="0" defaultSubtotal="1"/>
        </references>
      </pivotArea>
    </format>
    <format dxfId="188">
      <pivotArea dataOnly="0" labelOnly="1" grandRow="1" outline="0" fieldPosition="0"/>
    </format>
    <format dxfId="187">
      <pivotArea dataOnly="0" labelOnly="1" outline="0" fieldPosition="0">
        <references count="2">
          <reference field="7" count="0" selected="0"/>
          <reference field="8" count="0"/>
        </references>
      </pivotArea>
    </format>
    <format dxfId="186">
      <pivotArea dataOnly="0" labelOnly="1" outline="0" fieldPosition="0">
        <references count="2">
          <reference field="7" count="0" selected="0"/>
          <reference field="8" count="0" defaultSubtotal="1"/>
        </references>
      </pivotArea>
    </format>
    <format dxfId="185">
      <pivotArea dataOnly="0" labelOnly="1" outline="0" fieldPosition="0">
        <references count="3">
          <reference field="5" count="0"/>
          <reference field="7" count="0" selected="0"/>
          <reference field="8" count="0" selected="0"/>
        </references>
      </pivotArea>
    </format>
    <format dxfId="184">
      <pivotArea dataOnly="0" labelOnly="1" outline="0" fieldPosition="0">
        <references count="4">
          <reference field="5" count="0" selected="0"/>
          <reference field="6" count="0"/>
          <reference field="7" count="0" selected="0"/>
          <reference field="8" count="0" selected="0"/>
        </references>
      </pivotArea>
    </format>
    <format dxfId="183">
      <pivotArea dataOnly="0" labelOnly="1" outline="0" fieldPosition="0">
        <references count="5">
          <reference field="5" count="0" selected="0"/>
          <reference field="6" count="0" selected="0"/>
          <reference field="7" count="0" selected="0"/>
          <reference field="8" count="0" selected="0"/>
          <reference field="11" count="0"/>
        </references>
      </pivotArea>
    </format>
    <format dxfId="182">
      <pivotArea dataOnly="0" labelOnly="1" outline="0" fieldPosition="0">
        <references count="6">
          <reference field="5" count="0" selected="0"/>
          <reference field="6" count="0" selected="0"/>
          <reference field="7" count="0" selected="0"/>
          <reference field="8" count="0" selected="0"/>
          <reference field="11" count="0" selected="0"/>
          <reference field="12" count="0"/>
        </references>
      </pivotArea>
    </format>
    <format dxfId="181">
      <pivotArea dataOnly="0" labelOnly="1" outline="0" fieldPosition="0">
        <references count="1">
          <reference field="4294967294" count="3">
            <x v="0"/>
            <x v="1"/>
            <x v="2"/>
          </reference>
        </references>
      </pivotArea>
    </format>
    <format dxfId="180">
      <pivotArea dataOnly="0" labelOnly="1" outline="0" fieldPosition="0">
        <references count="1">
          <reference field="1" count="1">
            <x v="0"/>
          </reference>
        </references>
      </pivotArea>
    </format>
    <format dxfId="179">
      <pivotArea dataOnly="0" labelOnly="1" outline="0" fieldPosition="0">
        <references count="1">
          <reference field="1" count="1">
            <x v="0"/>
          </reference>
        </references>
      </pivotArea>
    </format>
    <format dxfId="178">
      <pivotArea field="1" type="button" dataOnly="0" labelOnly="1" outline="0" axis="axisPage" fieldPosition="0"/>
    </format>
    <format dxfId="177">
      <pivotArea field="1" type="button" dataOnly="0" labelOnly="1" outline="0" axis="axisPage" fieldPosition="0"/>
    </format>
    <format dxfId="176">
      <pivotArea dataOnly="0" labelOnly="1" outline="0" fieldPosition="0">
        <references count="1">
          <reference field="1" count="0"/>
        </references>
      </pivotArea>
    </format>
    <format dxfId="175">
      <pivotArea type="all" dataOnly="0" outline="0" fieldPosition="0"/>
    </format>
    <format dxfId="174">
      <pivotArea outline="0" collapsedLevelsAreSubtotals="1" fieldPosition="0"/>
    </format>
    <format dxfId="173">
      <pivotArea field="7" type="button" dataOnly="0" labelOnly="1" outline="0" axis="axisRow" fieldPosition="0"/>
    </format>
    <format dxfId="172">
      <pivotArea field="8" type="button" dataOnly="0" labelOnly="1" outline="0" axis="axisRow" fieldPosition="1"/>
    </format>
    <format dxfId="171">
      <pivotArea field="5" type="button" dataOnly="0" labelOnly="1" outline="0" axis="axisRow" fieldPosition="2"/>
    </format>
    <format dxfId="170">
      <pivotArea field="6" type="button" dataOnly="0" labelOnly="1" outline="0" axis="axisRow" fieldPosition="3"/>
    </format>
    <format dxfId="169">
      <pivotArea field="11" type="button" dataOnly="0" labelOnly="1" outline="0" axis="axisRow" fieldPosition="4"/>
    </format>
    <format dxfId="168">
      <pivotArea field="12" type="button" dataOnly="0" labelOnly="1" outline="0" axis="axisRow" fieldPosition="5"/>
    </format>
    <format dxfId="167">
      <pivotArea dataOnly="0" labelOnly="1" outline="0" fieldPosition="0">
        <references count="1">
          <reference field="7" count="0"/>
        </references>
      </pivotArea>
    </format>
    <format dxfId="166">
      <pivotArea dataOnly="0" labelOnly="1" outline="0" fieldPosition="0">
        <references count="1">
          <reference field="7" count="0" defaultSubtotal="1"/>
        </references>
      </pivotArea>
    </format>
    <format dxfId="165">
      <pivotArea dataOnly="0" labelOnly="1" grandRow="1" outline="0" fieldPosition="0"/>
    </format>
    <format dxfId="164">
      <pivotArea dataOnly="0" labelOnly="1" outline="0" fieldPosition="0">
        <references count="2">
          <reference field="7" count="0" selected="0"/>
          <reference field="8" count="0"/>
        </references>
      </pivotArea>
    </format>
    <format dxfId="163">
      <pivotArea dataOnly="0" labelOnly="1" outline="0" fieldPosition="0">
        <references count="2">
          <reference field="7" count="0" selected="0"/>
          <reference field="8" count="0" defaultSubtotal="1"/>
        </references>
      </pivotArea>
    </format>
    <format dxfId="162">
      <pivotArea dataOnly="0" labelOnly="1" outline="0" fieldPosition="0">
        <references count="3">
          <reference field="5" count="0"/>
          <reference field="7" count="0" selected="0"/>
          <reference field="8" count="0" selected="0"/>
        </references>
      </pivotArea>
    </format>
    <format dxfId="161">
      <pivotArea dataOnly="0" labelOnly="1" outline="0" fieldPosition="0">
        <references count="4">
          <reference field="5" count="0" selected="0"/>
          <reference field="6" count="0"/>
          <reference field="7" count="0" selected="0"/>
          <reference field="8" count="0" selected="0"/>
        </references>
      </pivotArea>
    </format>
    <format dxfId="160">
      <pivotArea dataOnly="0" labelOnly="1" outline="0" fieldPosition="0">
        <references count="5">
          <reference field="5" count="0" selected="0"/>
          <reference field="6" count="0" selected="0"/>
          <reference field="7" count="0" selected="0"/>
          <reference field="8" count="0" selected="0"/>
          <reference field="11" count="0"/>
        </references>
      </pivotArea>
    </format>
    <format dxfId="159">
      <pivotArea dataOnly="0" labelOnly="1" outline="0" fieldPosition="0">
        <references count="6">
          <reference field="5" count="0" selected="0"/>
          <reference field="6" count="0" selected="0"/>
          <reference field="7" count="0" selected="0"/>
          <reference field="8" count="0" selected="0"/>
          <reference field="11" count="0" selected="0"/>
          <reference field="12" count="0"/>
        </references>
      </pivotArea>
    </format>
    <format dxfId="158">
      <pivotArea dataOnly="0" labelOnly="1" outline="0" fieldPosition="0">
        <references count="1">
          <reference field="4294967294" count="3">
            <x v="0"/>
            <x v="1"/>
            <x v="2"/>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A930C-AA0F-4118-86A4-B48E0BD0B8D4}"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fieldListSortAscending="1">
  <location ref="B1:N7" firstHeaderRow="0" firstDataRow="1" firstDataCol="4"/>
  <pivotFields count="19">
    <pivotField name="$AssetNumber$" axis="axisRow" compact="0" outline="0" showAll="0" defaultSubtotal="0">
      <items count="1">
        <item x="0"/>
      </items>
    </pivotField>
    <pivotField name="$AssetDescription$" axis="axisRow" compact="0" outline="0" showAll="0">
      <items count="2">
        <item x="0"/>
        <item t="default"/>
      </items>
    </pivotField>
    <pivotField name="$FixedAssetClassCode$" axis="axisRow" compact="0" outline="0" showAll="0" insertBlankRow="1">
      <items count="2">
        <item x="0"/>
        <item t="default"/>
      </items>
      <extLst>
        <ext xmlns:x14="http://schemas.microsoft.com/office/spreadsheetml/2009/9/main" uri="{2946ED86-A175-432a-8AC1-64E0C546D7DE}">
          <x14:pivotField fillDownLabels="1"/>
        </ext>
      </extLst>
    </pivotField>
    <pivotField name="$FixedAssetSubclassCode$" axis="axisRow" compact="0" outline="0" showAll="0" insertBlankRow="1">
      <items count="2">
        <item x="0"/>
        <item t="default"/>
      </items>
      <extLst>
        <ext xmlns:x14="http://schemas.microsoft.com/office/spreadsheetml/2009/9/main" uri="{2946ED86-A175-432a-8AC1-64E0C546D7DE}">
          <x14:pivotField fillDownLabels="1"/>
        </ext>
      </extLst>
    </pivotField>
    <pivotField compact="0" outline="0" showAll="0">
      <items count="2">
        <item x="0"/>
        <item t="default"/>
      </items>
    </pivotField>
    <pivotField compact="0" outline="0" showAll="0">
      <items count="2">
        <item x="0"/>
        <item t="default"/>
      </items>
    </pivotField>
    <pivotField compact="0" outline="0" showAll="0"/>
    <pivotField compact="0" outline="0" showAll="0"/>
    <pivotField compact="0" outline="0" showAll="0">
      <items count="2">
        <item x="0"/>
        <item t="default"/>
      </items>
    </pivotField>
    <pivotField compact="0" outline="0" showAll="0">
      <items count="2">
        <item x="0"/>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4">
    <field x="2"/>
    <field x="3"/>
    <field x="0"/>
    <field x="1"/>
  </rowFields>
  <rowItems count="6">
    <i>
      <x/>
      <x/>
      <x/>
      <x/>
    </i>
    <i t="default" r="1">
      <x/>
    </i>
    <i t="blank" r="1">
      <x/>
    </i>
    <i t="default">
      <x/>
    </i>
    <i t="blank">
      <x/>
    </i>
    <i t="grand">
      <x/>
    </i>
  </rowItems>
  <colFields count="1">
    <field x="-2"/>
  </colFields>
  <colItems count="9">
    <i>
      <x/>
    </i>
    <i i="1">
      <x v="1"/>
    </i>
    <i i="2">
      <x v="2"/>
    </i>
    <i i="3">
      <x v="3"/>
    </i>
    <i i="4">
      <x v="4"/>
    </i>
    <i i="5">
      <x v="5"/>
    </i>
    <i i="6">
      <x v="6"/>
    </i>
    <i i="7">
      <x v="7"/>
    </i>
    <i i="8">
      <x v="8"/>
    </i>
  </colItems>
  <dataFields count="9">
    <dataField name="$AcquisitionCostBefore$" fld="10" baseField="0" baseItem="0"/>
    <dataField name="$AcquisitionCostNetChange$" fld="16" baseField="0" baseItem="0"/>
    <dataField name="$ProceedsOnDisposalNetChange$" fld="17" baseField="0" baseItem="0"/>
    <dataField name="$AcquisitionCostAfter$" fld="13" baseField="0" baseItem="0"/>
    <dataField name="$DepreciationBefore$" fld="11" baseField="0" baseItem="0"/>
    <dataField name="$DepreciationNetChange$" fld="18" baseField="0" baseItem="0"/>
    <dataField name="$DepreciationAfter$" fld="14" baseField="0" baseItem="0"/>
    <dataField name="$BookValueBefore$" fld="12" baseField="0" baseItem="0"/>
    <dataField name="$BookValueAfter$" fld="15" baseField="0" baseItem="0"/>
  </dataFields>
  <formats count="49">
    <format dxfId="157">
      <pivotArea outline="0" collapsedLevelsAreSubtotals="1" fieldPosition="0"/>
    </format>
    <format dxfId="156">
      <pivotArea dataOnly="0" labelOnly="1" outline="0" fieldPosition="0">
        <references count="1">
          <reference field="4294967294" count="9">
            <x v="0"/>
            <x v="1"/>
            <x v="2"/>
            <x v="3"/>
            <x v="4"/>
            <x v="5"/>
            <x v="6"/>
            <x v="7"/>
            <x v="8"/>
          </reference>
        </references>
      </pivotArea>
    </format>
    <format dxfId="155">
      <pivotArea type="all" dataOnly="0" outline="0" fieldPosition="0"/>
    </format>
    <format dxfId="154">
      <pivotArea outline="0" collapsedLevelsAreSubtotals="1" fieldPosition="0"/>
    </format>
    <format dxfId="153">
      <pivotArea field="2" type="button" dataOnly="0" labelOnly="1" outline="0" axis="axisRow" fieldPosition="0"/>
    </format>
    <format dxfId="152">
      <pivotArea field="3" type="button" dataOnly="0" labelOnly="1" outline="0" axis="axisRow" fieldPosition="1"/>
    </format>
    <format dxfId="151">
      <pivotArea field="0" type="button" dataOnly="0" labelOnly="1" outline="0" axis="axisRow" fieldPosition="2"/>
    </format>
    <format dxfId="150">
      <pivotArea field="1" type="button" dataOnly="0" labelOnly="1" outline="0" axis="axisRow" fieldPosition="3"/>
    </format>
    <format dxfId="149">
      <pivotArea dataOnly="0" labelOnly="1" outline="0" fieldPosition="0">
        <references count="1">
          <reference field="2" count="0"/>
        </references>
      </pivotArea>
    </format>
    <format dxfId="148">
      <pivotArea dataOnly="0" labelOnly="1" outline="0" fieldPosition="0">
        <references count="1">
          <reference field="2" count="0" defaultSubtotal="1"/>
        </references>
      </pivotArea>
    </format>
    <format dxfId="147">
      <pivotArea dataOnly="0" labelOnly="1" grandRow="1" outline="0" fieldPosition="0"/>
    </format>
    <format dxfId="146">
      <pivotArea dataOnly="0" labelOnly="1" outline="0" fieldPosition="0">
        <references count="2">
          <reference field="2" count="0" selected="0"/>
          <reference field="3" count="0"/>
        </references>
      </pivotArea>
    </format>
    <format dxfId="145">
      <pivotArea dataOnly="0" labelOnly="1" outline="0" fieldPosition="0">
        <references count="2">
          <reference field="2" count="0" selected="0"/>
          <reference field="3" count="0" defaultSubtotal="1"/>
        </references>
      </pivotArea>
    </format>
    <format dxfId="144">
      <pivotArea dataOnly="0" labelOnly="1" outline="0" fieldPosition="0">
        <references count="3">
          <reference field="0" count="0"/>
          <reference field="2" count="0" selected="0"/>
          <reference field="3" count="0" selected="0"/>
        </references>
      </pivotArea>
    </format>
    <format dxfId="143">
      <pivotArea dataOnly="0" labelOnly="1" outline="0" fieldPosition="0">
        <references count="4">
          <reference field="0" count="0" selected="0"/>
          <reference field="1" count="0"/>
          <reference field="2" count="0" selected="0"/>
          <reference field="3" count="0" selected="0"/>
        </references>
      </pivotArea>
    </format>
    <format dxfId="142">
      <pivotArea dataOnly="0" labelOnly="1" outline="0" fieldPosition="0">
        <references count="1">
          <reference field="4294967294" count="9">
            <x v="0"/>
            <x v="1"/>
            <x v="2"/>
            <x v="3"/>
            <x v="4"/>
            <x v="5"/>
            <x v="6"/>
            <x v="7"/>
            <x v="8"/>
          </reference>
        </references>
      </pivotArea>
    </format>
    <format dxfId="141">
      <pivotArea type="all" dataOnly="0" outline="0" fieldPosition="0"/>
    </format>
    <format dxfId="140">
      <pivotArea outline="0" collapsedLevelsAreSubtotals="1" fieldPosition="0"/>
    </format>
    <format dxfId="139">
      <pivotArea field="2" type="button" dataOnly="0" labelOnly="1" outline="0" axis="axisRow" fieldPosition="0"/>
    </format>
    <format dxfId="138">
      <pivotArea field="3" type="button" dataOnly="0" labelOnly="1" outline="0" axis="axisRow" fieldPosition="1"/>
    </format>
    <format dxfId="137">
      <pivotArea field="0" type="button" dataOnly="0" labelOnly="1" outline="0" axis="axisRow" fieldPosition="2"/>
    </format>
    <format dxfId="136">
      <pivotArea field="1" type="button" dataOnly="0" labelOnly="1" outline="0" axis="axisRow" fieldPosition="3"/>
    </format>
    <format dxfId="135">
      <pivotArea dataOnly="0" labelOnly="1" outline="0" fieldPosition="0">
        <references count="1">
          <reference field="2" count="0"/>
        </references>
      </pivotArea>
    </format>
    <format dxfId="134">
      <pivotArea dataOnly="0" labelOnly="1" outline="0" fieldPosition="0">
        <references count="1">
          <reference field="2" count="0" defaultSubtotal="1"/>
        </references>
      </pivotArea>
    </format>
    <format dxfId="133">
      <pivotArea dataOnly="0" labelOnly="1" grandRow="1" outline="0" fieldPosition="0"/>
    </format>
    <format dxfId="132">
      <pivotArea dataOnly="0" labelOnly="1" outline="0" fieldPosition="0">
        <references count="2">
          <reference field="2" count="0" selected="0"/>
          <reference field="3" count="0"/>
        </references>
      </pivotArea>
    </format>
    <format dxfId="131">
      <pivotArea dataOnly="0" labelOnly="1" outline="0" fieldPosition="0">
        <references count="2">
          <reference field="2" count="0" selected="0"/>
          <reference field="3" count="0" defaultSubtotal="1"/>
        </references>
      </pivotArea>
    </format>
    <format dxfId="130">
      <pivotArea dataOnly="0" labelOnly="1" outline="0" fieldPosition="0">
        <references count="3">
          <reference field="0" count="0"/>
          <reference field="2" count="0" selected="0"/>
          <reference field="3" count="0" selected="0"/>
        </references>
      </pivotArea>
    </format>
    <format dxfId="129">
      <pivotArea dataOnly="0" labelOnly="1" outline="0" fieldPosition="0">
        <references count="4">
          <reference field="0" count="0" selected="0"/>
          <reference field="1" count="0"/>
          <reference field="2" count="0" selected="0"/>
          <reference field="3" count="0" selected="0"/>
        </references>
      </pivotArea>
    </format>
    <format dxfId="128">
      <pivotArea dataOnly="0" labelOnly="1" outline="0" fieldPosition="0">
        <references count="1">
          <reference field="4294967294" count="9">
            <x v="0"/>
            <x v="1"/>
            <x v="2"/>
            <x v="3"/>
            <x v="4"/>
            <x v="5"/>
            <x v="6"/>
            <x v="7"/>
            <x v="8"/>
          </reference>
        </references>
      </pivotArea>
    </format>
    <format dxfId="127">
      <pivotArea field="2" type="button" dataOnly="0" labelOnly="1" outline="0" axis="axisRow" fieldPosition="0"/>
    </format>
    <format dxfId="126">
      <pivotArea field="3" type="button" dataOnly="0" labelOnly="1" outline="0" axis="axisRow" fieldPosition="1"/>
    </format>
    <format dxfId="125">
      <pivotArea field="0" type="button" dataOnly="0" labelOnly="1" outline="0" axis="axisRow" fieldPosition="2"/>
    </format>
    <format dxfId="124">
      <pivotArea field="1" type="button" dataOnly="0" labelOnly="1" outline="0" axis="axisRow" fieldPosition="3"/>
    </format>
    <format dxfId="123">
      <pivotArea dataOnly="0" labelOnly="1" outline="0" fieldPosition="0">
        <references count="1">
          <reference field="4294967294" count="9">
            <x v="0"/>
            <x v="1"/>
            <x v="2"/>
            <x v="3"/>
            <x v="4"/>
            <x v="5"/>
            <x v="6"/>
            <x v="7"/>
            <x v="8"/>
          </reference>
        </references>
      </pivotArea>
    </format>
    <format dxfId="122">
      <pivotArea type="all" dataOnly="0" outline="0" fieldPosition="0"/>
    </format>
    <format dxfId="121">
      <pivotArea outline="0" collapsedLevelsAreSubtotals="1" fieldPosition="0"/>
    </format>
    <format dxfId="120">
      <pivotArea field="2" type="button" dataOnly="0" labelOnly="1" outline="0" axis="axisRow" fieldPosition="0"/>
    </format>
    <format dxfId="119">
      <pivotArea field="3" type="button" dataOnly="0" labelOnly="1" outline="0" axis="axisRow" fieldPosition="1"/>
    </format>
    <format dxfId="118">
      <pivotArea field="0" type="button" dataOnly="0" labelOnly="1" outline="0" axis="axisRow" fieldPosition="2"/>
    </format>
    <format dxfId="117">
      <pivotArea field="1" type="button" dataOnly="0" labelOnly="1" outline="0" axis="axisRow" fieldPosition="3"/>
    </format>
    <format dxfId="116">
      <pivotArea dataOnly="0" labelOnly="1" outline="0" fieldPosition="0">
        <references count="1">
          <reference field="2" count="0"/>
        </references>
      </pivotArea>
    </format>
    <format dxfId="115">
      <pivotArea dataOnly="0" labelOnly="1" outline="0" fieldPosition="0">
        <references count="1">
          <reference field="2" count="0" defaultSubtotal="1"/>
        </references>
      </pivotArea>
    </format>
    <format dxfId="114">
      <pivotArea dataOnly="0" labelOnly="1" grandRow="1" outline="0" fieldPosition="0"/>
    </format>
    <format dxfId="113">
      <pivotArea dataOnly="0" labelOnly="1" outline="0" fieldPosition="0">
        <references count="2">
          <reference field="2" count="0" selected="0"/>
          <reference field="3" count="0"/>
        </references>
      </pivotArea>
    </format>
    <format dxfId="112">
      <pivotArea dataOnly="0" labelOnly="1" outline="0" fieldPosition="0">
        <references count="2">
          <reference field="2" count="0" selected="0"/>
          <reference field="3" count="0" defaultSubtotal="1"/>
        </references>
      </pivotArea>
    </format>
    <format dxfId="111">
      <pivotArea dataOnly="0" labelOnly="1" outline="0" fieldPosition="0">
        <references count="3">
          <reference field="0" count="0"/>
          <reference field="2" count="0" selected="0"/>
          <reference field="3" count="0" selected="0"/>
        </references>
      </pivotArea>
    </format>
    <format dxfId="110">
      <pivotArea dataOnly="0" labelOnly="1" outline="0" fieldPosition="0">
        <references count="4">
          <reference field="0" count="0" selected="0"/>
          <reference field="1" count="0"/>
          <reference field="2" count="0" selected="0"/>
          <reference field="3" count="0" selected="0"/>
        </references>
      </pivotArea>
    </format>
    <format dxfId="109">
      <pivotArea dataOnly="0" labelOnly="1" outline="0" fieldPosition="0">
        <references count="1">
          <reference field="4294967294" count="9">
            <x v="0"/>
            <x v="1"/>
            <x v="2"/>
            <x v="3"/>
            <x v="4"/>
            <x v="5"/>
            <x v="6"/>
            <x v="7"/>
            <x v="8"/>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ClassCode" xr10:uid="{B07B64EE-C870-4B22-BCB9-2C1A14283BBF}" sourceName="FixedAssetClassCode">
  <pivotTables>
    <pivotTable tabId="7" name="PivotTable2"/>
  </pivotTables>
  <data>
    <tabular pivotCacheId="1718576882" showMissing="0">
      <items count="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SubclassCode" xr10:uid="{128295C9-4F2E-4B2A-A8A1-D7BB7F103340}" sourceName="FixedAssetSubclassCode">
  <pivotTables>
    <pivotTable tabId="7" name="PivotTable2"/>
  </pivotTables>
  <data>
    <tabular pivotCacheId="1718576882" showMissing="0">
      <items count="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edAsset" xr10:uid="{3B5200E6-D35C-4159-A851-B840A6AF2986}" sourceName="BudgetedAsset">
  <pivotTables>
    <pivotTable tabId="7" name="PivotTable2"/>
  </pivotTables>
  <data>
    <tabular pivotCacheId="1718576882" showMissing="0">
      <items count="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LocationCode" xr10:uid="{57AD777C-B8AC-4082-A4DA-2BB02C6C6B18}" sourceName="FixedAssetLocationCode">
  <pivotTables>
    <pivotTable tabId="7" name="PivotTable2"/>
  </pivotTables>
  <data>
    <tabular pivotCacheId="1718576882" showMissing="0">
      <items count="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ClassCode1" xr10:uid="{7F5F7654-9A15-439A-AF14-A24A35E62E07}" sourceName="FixedAssetClassCode">
  <pivotTables>
    <pivotTable tabId="10" name="PivotTable2"/>
  </pivotTables>
  <data>
    <tabular pivotCacheId="1409078130" showMissing="0">
      <items count="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SubclassCode1" xr10:uid="{2C9F0835-2078-442B-9BA3-5E41FC9F0488}" sourceName="FixedAssetSubclassCode">
  <pivotTables>
    <pivotTable tabId="10" name="PivotTable2"/>
  </pivotTables>
  <data>
    <tabular pivotCacheId="1409078130" showMissing="0">
      <items count="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AssetLocationCode1" xr10:uid="{A81B5FFF-9A5C-46A5-B64C-D95DBEA0ADE8}" sourceName="FixedAssetLocationCode">
  <pivotTables>
    <pivotTable tabId="10" name="PivotTable2"/>
  </pivotTables>
  <data>
    <tabular pivotCacheId="1409078130" showMissing="0">
      <items count="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edAsset1" xr10:uid="{178E14CA-5E3F-4CEE-90F3-946DA623719A}" sourceName="BudgetedAsset">
  <pivotTables>
    <pivotTable tabId="10" name="PivotTable2"/>
  </pivotTables>
  <data>
    <tabular pivotCacheId="1409078130" showMissing="0">
      <items count="1">
        <i x="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obalDimension1Code" xr10:uid="{D392ACDE-D519-4466-936F-ABD2BE5E403E}" sourceName="GlobalDimension1Code">
  <pivotTables>
    <pivotTable tabId="10" name="PivotTable2"/>
  </pivotTables>
  <data>
    <tabular pivotCacheId="1409078130" showMissing="0">
      <items count="1">
        <i x="0"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obalDimension2Code" xr10:uid="{1E9F734F-6546-48AA-8D9A-27A3B4EB2CB2}" sourceName="GlobalDimension2Code">
  <pivotTables>
    <pivotTable tabId="10" name="PivotTable2"/>
  </pivotTables>
  <data>
    <tabular pivotCacheId="1409078130" showMissing="0">
      <items count="1">
        <i x="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obalDimension1Code1" xr10:uid="{1E64A015-9799-48D2-8329-5CFC939FACE6}" sourceName="GlobalDimension1Code">
  <pivotTables>
    <pivotTable tabId="7" name="PivotTable2"/>
  </pivotTables>
  <data>
    <tabular pivotCacheId="1718576882" showMissing="0">
      <items count="1">
        <i x="0"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obalDimension2Code1" xr10:uid="{9B918DDF-A91D-4DC3-A181-9B94463D0613}" sourceName="GlobalDimension2Code">
  <pivotTables>
    <pivotTable tabId="7" name="PivotTable2"/>
  </pivotTables>
  <data>
    <tabular pivotCacheId="1718576882" showMissing="0">
      <items count="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xedAssetClassCode$" xr10:uid="{4BB727C3-A758-4D9B-B433-656D92FD11B6}" cache="Slicer_FixedAssetClassCode" caption="$FixedAssetClassCode$" rowHeight="246591"/>
  <slicer name="$FixedAssetSubclassCode$" xr10:uid="{8CAF4AF5-5CAE-43EA-936A-F4195D6EBEC0}" cache="Slicer_FixedAssetSubclassCode" caption="$FixedAssetSubclassCode$" rowHeight="246591"/>
  <slicer name="BudgetedAsset" xr10:uid="{92380455-6015-4593-B77A-E2B38EB6CE63}" cache="Slicer_BudgetedAsset" caption="$BudgetedAsset$" rowHeight="246591"/>
  <slicer name="FixedAssetLocationCode" xr10:uid="{CFF75A13-8388-4A26-8347-39A735E1FC2F}" cache="Slicer_FixedAssetLocationCode" caption="$FixedAssetLocationCode$" rowHeight="246591"/>
  <slicer name="GlobalDimension1Code 1" xr10:uid="{63D385B1-B8AC-4CB5-BE40-189512538636}" cache="Slicer_GlobalDimension1Code1" caption="$GlobalDimension1Code$" rowHeight="246591"/>
  <slicer name="GlobalDimension2Code 1" xr10:uid="{96F7DE88-3660-4753-BF51-BBF835665425}" cache="Slicer_GlobalDimension2Code1" caption="$GlobalDimension2Code$" rowHeight="24659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xedAssetClassCode$ 1" xr10:uid="{E501DA54-E9C9-4D12-A7CF-9CC7F0AB4B37}" cache="Slicer_FixedAssetClassCode1" caption="$FixedAssetClassCode$" rowHeight="246591"/>
  <slicer name="$FixedAssetSubclassCode$ 1" xr10:uid="{C6845E6F-2FF2-4B4E-8D32-594461CE853C}" cache="Slicer_FixedAssetSubclassCode1" caption="$FixedAssetSubclassCode$" rowHeight="246591"/>
  <slicer name="FixedAssetLocationCode 1" xr10:uid="{985CD514-395A-4955-9CEB-EC5B0C792083}" cache="Slicer_FixedAssetLocationCode1" caption="$FixedAssetLocationCode$" rowHeight="246591"/>
  <slicer name="BudgetedAsset 1" xr10:uid="{8BCCD902-C511-4FBD-9FF9-13DAA11752C0}" cache="Slicer_BudgetedAsset1" caption="$BudgetedAsset$" rowHeight="246591"/>
  <slicer name="GlobalDimension1Code" xr10:uid="{8F5BE7E9-CF1E-4F3D-9607-3C5B975B4FDB}" cache="Slicer_GlobalDimension1Code" caption="$GlobalDimension1Code$" rowHeight="246591"/>
  <slicer name="GlobalDimension2Code" xr10:uid="{C392C62F-A0F1-40F7-A99A-AD701D062529}" cache="Slicer_GlobalDimension2Code" caption="$GlobalDimension2Code$" rowHeight="24659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31" totalsRowShown="0">
  <autoFilter ref="A1:B31" xr:uid="{EF02A179-C226-4470-BF2E-AC1BEBC8C0D4}"/>
  <tableColumns count="2">
    <tableColumn id="1" xr3:uid="{00000000-0010-0000-0100-000001000000}" name="Caption"/>
    <tableColumn id="2" xr3:uid="{00000000-0010-0000-0100-000002000000}" name="Value"/>
  </tableColumns>
  <tableStyleInfo name="Business Central Reports Table Style (Template)" showFirstColumn="0" showLastColumn="0" showRowStripes="1" showColumnStripes="0"/>
</table>
</file>

<file path=xl/tables/table2.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5" name="FixedAssetData" displayName="FixedAssetData" ref="A1:O2" insertRow="1" totalsRowShown="0" headerRowDxfId="108" dataDxfId="107" xr:uid="{FF753DCC-0195-4965-9428-64C93A0FBD7A}" mc:Ignorable="xr xr3">
  <x:autoFilter ref="A1:O2" xr:uid="{FF753DCC-0195-4965-9428-64C93A0FBD7A}"/>
  <x:tableColumns count="15">
    <x:tableColumn id="1" name="FixedAssetPostingTypeNumber" dataDxfId="106" xr3:uid="{BB724618-0C06-4B17-86F5-AF5A7955BE16}"/>
    <x:tableColumn id="2" name="FixedAssetPostingTypeName" dataDxfId="105" xr3:uid="{64440C09-B4D6-4B19-BF16-5F4E69114404}"/>
    <x:tableColumn id="3" name="BeforeStartingDate" dataDxfId="104" xr3:uid="{41194416-A3A9-4CDF-93EA-0546B745562B}"/>
    <x:tableColumn id="4" name="AtEndingDate" dataDxfId="103" xr3:uid="{ACBC4539-DDAC-4F86-B1AA-0EF5622D35E3}"/>
    <x:tableColumn id="5" name="NetChange" dataDxfId="102" xr3:uid="{531FF9B9-5E37-4B76-8D5C-4DC89DA92944}"/>
    <x:tableColumn id="6" name="AssetNumber" dataDxfId="101" xr3:uid="{2608504A-F084-4D8D-BB26-9C0552CE6821}"/>
    <x:tableColumn id="7" name="AssetDescription" dataDxfId="100" xr3:uid="{DF54F312-8F38-4A23-AC17-33B73D568E17}"/>
    <x:tableColumn id="8" name="FixedAssetClassCode" dataDxfId="99" xr3:uid="{98A1927A-207D-4E0D-B860-A041EBF80F6C}"/>
    <x:tableColumn id="9" name="FixedAssetSubclassCode" dataDxfId="98" xr3:uid="{8B7B4BA3-5CC4-4CC1-9A27-1B2CC1F98EC4}"/>
    <x:tableColumn id="10" name="FixedAssetLocationCode" dataDxfId="97" xr3:uid="{908C60C1-574F-44EF-85B9-01C802CFF2A9}"/>
    <x:tableColumn id="11" name="BudgetedAsset" dataDxfId="96" xr3:uid="{3C1F412D-4620-45BE-AF10-A65BE9BC6181}">
      <x:calculatedColumnFormula>FALSE()</x:calculatedColumnFormula>
    </x:tableColumn>
    <x:tableColumn id="12" name="AcquisitionDateField" dataDxfId="95" xr3:uid="{1FCB446F-6A62-48F6-92BC-13E4390E401F}"/>
    <x:tableColumn id="13" name="DisposalDateField" dataDxfId="94" xr3:uid="{B9297C33-A40D-437C-B123-B0BDF7D80F44}"/>
    <x:tableColumn id="14" name="GlobalDimension1Code" dataDxfId="93" xr3:uid="{6DD0F39A-4567-49E5-9608-CA923A2649A5}"/>
    <x:tableColumn id="15" name="GlobalDimension2Code" dataDxfId="92" xr3:uid="{4B02829C-67B9-4248-A832-04D019F740C8}"/>
  </x:tableColumns>
  <x:tableStyleInfo name="Business Central Reports Table Style (Template)" showFirstColumn="0" showLastColumn="0" showRowStripes="1" showColumnStripes="0"/>
</x: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Business Central Reports Table Style (Templat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91">
  <autoFilter ref="A1:B10" xr:uid="{134EB915-8B19-4838-BDED-CECBACACF4F9}"/>
  <tableColumns count="2">
    <tableColumn id="1" xr3:uid="{00000000-0010-0000-0200-000001000000}" name="Report Property"/>
    <tableColumn id="2" xr3:uid="{00000000-0010-0000-0200-000002000000}" name="Report Property Val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0" totalsRowShown="0" headerRowDxfId="90">
  <autoFilter ref="D1:E10" xr:uid="{1DFF5EE2-2A86-40DE-9DFD-1E96553323F6}"/>
  <tableColumns count="2">
    <tableColumn id="1" xr3:uid="{00000000-0010-0000-0300-000001000000}" name="Request Property"/>
    <tableColumn id="2" xr3:uid="{00000000-0010-0000-0300-000002000000}" name="Reques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7" totalsRowShown="0" headerRowDxfId="89">
  <autoFilter ref="G1:H7" xr:uid="{8D3A40BA-47FA-41F3-82A4-C5BD4909C0B4}"/>
  <tableColumns count="2">
    <tableColumn id="1" xr3:uid="{00000000-0010-0000-0400-000001000000}" name="Request Page Option"/>
    <tableColumn id="2" xr3:uid="{00000000-0010-0000-0400-000002000000}" name="Request Page Option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8">
  <autoFilter ref="J1:K2" xr:uid="{D269260C-C433-478B-84A3-3CB73C333872}"/>
  <tableColumns count="2">
    <tableColumn id="1" xr3:uid="{00000000-0010-0000-0500-000001000000}" name="Filter"/>
    <tableColumn id="2" xr3:uid="{00000000-0010-0000-0500-00000200000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0CA9-B0E5-4E7A-9E45-56D5C445E242}">
  <sheetPr>
    <pageSetUpPr fitToPage="1"/>
  </sheetPr>
  <dimension ref="A2:P10"/>
  <sheetViews>
    <sheetView showGridLines="0" tabSelected="1" workbookViewId="0"/>
  </sheetViews>
  <sheetFormatPr defaultColWidth="9" defaultRowHeight="20.100000000000001" customHeight="1" x14ac:dyDescent="0.3"/>
  <cols>
    <col min="1" max="1" width="9.125" style="28" customWidth="1"/>
    <col min="2" max="2" width="18.25" style="14" customWidth="1"/>
    <col min="3" max="3" width="20" style="14" customWidth="1"/>
    <col min="4" max="4" width="13.375" style="14" customWidth="1"/>
    <col min="5" max="5" width="15.875" style="14" customWidth="1"/>
    <col min="6" max="6" width="8.25" style="14" bestFit="1" customWidth="1"/>
    <col min="7" max="7" width="16.375" style="14" bestFit="1" customWidth="1"/>
    <col min="8" max="8" width="15.875" style="14" customWidth="1"/>
    <col min="9" max="9" width="14.75" style="14" customWidth="1"/>
    <col min="10" max="10" width="13.375" style="14" bestFit="1" customWidth="1"/>
    <col min="11" max="11" width="11.125" style="14" bestFit="1" customWidth="1"/>
    <col min="12" max="12" width="16.125" style="14" customWidth="1"/>
    <col min="13" max="13" width="12.125" style="14" customWidth="1"/>
    <col min="14" max="14" width="16" style="14" customWidth="1"/>
    <col min="15" max="15" width="12.25" style="14" customWidth="1"/>
    <col min="16" max="16" width="19.625" style="14" customWidth="1"/>
    <col min="17" max="17" width="18.625" style="14" customWidth="1"/>
    <col min="18" max="18" width="20.625" style="14" customWidth="1"/>
    <col min="19" max="19" width="14.5" style="14" bestFit="1" customWidth="1"/>
    <col min="20" max="20" width="17.5" style="14" bestFit="1" customWidth="1"/>
    <col min="21" max="21" width="8.625" style="14" customWidth="1"/>
    <col min="22" max="23" width="15.625" style="14" customWidth="1"/>
    <col min="24" max="25" width="14.625" style="14" customWidth="1"/>
    <col min="26" max="26" width="12.625" style="14" customWidth="1"/>
    <col min="27" max="27" width="17.625" style="14" customWidth="1"/>
    <col min="28" max="28" width="14.625" style="14" customWidth="1"/>
    <col min="29" max="29" width="12.625" style="14" bestFit="1" customWidth="1"/>
    <col min="30" max="31" width="15.625" style="14" customWidth="1"/>
    <col min="32" max="32" width="20.375" style="14" bestFit="1" customWidth="1"/>
    <col min="33" max="33" width="23.375" style="14" bestFit="1" customWidth="1"/>
    <col min="34" max="34" width="23.5" style="14" bestFit="1" customWidth="1"/>
    <col min="35" max="35" width="20.375" style="14" bestFit="1" customWidth="1"/>
    <col min="36" max="36" width="15.5" style="14" bestFit="1" customWidth="1"/>
    <col min="37" max="37" width="18.125" style="14" bestFit="1" customWidth="1"/>
    <col min="38" max="38" width="19.125" style="14" bestFit="1" customWidth="1"/>
    <col min="39" max="39" width="14.5" style="14" bestFit="1" customWidth="1"/>
    <col min="40" max="40" width="12.125" style="14" bestFit="1" customWidth="1"/>
    <col min="41" max="43" width="22.875" style="14" bestFit="1" customWidth="1"/>
    <col min="44" max="16384" width="9" style="14"/>
  </cols>
  <sheetData>
    <row r="2" spans="2:16" ht="20.100000000000001" customHeight="1" thickBot="1" x14ac:dyDescent="0.35">
      <c r="B2" s="8" t="s">
        <v>64</v>
      </c>
      <c r="C2" s="15"/>
      <c r="D2" s="15"/>
      <c r="E2" s="15"/>
      <c r="F2" s="15"/>
      <c r="G2" s="15"/>
      <c r="H2" s="15"/>
      <c r="I2" s="15"/>
      <c r="J2" s="15"/>
      <c r="K2" s="15"/>
      <c r="L2" s="15"/>
      <c r="M2" s="15"/>
      <c r="N2" s="15"/>
      <c r="O2" s="15"/>
      <c r="P2" s="10" t="str" cm="1">
        <f t="array" ref="P2">ReportRequest.CompanyName</f>
        <v>Company name Value</v>
      </c>
    </row>
    <row r="3" spans="2:16" ht="20.100000000000001" customHeight="1" thickTop="1" x14ac:dyDescent="0.3"/>
    <row r="4" spans="2:16" ht="20.100000000000001" customHeight="1" x14ac:dyDescent="0.3">
      <c r="B4" s="9" t="str">
        <f>_xlfn.CONCAT(DepreciationBook,": ",DepreciationBookCode)</f>
        <v>Depreciation Book: DepreciationBookCode Value</v>
      </c>
      <c r="C4" s="16"/>
      <c r="D4" s="16"/>
      <c r="E4" s="16"/>
      <c r="F4" s="16"/>
      <c r="G4" s="16"/>
      <c r="H4" s="16"/>
      <c r="I4" s="16"/>
      <c r="J4" s="16"/>
      <c r="K4" s="16"/>
      <c r="L4" s="16"/>
      <c r="M4" s="16"/>
      <c r="O4" s="11" t="e" cm="1">
        <f t="array" ref="O4">Caption.DataRetrieved</f>
        <v>#REF!</v>
      </c>
      <c r="P4" s="29" t="e" cm="1">
        <f t="array" ref="P4">ReportRequest.DateLocal</f>
        <v>#NAME?</v>
      </c>
    </row>
    <row r="6" spans="2:16" ht="20.100000000000001" customHeight="1" x14ac:dyDescent="0.3">
      <c r="B6" s="9" t="str">
        <f>Period &amp; " " &amp; TEXT(StartingDate, "dd/mm/yyyy") &amp; " - " &amp; TEXT(EndingDate, "dd/mm/yyyy")</f>
        <v>Period: StartingDate Value - EndingDate Value</v>
      </c>
      <c r="C6" s="9"/>
    </row>
    <row r="8" spans="2:16" ht="20.100000000000001" customHeight="1" x14ac:dyDescent="0.3">
      <c r="B8" s="26" t="s">
        <v>158</v>
      </c>
      <c r="C8" s="26" t="s">
        <v>70</v>
      </c>
      <c r="D8" s="26" t="s">
        <v>66</v>
      </c>
      <c r="E8" s="26" t="s">
        <v>67</v>
      </c>
      <c r="F8" s="26" t="s">
        <v>68</v>
      </c>
      <c r="G8" s="26" t="s">
        <v>69</v>
      </c>
      <c r="H8" s="26" t="s">
        <v>159</v>
      </c>
      <c r="I8" s="26" t="s">
        <v>160</v>
      </c>
      <c r="J8" s="31" t="s">
        <v>141</v>
      </c>
      <c r="K8" s="31" t="s">
        <v>142</v>
      </c>
      <c r="L8" s="26" t="s">
        <v>161</v>
      </c>
      <c r="M8" s="26" t="s">
        <v>162</v>
      </c>
      <c r="N8" s="27" t="s">
        <v>98</v>
      </c>
      <c r="O8" s="27" t="s">
        <v>99</v>
      </c>
      <c r="P8" s="27" t="s">
        <v>100</v>
      </c>
    </row>
    <row r="9" spans="2:16" ht="20.100000000000001" customHeight="1" x14ac:dyDescent="0.3">
      <c r="B9" s="9" t="s">
        <v>151</v>
      </c>
      <c r="C9" s="9" t="s">
        <v>151</v>
      </c>
      <c r="D9" s="9" t="s">
        <v>151</v>
      </c>
      <c r="E9" s="9" t="s">
        <v>151</v>
      </c>
      <c r="F9" s="9" t="s">
        <v>151</v>
      </c>
      <c r="G9" s="9" t="s">
        <v>151</v>
      </c>
      <c r="H9" s="9" t="s">
        <v>143</v>
      </c>
      <c r="I9" s="9" t="s">
        <v>143</v>
      </c>
      <c r="J9" s="17">
        <v>1</v>
      </c>
      <c r="K9" s="17">
        <v>1</v>
      </c>
      <c r="L9" s="9" t="s">
        <v>143</v>
      </c>
      <c r="M9" s="9" t="s">
        <v>143</v>
      </c>
      <c r="N9" s="18">
        <v>0</v>
      </c>
      <c r="O9" s="18">
        <v>0</v>
      </c>
      <c r="P9" s="18">
        <v>0</v>
      </c>
    </row>
    <row r="10" spans="2:16" ht="20.100000000000001" customHeight="1" x14ac:dyDescent="0.3">
      <c r="B10" s="9" t="s">
        <v>63</v>
      </c>
      <c r="C10" s="9"/>
      <c r="D10" s="9"/>
      <c r="E10" s="9"/>
      <c r="F10" s="9"/>
      <c r="G10" s="9"/>
      <c r="H10" s="9"/>
      <c r="I10" s="9"/>
      <c r="J10" s="9"/>
      <c r="K10" s="9"/>
      <c r="L10" s="9"/>
      <c r="M10" s="9"/>
      <c r="N10" s="18">
        <v>0</v>
      </c>
      <c r="O10" s="18">
        <v>0</v>
      </c>
      <c r="P10" s="18">
        <v>0</v>
      </c>
    </row>
  </sheetData>
  <phoneticPr fontId="7" type="noConversion"/>
  <printOptions horizontalCentered="1"/>
  <pageMargins left="0.23622047244094491" right="0.23622047244094491" top="0.74803149606299213" bottom="0.74803149606299213" header="0.31496062992125984" footer="0.31496062992125984"/>
  <pageSetup paperSize="9" scale="58"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3434-30BD-4B67-A814-06C591002756}">
  <sheetPr>
    <pageSetUpPr fitToPage="1"/>
  </sheetPr>
  <dimension ref="A1:J45"/>
  <sheetViews>
    <sheetView showGridLines="0" zoomScaleNormal="100" workbookViewId="0"/>
  </sheetViews>
  <sheetFormatPr defaultColWidth="9" defaultRowHeight="20.100000000000001" customHeight="1" x14ac:dyDescent="0.3"/>
  <cols>
    <col min="1" max="1" width="51.625" style="28" customWidth="1"/>
    <col min="2" max="2" width="27" style="14" bestFit="1" customWidth="1"/>
    <col min="3" max="3" width="24.875" style="14" bestFit="1" customWidth="1"/>
    <col min="4" max="4" width="16" style="14" bestFit="1" customWidth="1"/>
    <col min="5" max="5" width="18.625" style="14" bestFit="1" customWidth="1"/>
    <col min="6" max="6" width="19.75" style="19" bestFit="1" customWidth="1"/>
    <col min="7" max="7" width="18.375" style="19" bestFit="1" customWidth="1"/>
    <col min="8" max="8" width="21.25" style="19" bestFit="1" customWidth="1"/>
    <col min="9" max="9" width="17.25" style="14" bestFit="1" customWidth="1"/>
    <col min="10" max="10" width="15.125" style="14" bestFit="1" customWidth="1"/>
    <col min="11" max="51" width="9" style="14"/>
    <col min="52" max="52" width="8.625" style="14" customWidth="1"/>
    <col min="53" max="16384" width="9" style="14"/>
  </cols>
  <sheetData>
    <row r="1" spans="2:10" ht="20.100000000000001" customHeight="1" x14ac:dyDescent="0.3">
      <c r="B1" s="22" t="s">
        <v>70</v>
      </c>
      <c r="C1" s="12" t="s">
        <v>65</v>
      </c>
      <c r="D1" s="22"/>
      <c r="E1" s="22"/>
      <c r="F1" s="23"/>
      <c r="G1" s="23"/>
      <c r="H1" s="23"/>
      <c r="I1" s="22"/>
      <c r="J1" s="22"/>
    </row>
    <row r="2" spans="2:10" ht="20.100000000000001" customHeight="1" x14ac:dyDescent="0.3">
      <c r="B2" s="22"/>
      <c r="C2" s="22"/>
      <c r="D2" s="22"/>
      <c r="E2" s="22"/>
      <c r="F2" s="23"/>
      <c r="G2" s="23"/>
      <c r="H2" s="24" t="str">
        <f>C1</f>
        <v>(All)</v>
      </c>
      <c r="I2" s="24" t="str">
        <f>C1</f>
        <v>(All)</v>
      </c>
      <c r="J2" s="25" t="str">
        <f>C1</f>
        <v>(All)</v>
      </c>
    </row>
    <row r="3" spans="2:10" ht="20.100000000000001" customHeight="1" x14ac:dyDescent="0.3">
      <c r="B3" s="20" t="s">
        <v>66</v>
      </c>
      <c r="C3" s="20" t="s">
        <v>67</v>
      </c>
      <c r="D3" s="20" t="s">
        <v>68</v>
      </c>
      <c r="E3" s="20" t="s">
        <v>69</v>
      </c>
      <c r="F3" s="20" t="s">
        <v>141</v>
      </c>
      <c r="G3" s="20" t="s">
        <v>142</v>
      </c>
      <c r="H3" s="21" t="s">
        <v>98</v>
      </c>
      <c r="I3" s="21" t="s">
        <v>99</v>
      </c>
      <c r="J3" s="21" t="s">
        <v>100</v>
      </c>
    </row>
    <row r="4" spans="2:10" ht="20.100000000000001" customHeight="1" x14ac:dyDescent="0.3">
      <c r="B4" s="9" t="s">
        <v>143</v>
      </c>
      <c r="C4" s="9" t="s">
        <v>143</v>
      </c>
      <c r="D4" s="9" t="s">
        <v>143</v>
      </c>
      <c r="E4" s="9" t="s">
        <v>143</v>
      </c>
      <c r="F4" s="9" t="s">
        <v>143</v>
      </c>
      <c r="G4" s="9" t="s">
        <v>143</v>
      </c>
      <c r="H4" s="18"/>
      <c r="I4" s="18"/>
      <c r="J4" s="18"/>
    </row>
    <row r="5" spans="2:10" ht="20.100000000000001" customHeight="1" x14ac:dyDescent="0.3">
      <c r="B5" s="9" t="s">
        <v>143</v>
      </c>
      <c r="C5" s="9" t="s">
        <v>144</v>
      </c>
      <c r="D5" s="9"/>
      <c r="E5" s="9"/>
      <c r="F5" s="9"/>
      <c r="G5" s="9"/>
      <c r="H5" s="18"/>
      <c r="I5" s="18"/>
      <c r="J5" s="18"/>
    </row>
    <row r="6" spans="2:10" ht="20.100000000000001" customHeight="1" x14ac:dyDescent="0.3">
      <c r="B6" s="9"/>
      <c r="C6" s="9"/>
      <c r="D6" s="9"/>
      <c r="E6" s="9"/>
      <c r="F6" s="9"/>
      <c r="G6" s="9"/>
      <c r="H6" s="18"/>
      <c r="I6" s="18"/>
      <c r="J6" s="18"/>
    </row>
    <row r="7" spans="2:10" ht="20.100000000000001" customHeight="1" x14ac:dyDescent="0.3">
      <c r="B7" s="9" t="s">
        <v>144</v>
      </c>
      <c r="C7" s="9"/>
      <c r="D7" s="9"/>
      <c r="E7" s="9"/>
      <c r="F7" s="9"/>
      <c r="G7" s="9"/>
      <c r="H7" s="18"/>
      <c r="I7" s="18"/>
      <c r="J7" s="18"/>
    </row>
    <row r="8" spans="2:10" ht="20.100000000000001" customHeight="1" x14ac:dyDescent="0.3">
      <c r="B8" s="9"/>
      <c r="C8" s="9"/>
      <c r="D8" s="9"/>
      <c r="E8" s="9"/>
      <c r="F8" s="9"/>
      <c r="G8" s="9"/>
      <c r="H8" s="18"/>
      <c r="I8" s="18"/>
      <c r="J8" s="18"/>
    </row>
    <row r="9" spans="2:10" ht="20.100000000000001" customHeight="1" x14ac:dyDescent="0.3">
      <c r="B9" s="9" t="s">
        <v>63</v>
      </c>
      <c r="C9" s="9"/>
      <c r="D9" s="9"/>
      <c r="E9" s="9"/>
      <c r="F9" s="9"/>
      <c r="G9" s="9"/>
      <c r="H9" s="18"/>
      <c r="I9" s="18"/>
      <c r="J9" s="18"/>
    </row>
    <row r="15" spans="2:10" ht="20.100000000000001" customHeight="1" x14ac:dyDescent="0.3">
      <c r="F15" s="14"/>
      <c r="G15" s="14"/>
      <c r="H15" s="14"/>
    </row>
    <row r="16" spans="2:10" ht="20.100000000000001" customHeight="1" x14ac:dyDescent="0.3">
      <c r="F16" s="14"/>
      <c r="G16" s="14"/>
      <c r="H16" s="14"/>
    </row>
    <row r="17" spans="1:1" s="14" customFormat="1" ht="20.100000000000001" customHeight="1" x14ac:dyDescent="0.3">
      <c r="A17" s="28"/>
    </row>
    <row r="18" spans="1:1" s="14" customFormat="1" ht="20.100000000000001" customHeight="1" x14ac:dyDescent="0.3">
      <c r="A18" s="28"/>
    </row>
    <row r="19" spans="1:1" s="14" customFormat="1" ht="20.100000000000001" customHeight="1" x14ac:dyDescent="0.3">
      <c r="A19" s="28"/>
    </row>
    <row r="20" spans="1:1" s="14" customFormat="1" ht="20.100000000000001" customHeight="1" x14ac:dyDescent="0.3">
      <c r="A20" s="28"/>
    </row>
    <row r="21" spans="1:1" s="14" customFormat="1" ht="20.100000000000001" customHeight="1" x14ac:dyDescent="0.3">
      <c r="A21" s="28"/>
    </row>
    <row r="22" spans="1:1" s="14" customFormat="1" ht="20.100000000000001" customHeight="1" x14ac:dyDescent="0.3">
      <c r="A22" s="28"/>
    </row>
    <row r="23" spans="1:1" s="14" customFormat="1" ht="20.100000000000001" customHeight="1" x14ac:dyDescent="0.3">
      <c r="A23" s="28"/>
    </row>
    <row r="24" spans="1:1" s="14" customFormat="1" ht="20.100000000000001" customHeight="1" x14ac:dyDescent="0.3">
      <c r="A24" s="28"/>
    </row>
    <row r="25" spans="1:1" s="14" customFormat="1" ht="20.100000000000001" customHeight="1" x14ac:dyDescent="0.3">
      <c r="A25" s="28"/>
    </row>
    <row r="26" spans="1:1" s="14" customFormat="1" ht="20.100000000000001" customHeight="1" x14ac:dyDescent="0.3">
      <c r="A26" s="28"/>
    </row>
    <row r="27" spans="1:1" s="14" customFormat="1" ht="20.100000000000001" customHeight="1" x14ac:dyDescent="0.3">
      <c r="A27" s="28"/>
    </row>
    <row r="28" spans="1:1" s="14" customFormat="1" ht="20.100000000000001" customHeight="1" x14ac:dyDescent="0.3">
      <c r="A28" s="28"/>
    </row>
    <row r="29" spans="1:1" s="14" customFormat="1" ht="20.100000000000001" customHeight="1" x14ac:dyDescent="0.3">
      <c r="A29" s="28"/>
    </row>
    <row r="30" spans="1:1" s="14" customFormat="1" ht="20.100000000000001" customHeight="1" x14ac:dyDescent="0.3">
      <c r="A30" s="28"/>
    </row>
    <row r="31" spans="1:1" s="14" customFormat="1" ht="20.100000000000001" customHeight="1" x14ac:dyDescent="0.3">
      <c r="A31" s="28"/>
    </row>
    <row r="32" spans="1:1" s="14" customFormat="1" ht="20.100000000000001" customHeight="1" x14ac:dyDescent="0.3">
      <c r="A32" s="28"/>
    </row>
    <row r="33" spans="1:1" s="14" customFormat="1" ht="20.100000000000001" customHeight="1" x14ac:dyDescent="0.3">
      <c r="A33" s="28"/>
    </row>
    <row r="34" spans="1:1" s="14" customFormat="1" ht="20.100000000000001" customHeight="1" x14ac:dyDescent="0.3">
      <c r="A34" s="28"/>
    </row>
    <row r="35" spans="1:1" s="14" customFormat="1" ht="20.100000000000001" customHeight="1" x14ac:dyDescent="0.3">
      <c r="A35" s="28"/>
    </row>
    <row r="36" spans="1:1" s="14" customFormat="1" ht="20.100000000000001" customHeight="1" x14ac:dyDescent="0.3">
      <c r="A36" s="28"/>
    </row>
    <row r="37" spans="1:1" s="14" customFormat="1" ht="20.100000000000001" customHeight="1" x14ac:dyDescent="0.3">
      <c r="A37" s="28"/>
    </row>
    <row r="38" spans="1:1" s="14" customFormat="1" ht="20.100000000000001" customHeight="1" x14ac:dyDescent="0.3">
      <c r="A38" s="28"/>
    </row>
    <row r="39" spans="1:1" s="14" customFormat="1" ht="20.100000000000001" customHeight="1" x14ac:dyDescent="0.3">
      <c r="A39" s="28"/>
    </row>
    <row r="40" spans="1:1" s="14" customFormat="1" ht="20.100000000000001" customHeight="1" x14ac:dyDescent="0.3">
      <c r="A40" s="28"/>
    </row>
    <row r="41" spans="1:1" s="14" customFormat="1" ht="20.100000000000001" customHeight="1" x14ac:dyDescent="0.3">
      <c r="A41" s="28"/>
    </row>
    <row r="42" spans="1:1" s="14" customFormat="1" ht="20.100000000000001" customHeight="1" x14ac:dyDescent="0.3">
      <c r="A42" s="28"/>
    </row>
    <row r="43" spans="1:1" s="14" customFormat="1" ht="20.100000000000001" customHeight="1" x14ac:dyDescent="0.3">
      <c r="A43" s="28"/>
    </row>
    <row r="44" spans="1:1" s="14" customFormat="1" ht="20.100000000000001" customHeight="1" x14ac:dyDescent="0.3">
      <c r="A44" s="28"/>
    </row>
    <row r="45" spans="1:1" s="14" customFormat="1" ht="20.100000000000001" customHeight="1" x14ac:dyDescent="0.3">
      <c r="A45" s="28"/>
    </row>
  </sheetData>
  <pageMargins left="0.7" right="0.7" top="0.75" bottom="0.75" header="0.3" footer="0.3"/>
  <pageSetup scale="53" fitToHeight="0"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3204-6DDB-43B7-8A20-A9608311C88A}">
  <dimension ref="A1:N28"/>
  <sheetViews>
    <sheetView showGridLines="0" workbookViewId="0"/>
  </sheetViews>
  <sheetFormatPr defaultColWidth="9" defaultRowHeight="20.100000000000001" customHeight="1" x14ac:dyDescent="0.3"/>
  <cols>
    <col min="1" max="1" width="51.625" style="28" customWidth="1"/>
    <col min="2" max="2" width="20.375" style="14" bestFit="1" customWidth="1"/>
    <col min="3" max="3" width="25.75" style="14" bestFit="1" customWidth="1"/>
    <col min="4" max="4" width="14" style="14" bestFit="1" customWidth="1"/>
    <col min="5" max="5" width="18.375" style="14" bestFit="1" customWidth="1"/>
    <col min="6" max="6" width="20.625" style="19" bestFit="1" customWidth="1"/>
    <col min="7" max="7" width="24.5" style="19" bestFit="1" customWidth="1"/>
    <col min="8" max="8" width="28.625" style="19" bestFit="1" customWidth="1"/>
    <col min="9" max="9" width="19.375" style="19" bestFit="1" customWidth="1"/>
    <col min="10" max="10" width="18.25" style="19" bestFit="1" customWidth="1"/>
    <col min="11" max="11" width="22.25" style="19" bestFit="1" customWidth="1"/>
    <col min="12" max="12" width="17" style="19" bestFit="1" customWidth="1"/>
    <col min="13" max="13" width="16.5" style="19" bestFit="1" customWidth="1"/>
    <col min="14" max="14" width="15.25" style="19" bestFit="1" customWidth="1"/>
    <col min="15" max="15" width="8" style="14" customWidth="1"/>
    <col min="16" max="16384" width="9" style="14"/>
  </cols>
  <sheetData>
    <row r="1" spans="2:14" ht="20.100000000000001" customHeight="1" x14ac:dyDescent="0.3">
      <c r="B1" s="20" t="s">
        <v>66</v>
      </c>
      <c r="C1" s="20" t="s">
        <v>67</v>
      </c>
      <c r="D1" s="20" t="s">
        <v>68</v>
      </c>
      <c r="E1" s="20" t="s">
        <v>69</v>
      </c>
      <c r="F1" s="21" t="s">
        <v>133</v>
      </c>
      <c r="G1" s="21" t="s">
        <v>114</v>
      </c>
      <c r="H1" s="21" t="s">
        <v>115</v>
      </c>
      <c r="I1" s="21" t="s">
        <v>134</v>
      </c>
      <c r="J1" s="21" t="s">
        <v>135</v>
      </c>
      <c r="K1" s="21" t="s">
        <v>116</v>
      </c>
      <c r="L1" s="21" t="s">
        <v>136</v>
      </c>
      <c r="M1" s="21" t="s">
        <v>137</v>
      </c>
      <c r="N1" s="21" t="s">
        <v>138</v>
      </c>
    </row>
    <row r="2" spans="2:14" ht="20.100000000000001" customHeight="1" x14ac:dyDescent="0.3">
      <c r="B2" s="9" t="s">
        <v>143</v>
      </c>
      <c r="C2" s="9" t="s">
        <v>143</v>
      </c>
      <c r="D2" s="9" t="s">
        <v>143</v>
      </c>
      <c r="E2" s="9" t="s">
        <v>143</v>
      </c>
      <c r="F2" s="18"/>
      <c r="G2" s="18"/>
      <c r="H2" s="18"/>
      <c r="I2" s="18"/>
      <c r="J2" s="18"/>
      <c r="K2" s="18"/>
      <c r="L2" s="18"/>
      <c r="M2" s="18"/>
      <c r="N2" s="18"/>
    </row>
    <row r="3" spans="2:14" ht="20.100000000000001" customHeight="1" x14ac:dyDescent="0.3">
      <c r="B3" s="9" t="s">
        <v>143</v>
      </c>
      <c r="C3" s="9" t="s">
        <v>144</v>
      </c>
      <c r="D3" s="9"/>
      <c r="E3" s="9"/>
      <c r="F3" s="18"/>
      <c r="G3" s="18"/>
      <c r="H3" s="18"/>
      <c r="I3" s="18"/>
      <c r="J3" s="18"/>
      <c r="K3" s="18"/>
      <c r="L3" s="18"/>
      <c r="M3" s="18"/>
      <c r="N3" s="18"/>
    </row>
    <row r="4" spans="2:14" ht="20.100000000000001" customHeight="1" x14ac:dyDescent="0.3">
      <c r="B4" s="9"/>
      <c r="C4" s="9"/>
      <c r="D4" s="9"/>
      <c r="E4" s="9"/>
      <c r="F4" s="18"/>
      <c r="G4" s="18"/>
      <c r="H4" s="18"/>
      <c r="I4" s="18"/>
      <c r="J4" s="18"/>
      <c r="K4" s="18"/>
      <c r="L4" s="18"/>
      <c r="M4" s="18"/>
      <c r="N4" s="18"/>
    </row>
    <row r="5" spans="2:14" ht="20.100000000000001" customHeight="1" x14ac:dyDescent="0.3">
      <c r="B5" s="9" t="s">
        <v>144</v>
      </c>
      <c r="C5" s="9"/>
      <c r="D5" s="9"/>
      <c r="E5" s="9"/>
      <c r="F5" s="18"/>
      <c r="G5" s="18"/>
      <c r="H5" s="18"/>
      <c r="I5" s="18"/>
      <c r="J5" s="18"/>
      <c r="K5" s="18"/>
      <c r="L5" s="18"/>
      <c r="M5" s="18"/>
      <c r="N5" s="18"/>
    </row>
    <row r="6" spans="2:14" ht="20.100000000000001" customHeight="1" x14ac:dyDescent="0.3">
      <c r="B6" s="9"/>
      <c r="C6" s="9"/>
      <c r="D6" s="9"/>
      <c r="E6" s="9"/>
      <c r="F6" s="18"/>
      <c r="G6" s="18"/>
      <c r="H6" s="18"/>
      <c r="I6" s="18"/>
      <c r="J6" s="18"/>
      <c r="K6" s="18"/>
      <c r="L6" s="18"/>
      <c r="M6" s="18"/>
      <c r="N6" s="18"/>
    </row>
    <row r="7" spans="2:14" ht="20.100000000000001" customHeight="1" x14ac:dyDescent="0.3">
      <c r="B7" s="9" t="s">
        <v>63</v>
      </c>
      <c r="C7" s="9"/>
      <c r="D7" s="9"/>
      <c r="E7" s="9"/>
      <c r="F7" s="18"/>
      <c r="G7" s="18"/>
      <c r="H7" s="18"/>
      <c r="I7" s="18"/>
      <c r="J7" s="18"/>
      <c r="K7" s="18"/>
      <c r="L7" s="18"/>
      <c r="M7" s="18"/>
      <c r="N7" s="18"/>
    </row>
    <row r="14" spans="2:14" ht="20.100000000000001" customHeight="1" x14ac:dyDescent="0.3">
      <c r="F14" s="14"/>
      <c r="G14" s="14"/>
      <c r="H14" s="14"/>
      <c r="I14" s="14"/>
      <c r="J14" s="14"/>
      <c r="K14" s="14"/>
      <c r="L14" s="14"/>
      <c r="M14" s="14"/>
      <c r="N14" s="14"/>
    </row>
    <row r="15" spans="2:14" ht="20.100000000000001" customHeight="1" x14ac:dyDescent="0.3">
      <c r="F15" s="14"/>
      <c r="G15" s="14"/>
      <c r="H15" s="14"/>
      <c r="I15" s="14"/>
      <c r="J15" s="14"/>
      <c r="K15" s="14"/>
      <c r="L15" s="14"/>
      <c r="M15" s="14"/>
      <c r="N15" s="14"/>
    </row>
    <row r="16" spans="2:14" ht="20.100000000000001" customHeight="1" x14ac:dyDescent="0.3">
      <c r="F16" s="14"/>
      <c r="G16" s="14"/>
      <c r="H16" s="14"/>
      <c r="I16" s="14"/>
      <c r="J16" s="14"/>
      <c r="K16" s="14"/>
      <c r="L16" s="14"/>
      <c r="M16" s="14"/>
      <c r="N16" s="14"/>
    </row>
    <row r="17" spans="1:1" s="14" customFormat="1" ht="20.100000000000001" customHeight="1" x14ac:dyDescent="0.3">
      <c r="A17" s="28"/>
    </row>
    <row r="18" spans="1:1" s="14" customFormat="1" ht="20.100000000000001" customHeight="1" x14ac:dyDescent="0.3">
      <c r="A18" s="28"/>
    </row>
    <row r="19" spans="1:1" s="14" customFormat="1" ht="20.100000000000001" customHeight="1" x14ac:dyDescent="0.3">
      <c r="A19" s="28"/>
    </row>
    <row r="20" spans="1:1" s="14" customFormat="1" ht="20.100000000000001" customHeight="1" x14ac:dyDescent="0.3">
      <c r="A20" s="28"/>
    </row>
    <row r="21" spans="1:1" s="14" customFormat="1" ht="20.100000000000001" customHeight="1" x14ac:dyDescent="0.3">
      <c r="A21" s="28"/>
    </row>
    <row r="22" spans="1:1" s="14" customFormat="1" ht="20.100000000000001" customHeight="1" x14ac:dyDescent="0.3">
      <c r="A22" s="28"/>
    </row>
    <row r="23" spans="1:1" s="14" customFormat="1" ht="20.100000000000001" customHeight="1" x14ac:dyDescent="0.3">
      <c r="A23" s="28"/>
    </row>
    <row r="24" spans="1:1" s="14" customFormat="1" ht="20.100000000000001" customHeight="1" x14ac:dyDescent="0.3">
      <c r="A24" s="28"/>
    </row>
    <row r="25" spans="1:1" s="14" customFormat="1" ht="20.100000000000001" customHeight="1" x14ac:dyDescent="0.3">
      <c r="A25" s="28"/>
    </row>
    <row r="26" spans="1:1" s="14" customFormat="1" ht="20.100000000000001" customHeight="1" x14ac:dyDescent="0.3">
      <c r="A26" s="28"/>
    </row>
    <row r="27" spans="1:1" s="14" customFormat="1" ht="20.100000000000001" customHeight="1" x14ac:dyDescent="0.3">
      <c r="A27" s="28"/>
    </row>
    <row r="28" spans="1:1" s="14" customFormat="1" ht="20.100000000000001" customHeight="1" x14ac:dyDescent="0.3">
      <c r="A28" s="2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31"/>
  <sheetViews>
    <sheetView workbookViewId="0">
      <selection activeCell="A2" sqref="A2"/>
    </sheetView>
  </sheetViews>
  <sheetFormatPr defaultRowHeight="16.5" x14ac:dyDescent="0.3"/>
  <cols>
    <col min="1" max="1" width="25" customWidth="1"/>
    <col min="2" max="2" width="40" customWidth="1"/>
  </cols>
  <sheetData>
    <row r="1" spans="1:2" x14ac:dyDescent="0.3">
      <c r="A1" s="1" t="s">
        <v>3</v>
      </c>
      <c r="B1" s="1" t="s">
        <v>1</v>
      </c>
    </row>
    <row r="2" spans="1:2" x14ac:dyDescent="0.3">
      <c r="A2" t="s">
        <v>29</v>
      </c>
      <c r="B2" t="s">
        <v>30</v>
      </c>
    </row>
    <row r="3" spans="1:2" x14ac:dyDescent="0.3">
      <c r="A3" t="s">
        <v>31</v>
      </c>
      <c r="B3" t="s">
        <v>32</v>
      </c>
    </row>
    <row r="4" spans="1:2" x14ac:dyDescent="0.3">
      <c r="A4" t="s">
        <v>33</v>
      </c>
      <c r="B4" t="s">
        <v>34</v>
      </c>
    </row>
    <row r="5" spans="1:2" x14ac:dyDescent="0.3">
      <c r="A5" t="s">
        <v>35</v>
      </c>
      <c r="B5" t="s">
        <v>36</v>
      </c>
    </row>
    <row r="6" spans="1:2" x14ac:dyDescent="0.3">
      <c r="A6" t="s">
        <v>103</v>
      </c>
      <c r="B6" t="s">
        <v>106</v>
      </c>
    </row>
    <row r="7" spans="1:2" x14ac:dyDescent="0.3">
      <c r="A7" t="s">
        <v>37</v>
      </c>
      <c r="B7" t="s">
        <v>38</v>
      </c>
    </row>
    <row r="8" spans="1:2" x14ac:dyDescent="0.3">
      <c r="A8" t="s">
        <v>139</v>
      </c>
      <c r="B8" t="s">
        <v>145</v>
      </c>
    </row>
    <row r="9" spans="1:2" x14ac:dyDescent="0.3">
      <c r="A9" t="s">
        <v>140</v>
      </c>
      <c r="B9" t="s">
        <v>146</v>
      </c>
    </row>
    <row r="10" spans="1:2" x14ac:dyDescent="0.3">
      <c r="A10" t="s">
        <v>102</v>
      </c>
      <c r="B10" t="s">
        <v>107</v>
      </c>
    </row>
    <row r="11" spans="1:2" x14ac:dyDescent="0.3">
      <c r="A11" t="s">
        <v>39</v>
      </c>
      <c r="B11" t="s">
        <v>40</v>
      </c>
    </row>
    <row r="12" spans="1:2" x14ac:dyDescent="0.3">
      <c r="A12" t="s">
        <v>41</v>
      </c>
      <c r="B12" t="s">
        <v>42</v>
      </c>
    </row>
    <row r="13" spans="1:2" x14ac:dyDescent="0.3">
      <c r="A13" t="s">
        <v>43</v>
      </c>
      <c r="B13" t="s">
        <v>44</v>
      </c>
    </row>
    <row r="14" spans="1:2" x14ac:dyDescent="0.3">
      <c r="A14" t="s">
        <v>45</v>
      </c>
      <c r="B14" t="s">
        <v>46</v>
      </c>
    </row>
    <row r="15" spans="1:2" x14ac:dyDescent="0.3">
      <c r="A15" t="s">
        <v>47</v>
      </c>
      <c r="B15" t="s">
        <v>48</v>
      </c>
    </row>
    <row r="16" spans="1:2" x14ac:dyDescent="0.3">
      <c r="A16" t="s">
        <v>49</v>
      </c>
      <c r="B16" t="s">
        <v>50</v>
      </c>
    </row>
    <row r="17" spans="1:2" x14ac:dyDescent="0.3">
      <c r="A17" t="s">
        <v>71</v>
      </c>
      <c r="B17" t="s">
        <v>72</v>
      </c>
    </row>
    <row r="18" spans="1:2" x14ac:dyDescent="0.3">
      <c r="A18" t="s">
        <v>73</v>
      </c>
      <c r="B18" t="s">
        <v>108</v>
      </c>
    </row>
    <row r="19" spans="1:2" x14ac:dyDescent="0.3">
      <c r="A19" t="s">
        <v>109</v>
      </c>
      <c r="B19" t="s">
        <v>101</v>
      </c>
    </row>
    <row r="20" spans="1:2" x14ac:dyDescent="0.3">
      <c r="A20" t="s">
        <v>110</v>
      </c>
      <c r="B20" t="s">
        <v>111</v>
      </c>
    </row>
    <row r="21" spans="1:2" x14ac:dyDescent="0.3">
      <c r="A21" t="s">
        <v>112</v>
      </c>
      <c r="B21" t="s">
        <v>113</v>
      </c>
    </row>
    <row r="22" spans="1:2" x14ac:dyDescent="0.3">
      <c r="A22" t="s">
        <v>117</v>
      </c>
      <c r="B22" t="s">
        <v>121</v>
      </c>
    </row>
    <row r="23" spans="1:2" x14ac:dyDescent="0.3">
      <c r="A23" t="s">
        <v>127</v>
      </c>
      <c r="B23" t="s">
        <v>128</v>
      </c>
    </row>
    <row r="24" spans="1:2" x14ac:dyDescent="0.3">
      <c r="A24" t="s">
        <v>125</v>
      </c>
      <c r="B24" t="s">
        <v>126</v>
      </c>
    </row>
    <row r="25" spans="1:2" x14ac:dyDescent="0.3">
      <c r="A25" t="s">
        <v>118</v>
      </c>
      <c r="B25" t="s">
        <v>122</v>
      </c>
    </row>
    <row r="26" spans="1:2" x14ac:dyDescent="0.3">
      <c r="A26" t="s">
        <v>119</v>
      </c>
      <c r="B26" t="s">
        <v>123</v>
      </c>
    </row>
    <row r="27" spans="1:2" x14ac:dyDescent="0.3">
      <c r="A27" t="s">
        <v>120</v>
      </c>
      <c r="B27" t="s">
        <v>124</v>
      </c>
    </row>
    <row r="28" spans="1:2" x14ac:dyDescent="0.3">
      <c r="A28" t="s">
        <v>147</v>
      </c>
      <c r="B28" t="s">
        <v>148</v>
      </c>
    </row>
    <row r="29" spans="1:2" x14ac:dyDescent="0.3">
      <c r="A29" t="s">
        <v>149</v>
      </c>
      <c r="B29" t="s">
        <v>150</v>
      </c>
    </row>
    <row r="30" spans="1:2" x14ac:dyDescent="0.3">
      <c r="A30" t="s">
        <v>129</v>
      </c>
      <c r="B30" t="s">
        <v>131</v>
      </c>
    </row>
    <row r="31" spans="1:2" x14ac:dyDescent="0.3">
      <c r="A31" t="s">
        <v>130</v>
      </c>
      <c r="B31" t="s">
        <v>132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D37C-2086-46A9-AEDC-7C915497A907}">
  <dimension ref="A1:B7"/>
  <sheetViews>
    <sheetView showGridLines="0" workbookViewId="0"/>
  </sheetViews>
  <sheetFormatPr defaultColWidth="9" defaultRowHeight="20.100000000000001" customHeight="1" x14ac:dyDescent="0.3"/>
  <cols>
    <col min="1" max="1" width="20.625" style="9" customWidth="1"/>
    <col min="2" max="2" width="25.625" style="9" customWidth="1"/>
    <col min="3" max="16384" width="9" style="9"/>
  </cols>
  <sheetData>
    <row r="1" spans="1:2" ht="20.100000000000001" customHeight="1" x14ac:dyDescent="0.3">
      <c r="A1" s="12" t="s">
        <v>152</v>
      </c>
      <c r="B1" s="13" t="str" cm="1">
        <f t="array" ref="B1">ReportRequest.EnvironmentName</f>
        <v>Environment name Value</v>
      </c>
    </row>
    <row r="2" spans="1:2" ht="20.100000000000001" customHeight="1" x14ac:dyDescent="0.3">
      <c r="A2" s="12" t="s">
        <v>153</v>
      </c>
      <c r="B2" s="13" t="str" cm="1">
        <f t="array" ref="B2">ReportRequest.CompanyName</f>
        <v>Company name Value</v>
      </c>
    </row>
    <row r="3" spans="1:2" ht="20.100000000000001" customHeight="1" x14ac:dyDescent="0.3">
      <c r="A3" s="12" t="s">
        <v>154</v>
      </c>
      <c r="B3" s="13" t="str" cm="1">
        <f t="array" ref="B3">ReportRequest.UserName</f>
        <v>User name Value</v>
      </c>
    </row>
    <row r="4" spans="1:2" ht="20.100000000000001" customHeight="1" x14ac:dyDescent="0.3">
      <c r="A4" s="12" t="s">
        <v>155</v>
      </c>
      <c r="B4" s="30" t="e" cm="1">
        <f t="array" ref="B4">ReportRequest.DateLocal</f>
        <v>#NAME?</v>
      </c>
    </row>
    <row r="5" spans="1:2" ht="20.100000000000001" customHeight="1" x14ac:dyDescent="0.3">
      <c r="A5" s="12"/>
      <c r="B5" s="32" t="e" cm="1">
        <f t="array" ref="B5">ReportRequest.DateLocal</f>
        <v>#NAME?</v>
      </c>
    </row>
    <row r="6" spans="1:2" ht="20.100000000000001" customHeight="1" x14ac:dyDescent="0.3">
      <c r="A6" s="12" t="s">
        <v>156</v>
      </c>
      <c r="B6" s="13" t="e" cm="1">
        <f t="array" ref="B6">ReportMetadata.ObjectCaption</f>
        <v>#NAME?</v>
      </c>
    </row>
    <row r="7" spans="1:2" ht="20.100000000000001" customHeight="1" x14ac:dyDescent="0.3">
      <c r="A7" s="12" t="s">
        <v>157</v>
      </c>
      <c r="B7" s="33" t="str">
        <f>HYPERLINK(_xlfn.CONCAT("https://learn.microsoft.com/dynamics365/business-central/reports/report-",ReportMetadata.ObjectID))</f>
        <v>https://learn.microsoft.com/dynamics365/business-central/reports/report-Object ID Value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6.5" x14ac:dyDescent="0.3"/>
  <cols>
    <col min="1" max="1" width="29" bestFit="1" customWidth="1"/>
    <col min="2" max="2" width="27.125" bestFit="1" customWidth="1"/>
    <col min="3" max="3" width="19.125" bestFit="1" customWidth="1"/>
    <col min="4" max="4" width="14.5" bestFit="1" customWidth="1"/>
    <col min="5" max="5" width="12.125" bestFit="1" customWidth="1"/>
    <col min="6" max="6" width="14" bestFit="1" customWidth="1"/>
    <col min="7" max="7" width="16.875" bestFit="1" customWidth="1"/>
    <col min="8" max="8" width="20.375" bestFit="1" customWidth="1"/>
    <col min="9" max="9" width="23.375" bestFit="1" customWidth="1"/>
    <col min="10" max="10" width="23.5" bestFit="1" customWidth="1"/>
    <col min="11" max="11" width="15.5" bestFit="1" customWidth="1"/>
    <col min="12" max="12" width="20.375" bestFit="1" customWidth="1"/>
    <col min="13" max="13" width="18.125" bestFit="1" customWidth="1"/>
    <col min="14" max="15" width="22.875" bestFit="1" customWidth="1"/>
  </cols>
  <sheetData>
    <row r="1" spans="1:15" x14ac:dyDescent="0.3">
      <c r="A1" t="s">
        <v>102</v>
      </c>
      <c r="B1" t="s">
        <v>39</v>
      </c>
      <c r="C1" t="s">
        <v>60</v>
      </c>
      <c r="D1" t="s">
        <v>61</v>
      </c>
      <c r="E1" t="s">
        <v>62</v>
      </c>
      <c r="F1" t="s">
        <v>29</v>
      </c>
      <c r="G1" t="s">
        <v>31</v>
      </c>
      <c r="H1" t="s">
        <v>33</v>
      </c>
      <c r="I1" t="s">
        <v>35</v>
      </c>
      <c r="J1" t="s">
        <v>103</v>
      </c>
      <c r="K1" t="s">
        <v>37</v>
      </c>
      <c r="L1" t="s">
        <v>104</v>
      </c>
      <c r="M1" t="s">
        <v>105</v>
      </c>
      <c r="N1" s="3" t="s">
        <v>139</v>
      </c>
      <c r="O1" s="3" t="s">
        <v>140</v>
      </c>
    </row>
    <row r="2" spans="1:15" x14ac:dyDescent="0.3">
      <c r="A2" s="4"/>
      <c r="B2" s="5"/>
      <c r="C2" s="6"/>
      <c r="D2" s="6"/>
      <c r="E2" s="6"/>
      <c r="F2" s="5"/>
      <c r="G2" s="5"/>
      <c r="H2" s="5"/>
      <c r="I2" s="5"/>
      <c r="J2" s="5"/>
      <c r="K2" s="4"/>
      <c r="L2" s="7"/>
      <c r="M2" s="7"/>
      <c r="N2" s="5"/>
      <c r="O2" s="5"/>
    </row>
  </sheetData>
  <phoneticPr fontId="7"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G52" sqref="G52"/>
    </sheetView>
  </sheetViews>
  <sheetFormatPr defaultRowHeight="16.5" x14ac:dyDescent="0.3"/>
  <cols>
    <col min="1" max="1" width="17" customWidth="1"/>
    <col min="2" max="2" width="11.375" customWidth="1"/>
  </cols>
  <sheetData>
    <row r="1" spans="1:3" x14ac:dyDescent="0.3">
      <c r="A1" t="s">
        <v>2</v>
      </c>
      <c r="B1" t="s">
        <v>0</v>
      </c>
      <c r="C1" t="s">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C274-7A98-4D57-A620-6AB359E19BF5}">
  <dimension ref="A1:A13"/>
  <sheetViews>
    <sheetView workbookViewId="0">
      <selection activeCell="C27" sqref="C27"/>
    </sheetView>
  </sheetViews>
  <sheetFormatPr defaultRowHeight="16.5" x14ac:dyDescent="0.3"/>
  <cols>
    <col min="1" max="1" width="25.75" bestFit="1" customWidth="1"/>
  </cols>
  <sheetData>
    <row r="1" spans="1:1" x14ac:dyDescent="0.3">
      <c r="A1" t="str">
        <f>_xlfn.XLOOKUP("Company Name", ReportRequestValues[Request Property], ReportRequestValues[Request Property Value])</f>
        <v>Company name Value</v>
      </c>
    </row>
    <row r="2" spans="1:1" x14ac:dyDescent="0.3">
      <c r="A2" s="2" t="str">
        <f>_xlfn.XLOOKUP("Date", ReportRequestValues[Request Property], ReportRequestValues[Request Property Value])</f>
        <v>Date Value</v>
      </c>
    </row>
    <row r="3" spans="1:1" x14ac:dyDescent="0.3">
      <c r="A3" s="2" t="str">
        <f>_xlfn.XLOOKUP("DepreciationBookCode", ReportRequestPageValues[Request Page Option], ReportRequestPageValues[Request Page Option Value])</f>
        <v>DepreciationBookCode Value</v>
      </c>
    </row>
    <row r="4" spans="1:1" x14ac:dyDescent="0.3">
      <c r="A4" s="2" t="str">
        <f>_xlfn.XLOOKUP("StartingDate", ReportRequestPageValues[Request Page Option], ReportRequestPageValues[Request Page Option Value])</f>
        <v>StartingDate Value</v>
      </c>
    </row>
    <row r="5" spans="1:1" x14ac:dyDescent="0.3">
      <c r="A5" s="2" t="str">
        <f>_xlfn.XLOOKUP("EndingDate", ReportRequestPageValues[Request Page Option], ReportRequestPageValues[Request Page Option Value])</f>
        <v>EndingDate Value</v>
      </c>
    </row>
    <row r="6" spans="1:1" x14ac:dyDescent="0.3">
      <c r="A6" s="2" t="str">
        <f>_xlfn.XLOOKUP("DataRetrieved", CaptionData[Caption], CaptionData[Value])</f>
        <v>Data retrieved:</v>
      </c>
    </row>
    <row r="7" spans="1:1" x14ac:dyDescent="0.3">
      <c r="A7" s="2" t="str">
        <f>_xlfn.XLOOKUP("DepreciationBook", CaptionData[Caption], CaptionData[Value])</f>
        <v>Depreciation Book</v>
      </c>
    </row>
    <row r="8" spans="1:1" x14ac:dyDescent="0.3">
      <c r="A8" s="2" t="str">
        <f>_xlfn.XLOOKUP("Period", CaptionData[Caption], CaptionData[Value])</f>
        <v>Period:</v>
      </c>
    </row>
    <row r="9" spans="1:1" x14ac:dyDescent="0.3">
      <c r="A9" s="2"/>
    </row>
    <row r="10" spans="1:1" x14ac:dyDescent="0.3">
      <c r="A10" s="2"/>
    </row>
    <row r="11" spans="1:1" x14ac:dyDescent="0.3">
      <c r="A11" s="2"/>
    </row>
    <row r="12" spans="1:1" x14ac:dyDescent="0.3">
      <c r="A12" s="2"/>
    </row>
    <row r="13" spans="1:1" x14ac:dyDescent="0.3">
      <c r="A1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0"/>
  <sheetViews>
    <sheetView workbookViewId="0">
      <selection activeCell="E12" sqref="E12"/>
    </sheetView>
  </sheetViews>
  <sheetFormatPr defaultRowHeight="16.5" x14ac:dyDescent="0.3"/>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x14ac:dyDescent="0.3">
      <c r="A1" s="1" t="s">
        <v>6</v>
      </c>
      <c r="B1" s="1" t="s">
        <v>7</v>
      </c>
      <c r="C1" s="1" t="s">
        <v>51</v>
      </c>
      <c r="D1" s="1" t="s">
        <v>17</v>
      </c>
      <c r="E1" s="1" t="s">
        <v>18</v>
      </c>
      <c r="F1" s="1" t="s">
        <v>51</v>
      </c>
      <c r="G1" s="1" t="s">
        <v>4</v>
      </c>
      <c r="H1" s="1" t="s">
        <v>5</v>
      </c>
      <c r="I1" s="1" t="s">
        <v>51</v>
      </c>
      <c r="J1" s="1" t="s">
        <v>27</v>
      </c>
      <c r="K1" s="1" t="s">
        <v>28</v>
      </c>
    </row>
    <row r="2" spans="1:11" x14ac:dyDescent="0.3">
      <c r="A2" t="s">
        <v>8</v>
      </c>
      <c r="B2" t="s">
        <v>83</v>
      </c>
      <c r="C2" t="s">
        <v>51</v>
      </c>
      <c r="D2" t="s">
        <v>19</v>
      </c>
      <c r="E2" t="s">
        <v>74</v>
      </c>
      <c r="F2" t="s">
        <v>51</v>
      </c>
      <c r="G2" t="s">
        <v>52</v>
      </c>
      <c r="H2" t="s">
        <v>92</v>
      </c>
      <c r="I2" t="s">
        <v>51</v>
      </c>
      <c r="J2" t="s">
        <v>53</v>
      </c>
      <c r="K2" t="s">
        <v>54</v>
      </c>
    </row>
    <row r="3" spans="1:11" x14ac:dyDescent="0.3">
      <c r="A3" t="s">
        <v>9</v>
      </c>
      <c r="B3" t="s">
        <v>84</v>
      </c>
      <c r="C3" t="s">
        <v>51</v>
      </c>
      <c r="D3" t="s">
        <v>20</v>
      </c>
      <c r="E3" t="s">
        <v>75</v>
      </c>
      <c r="F3" t="s">
        <v>51</v>
      </c>
      <c r="G3" t="s">
        <v>55</v>
      </c>
      <c r="H3" t="s">
        <v>93</v>
      </c>
      <c r="I3" t="s">
        <v>51</v>
      </c>
      <c r="J3" t="s">
        <v>51</v>
      </c>
      <c r="K3" t="s">
        <v>51</v>
      </c>
    </row>
    <row r="4" spans="1:11" x14ac:dyDescent="0.3">
      <c r="A4" t="s">
        <v>10</v>
      </c>
      <c r="B4" t="s">
        <v>85</v>
      </c>
      <c r="C4" t="s">
        <v>51</v>
      </c>
      <c r="D4" t="s">
        <v>21</v>
      </c>
      <c r="E4" t="s">
        <v>76</v>
      </c>
      <c r="F4" t="s">
        <v>51</v>
      </c>
      <c r="G4" t="s">
        <v>56</v>
      </c>
      <c r="H4" t="s">
        <v>94</v>
      </c>
      <c r="I4" t="s">
        <v>51</v>
      </c>
      <c r="J4" t="s">
        <v>51</v>
      </c>
      <c r="K4" t="s">
        <v>51</v>
      </c>
    </row>
    <row r="5" spans="1:11" x14ac:dyDescent="0.3">
      <c r="A5" t="s">
        <v>11</v>
      </c>
      <c r="B5" t="s">
        <v>86</v>
      </c>
      <c r="C5" t="s">
        <v>51</v>
      </c>
      <c r="D5" t="s">
        <v>22</v>
      </c>
      <c r="E5" t="s">
        <v>77</v>
      </c>
      <c r="F5" t="s">
        <v>51</v>
      </c>
      <c r="G5" t="s">
        <v>57</v>
      </c>
      <c r="H5" t="s">
        <v>95</v>
      </c>
      <c r="I5" t="s">
        <v>51</v>
      </c>
      <c r="J5" t="s">
        <v>51</v>
      </c>
      <c r="K5" t="s">
        <v>51</v>
      </c>
    </row>
    <row r="6" spans="1:11" x14ac:dyDescent="0.3">
      <c r="A6" t="s">
        <v>12</v>
      </c>
      <c r="B6" t="s">
        <v>87</v>
      </c>
      <c r="C6" t="s">
        <v>51</v>
      </c>
      <c r="D6" t="s">
        <v>23</v>
      </c>
      <c r="E6" t="s">
        <v>78</v>
      </c>
      <c r="F6" t="s">
        <v>51</v>
      </c>
      <c r="G6" t="s">
        <v>58</v>
      </c>
      <c r="H6" t="s">
        <v>96</v>
      </c>
      <c r="I6" t="s">
        <v>51</v>
      </c>
      <c r="J6" t="s">
        <v>51</v>
      </c>
      <c r="K6" t="s">
        <v>51</v>
      </c>
    </row>
    <row r="7" spans="1:11" x14ac:dyDescent="0.3">
      <c r="A7" t="s">
        <v>13</v>
      </c>
      <c r="B7" t="s">
        <v>88</v>
      </c>
      <c r="C7" t="s">
        <v>51</v>
      </c>
      <c r="D7" t="s">
        <v>24</v>
      </c>
      <c r="E7" t="s">
        <v>79</v>
      </c>
      <c r="F7" t="s">
        <v>51</v>
      </c>
      <c r="G7" t="s">
        <v>59</v>
      </c>
      <c r="H7" t="s">
        <v>97</v>
      </c>
      <c r="I7" t="s">
        <v>51</v>
      </c>
      <c r="J7" t="s">
        <v>51</v>
      </c>
      <c r="K7" t="s">
        <v>51</v>
      </c>
    </row>
    <row r="8" spans="1:11" x14ac:dyDescent="0.3">
      <c r="A8" t="s">
        <v>14</v>
      </c>
      <c r="B8" t="s">
        <v>89</v>
      </c>
      <c r="C8" t="s">
        <v>51</v>
      </c>
      <c r="D8" t="s">
        <v>25</v>
      </c>
      <c r="E8" t="s">
        <v>80</v>
      </c>
      <c r="F8" t="s">
        <v>51</v>
      </c>
      <c r="G8" t="s">
        <v>51</v>
      </c>
      <c r="H8" t="s">
        <v>51</v>
      </c>
      <c r="I8" t="s">
        <v>51</v>
      </c>
      <c r="J8" t="s">
        <v>51</v>
      </c>
      <c r="K8" t="s">
        <v>51</v>
      </c>
    </row>
    <row r="9" spans="1:11" x14ac:dyDescent="0.3">
      <c r="A9" t="s">
        <v>15</v>
      </c>
      <c r="B9" t="s">
        <v>90</v>
      </c>
      <c r="C9" t="s">
        <v>51</v>
      </c>
      <c r="D9" t="s">
        <v>0</v>
      </c>
      <c r="E9" t="s">
        <v>81</v>
      </c>
      <c r="F9" t="s">
        <v>51</v>
      </c>
      <c r="G9" t="s">
        <v>51</v>
      </c>
      <c r="H9" t="s">
        <v>51</v>
      </c>
      <c r="I9" t="s">
        <v>51</v>
      </c>
      <c r="J9" t="s">
        <v>51</v>
      </c>
      <c r="K9" t="s">
        <v>51</v>
      </c>
    </row>
    <row r="10" spans="1:11" x14ac:dyDescent="0.3">
      <c r="A10" t="s">
        <v>16</v>
      </c>
      <c r="B10" t="s">
        <v>91</v>
      </c>
      <c r="C10" t="s">
        <v>51</v>
      </c>
      <c r="D10" t="s">
        <v>26</v>
      </c>
      <c r="E10" t="s">
        <v>82</v>
      </c>
      <c r="F10" t="s">
        <v>51</v>
      </c>
      <c r="G10" t="s">
        <v>51</v>
      </c>
      <c r="H10" t="s">
        <v>51</v>
      </c>
      <c r="I10" t="s">
        <v>51</v>
      </c>
      <c r="J10" t="s">
        <v>51</v>
      </c>
      <c r="K10" t="s">
        <v>51</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7523F1-E19C-4568-ACD0-9BC3528FEA43}">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$FixedAssetAnalysisPrint$</vt:lpstr>
      <vt:lpstr>$FixedAssetAnalysis$</vt:lpstr>
      <vt:lpstr>$BookValue$</vt:lpstr>
      <vt:lpstr>CaptionData</vt:lpstr>
      <vt:lpstr>$AboutTheReportLabel$</vt:lpstr>
      <vt:lpstr>FixedAssetData</vt:lpstr>
      <vt:lpstr>TranslationData</vt:lpstr>
      <vt:lpstr>Metadata</vt:lpstr>
      <vt:lpstr>Aggregated Metadata</vt:lpstr>
      <vt:lpstr>AcquisitionCost</vt:lpstr>
      <vt:lpstr>CompanyName</vt:lpstr>
      <vt:lpstr>DataRetrieved</vt:lpstr>
      <vt:lpstr>Depreciation</vt:lpstr>
      <vt:lpstr>DepreciationBook</vt:lpstr>
      <vt:lpstr>DepreciationBookCode</vt:lpstr>
      <vt:lpstr>EndingDate</vt:lpstr>
      <vt:lpstr>Period</vt:lpstr>
      <vt:lpstr>RetrievedAt</vt:lpstr>
      <vt:lpstr>StartingDate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Williams</cp:lastModifiedBy>
  <cp:lastPrinted>2025-02-13T01:37:46Z</cp:lastPrinted>
  <dcterms:modified xsi:type="dcterms:W3CDTF">2025-06-22T11:43:03Z</dcterms:modified>
</cp:coreProperties>
</file>
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x:workbook xmlns:x15ac="http://schemas.microsoft.com/office/spreadsheetml/2010/11/ac" xmlns:x14="http://schemas.microsoft.com/office/spreadsheetml/2009/9/main"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929"/>
  <x:workbookPr/>
  <mc:AlternateContent xmlns:mc="http://schemas.openxmlformats.org/markup-compatibility/2006">
    <mc:Choice Requires="x15">
      <x15ac:absPath xmlns:x15ac="http://schemas.microsoft.com/office/spreadsheetml/2010/11/ac" url="C:\git\NAV\App\BCApps\src\Apps\W1\ExcelReports\App\ReportLayouts\Excel\Purchase\"/>
    </mc:Choice>
  </mc:AlternateContent>
  <xr:revisionPtr revIDLastSave="0" documentId="13_ncr:1_{6B9A49B6-3D52-4396-A4F0-9839FCE98E2A}" xr6:coauthVersionLast="47" xr6:coauthVersionMax="47" xr10:uidLastSave="{00000000-0000-0000-0000-000000000000}"/>
  <x:bookViews>
    <x:workbookView xWindow="-120" yWindow="-120" windowWidth="29040" windowHeight="15720" xr2:uid="{00000000-000D-0000-FFFF-FFFF00000000}"/>
  </x:bookViews>
  <x:sheets>
    <x:sheet name="$AgedAccountsPayablePrint$" sheetId="18" r:id="rId1"/>
    <x:sheet name="$ByPeriodLCY$" sheetId="11" r:id="rId2"/>
    <x:sheet name="$ByPeriodFCY$" sheetId="14" r:id="rId3"/>
    <x:sheet name="$DueByCurrencies$" sheetId="15" r:id="rId4"/>
    <x:sheet name="$AboutTheReportLabel$" sheetId="20" r:id="rId5"/>
    <x:sheet name="TranslationData" sheetId="2" state="hidden" r:id="rId6"/>
    <x:sheet name="CaptionData" sheetId="3" state="hidden" r:id="rId7"/>
    <x:sheet name="Aggregated Metadata" sheetId="4" state="hidden" r:id="rId8"/>
    <x:sheet name="VendorAgingData_Query" sheetId="10" state="hidden" r:id="rId9"/>
    <x:sheet name="VendorAgingData" sheetId="5" state="hidden" r:id="rId10"/>
    <x:sheet name="Dimension1" sheetId="6" state="hidden" r:id="rId11"/>
    <x:sheet name="Dimension2" sheetId="7" state="hidden" r:id="rId12"/>
  </x:sheets>
  <x:definedNames>
    <x:definedName name="Caption.Amount2LCY" comment="Use this function to get the Amount2LCY from the CaptionData table in the CaptionData worksheet">_xlfn.XLOOKUP("Amount2LCY",#REF!,#REF!,"none",)</x:definedName>
    <x:definedName name="Caption.AmountLCY" comment="Use this function to get the AmountLCY from the CaptionData table in the CaptionData worksheet">_xlfn.XLOOKUP("AmountLCY",#REF!,#REF!,"none",)</x:definedName>
    <x:definedName name="Caption.CustomerName" comment="Use this function to get the CustomerName from the CaptionData table in the CaptionData worksheet">_xlfn.XLOOKUP("CustomerName",#REF!,#REF!,"none",)</x:definedName>
    <x:definedName name="Caption.CustomerNo" comment="Use this function to get the CustomerNo from the CaptionData table in the CaptionData worksheet">_xlfn.XLOOKUP("CustomerNo",#REF!,#REF!,"none",)</x:definedName>
    <x:definedName name="Caption.DataRetrieved" comment="Use this function to get the DataRetrieved from the CaptionData table in the CaptionData worksheet">_xlfn.XLOOKUP("DataRetrieved",#REF!,#REF!,"none",)</x:definedName>
    <x:definedName name="Caption.DateFilterLabel" comment="Use this function to get the DateFilterLabel from the CaptionData table in the CaptionData worksheet">_xlfn.XLOOKUP("DateFilterLabel",#REF!,#REF!,"none",)</x:definedName>
    <x:definedName name="Caption.RankAccordingTo" comment="Use this function to get the RankAccordingTo from the CaptionData table in the CaptionData worksheet">_xlfn.XLOOKUP("RankAccordingTo",#REF!,#REF!,"none",)</x:definedName>
    <x:definedName name="Caption.TopCustomerListLabel" comment="Use this function to get the TopCustomerListLabel from the CaptionData table in the CaptionData worksheet">_xlfn.XLOOKUP("TopCustomerListLabel",#REF!,#REF!,"none",)</x:definedName>
    <x:definedName name="DataRetrieved">#REF!</x:definedName>
    <x:definedName name="EndingDate">_xlfn.XLOOKUP("EndingDate", ReportRequestPageValues[Request Page Option], ReportRequestPageValues[Request Page Option Value])</x:definedName>
    <x:definedName name="ExternalData_1" localSheetId="8" hidden="1">VendorAgingData_Query!$A$1:$R$2</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ID",#REF!,#REF!,"none",)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_xlfn.XLOOKUP("Company display name",#REF!,#REF!,"none",)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Slicer_CurrencyCode">#N/A</x:definedName>
    <x:definedName name="Slicer_CurrencyCode1">#N/A</x:definedName>
    <x:definedName name="Slicer_Dimension1Code">#N/A</x:definedName>
    <x:definedName name="Slicer_Dimension1Code1">#N/A</x:definedName>
    <x:definedName name="Slicer_Dimension1Code2">#N/A</x:definedName>
    <x:definedName name="Slicer_Dimension2Code">#N/A</x:definedName>
    <x:definedName name="Slicer_Dimension2Code1">#N/A</x:definedName>
    <x:definedName name="Slicer_Dimension2Code2">#N/A</x:definedName>
    <x:definedName name="Slicer_VendorNumber">#N/A</x:definedName>
    <x:definedName name="Slicer_VendorNumber1">#N/A</x:definedName>
    <x:definedName name="Slicer_VendorNumber2">#N/A</x:definedName>
  </x:definedNames>
  <x:calcPr calcId="191029"/>
  <x:pivotCaches>
    <x:pivotCache cacheId="18" r:id="rId13"/>
    <x:pivotCache cacheId="29" r:id="rId14"/>
  </x:pivotCaches>
  <x:extLst>
    <x: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x:ext>
    <x:ext xmlns:x14="http://schemas.microsoft.com/office/spreadsheetml/2009/9/main" uri="{79F54976-1DA5-4618-B147-4CDE4B953A38}">
      <x14:workbookPr/>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B6" i="20" l="1" a="1"/>
  <c r="B6" i="20" s="1"/>
  <c r="B5" i="20" a="1"/>
  <c r="B5" i="20" s="1"/>
  <c r="B4" i="20" a="1"/>
  <c r="B4" i="20" s="1"/>
  <c r="P4" i="18" a="1"/>
  <c r="P4" i="18" s="1"/>
  <c r="B6" i="18" a="1"/>
  <c r="B6" i="18" s="1"/>
  <c r="C6" i="18" a="1"/>
  <c r="C6" i="18" s="1"/>
  <c r="B4" i="18"/>
  <c r="O4" i="18" a="1"/>
  <c r="O4" i="18" s="1"/>
  <c r="B7" i="20"/>
  <c r="B3" i="20" a="1"/>
  <c r="B3" i="20" s="1"/>
  <c r="B2" i="20" a="1"/>
  <c r="B2" i="20" s="1"/>
  <c r="B1" i="20" a="1"/>
  <c r="B1" i="20" s="1"/>
  <c r="P2" i="18" a="1"/>
  <c r="P2"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D9D226-D72E-4B8B-85E1-74E97B163473}" keepAlive="1" name="Query - VendorAgingDataAnalysis" description="Connection to the 'VendorAgingDataAnalysis' query in the workbook." type="5" refreshedVersion="8" refreshOnLoad="1" saveData="1">
    <dbPr connection="Provider=Microsoft.Mashup.OleDb.1;Data Source=$Workbook$;Location=VendorAgingDataAnalysis;Extended Properties=&quot;&quot;" command="SELECT * FROM [VendorAgingDataAnalysis]"/>
  </connection>
  <connection id="2" xr16:uid="{57548ACF-A692-4313-9FAB-E0ECE036621D}" keepAlive="1" name="Query - VendorAgingDataPrint" description="Connection to the 'VendorAgingDataPrint' query in the workbook." type="5" refreshedVersion="8" refreshOnLoad="1" saveData="1">
    <dbPr connection="Provider=Microsoft.Mashup.OleDb.1;Data Source=$Workbook$;Location=VendorAgingDataPrint;Extended Properties=&quot;&quot;" command="SELECT * FROM [VendorAgingDataPrin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<sst xmlns="http://schemas.openxmlformats.org/spreadsheetml/2006/main" count="264" uniqueCount="161">
  <si>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</si>
  <si>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</si>
  <si>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</si>
  <si>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</si>
  <si>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</si>
  <si>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</si>
  <si>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</si>
  <si>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</si>
  <si>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</si>
  <si>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</si>
  <si>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</si>
  <si>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</si>
  <si>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</si>
  <si>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</si>
  <si>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</si>
  <si>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</si>
  <si>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</si>
  <si>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</si>
  <si>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</si>
  <si>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</si>
  <si>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</si>
  <si>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</si>
  <si>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</si>
  <si>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</si>
  <si>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</si>
  <si>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</si>
  <si>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</si>
  <si>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</si>
  <si>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</si>
  <si>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PeriodStart</t>
  </si>
  <si>
    <t>PeriodEnd</t>
  </si>
  <si>
    <t>RemainingAmount</t>
  </si>
  <si>
    <t>OriginalAmount</t>
  </si>
  <si>
    <t>RemainingAmountLCY</t>
  </si>
  <si>
    <t>OriginalAmountLCY</t>
  </si>
  <si>
    <t>Dimension1Code</t>
  </si>
  <si>
    <t>Dimension2Code</t>
  </si>
  <si>
    <t>CurrencyCode</t>
  </si>
  <si>
    <t>PostingDate</t>
  </si>
  <si>
    <t>DocumentDate</t>
  </si>
  <si>
    <t>DueDate</t>
  </si>
  <si>
    <t>EntryNo</t>
  </si>
  <si>
    <t>VendorNumber</t>
  </si>
  <si>
    <t>VendorName</t>
  </si>
  <si>
    <t/>
  </si>
  <si>
    <t>Dim1Code</t>
  </si>
  <si>
    <t>Dim1Name</t>
  </si>
  <si>
    <t>Dim2Code</t>
  </si>
  <si>
    <t>Dim2Name</t>
  </si>
  <si>
    <t>Grand Total</t>
  </si>
  <si>
    <t>Qtr1</t>
  </si>
  <si>
    <t>$VendorNumber$</t>
  </si>
  <si>
    <t>$VendorName$</t>
  </si>
  <si>
    <t>$OpenAmountsInFCY$</t>
  </si>
  <si>
    <t>$OpenByFCY$</t>
  </si>
  <si>
    <t>1900</t>
  </si>
  <si>
    <t>Jan</t>
  </si>
  <si>
    <t>$CurrencyCodeDisplay$</t>
  </si>
  <si>
    <t>ReportingDate</t>
  </si>
  <si>
    <t>ReportingDate_Month</t>
  </si>
  <si>
    <t>ReportingDate_Quarter</t>
  </si>
  <si>
    <t>ReportingDate_Year</t>
  </si>
  <si>
    <t>$ReportingDate$</t>
  </si>
  <si>
    <t>$ReportingDate_Year$</t>
  </si>
  <si>
    <t>$ReportingDate_Quarter$</t>
  </si>
  <si>
    <t>$ReportingDate_Month$</t>
  </si>
  <si>
    <t>BLANK</t>
  </si>
  <si>
    <t>(blank)</t>
  </si>
  <si>
    <t>$DueDate$</t>
  </si>
  <si>
    <t>$DueDateQuarter$</t>
  </si>
  <si>
    <t>$DueDateYear$</t>
  </si>
  <si>
    <t>$DueDateMonth$</t>
  </si>
  <si>
    <t>$AgedAccountsPayable$</t>
  </si>
  <si>
    <t>No.</t>
  </si>
  <si>
    <t>Name</t>
  </si>
  <si>
    <t>Period Start Date</t>
  </si>
  <si>
    <t>Period End Date</t>
  </si>
  <si>
    <t>Remaining Amount</t>
  </si>
  <si>
    <t>Original Amount</t>
  </si>
  <si>
    <t>Remaining Amount (LCY)</t>
  </si>
  <si>
    <t>Original Amount (LCY)</t>
  </si>
  <si>
    <t>Department Code</t>
  </si>
  <si>
    <t>Project Code</t>
  </si>
  <si>
    <t>Posting Date</t>
  </si>
  <si>
    <t>Document Date</t>
  </si>
  <si>
    <t>Due Date</t>
  </si>
  <si>
    <t>Due Date (Month)</t>
  </si>
  <si>
    <t>Due Date (Quarter)</t>
  </si>
  <si>
    <t>Due Date (Year)</t>
  </si>
  <si>
    <t>Entry No.</t>
  </si>
  <si>
    <t>Code</t>
  </si>
  <si>
    <t>ByPeriodLCY</t>
  </si>
  <si>
    <t>By period (LCY)</t>
  </si>
  <si>
    <t>BalanceLCY</t>
  </si>
  <si>
    <t>Balance (LCY)</t>
  </si>
  <si>
    <t>AgedAccountsPayableByPeriodLCY</t>
  </si>
  <si>
    <t>Aged Accounts Payable by Period (LCY)</t>
  </si>
  <si>
    <t>OpenAmountsInLCY</t>
  </si>
  <si>
    <t>Open amounts in LCY</t>
  </si>
  <si>
    <t>ByPeriodFCY</t>
  </si>
  <si>
    <t>By Period (FCY)</t>
  </si>
  <si>
    <t>BalanceFCY</t>
  </si>
  <si>
    <t>Balance (FCY)</t>
  </si>
  <si>
    <t>AgedAccountsPayableByPeriodFCY</t>
  </si>
  <si>
    <t>Aged Accounts Payable by Period (FCY)</t>
  </si>
  <si>
    <t>OpenAmountsInFCY</t>
  </si>
  <si>
    <t>Open amounts in FCY</t>
  </si>
  <si>
    <t>AgedAccountsPayableDueByCurrencyFCY</t>
  </si>
  <si>
    <t>Aged Accounts Payable due by Currency (FCY)</t>
  </si>
  <si>
    <t>DueDateMonth</t>
  </si>
  <si>
    <t>DueDateQuarter</t>
  </si>
  <si>
    <t>DueDateYear</t>
  </si>
  <si>
    <t>PostingDateYear</t>
  </si>
  <si>
    <t>Posting Date (Year)</t>
  </si>
  <si>
    <t>PostingDateMonth</t>
  </si>
  <si>
    <t>Posting Date (Month)</t>
  </si>
  <si>
    <t>PostingDateQuarter</t>
  </si>
  <si>
    <t>Posting Date (Quarter)</t>
  </si>
  <si>
    <t>DocumentDateMonth</t>
  </si>
  <si>
    <t>Document Date (Month)</t>
  </si>
  <si>
    <t>DocumentDateQuarter</t>
  </si>
  <si>
    <t>Document Date (Quarter)</t>
  </si>
  <si>
    <t>DocumentDateYear</t>
  </si>
  <si>
    <t>Document Date (Year)</t>
  </si>
  <si>
    <t>DueByCurrencies</t>
  </si>
  <si>
    <t>Due by Currencies</t>
  </si>
  <si>
    <t>OpenByFCY</t>
  </si>
  <si>
    <t>Open by (FCY)</t>
  </si>
  <si>
    <t>DataRetrieved</t>
  </si>
  <si>
    <t>Data retrieved:</t>
  </si>
  <si>
    <t>CurrencyCodeDisplay</t>
  </si>
  <si>
    <t>Currency Code</t>
  </si>
  <si>
    <t>AgedAsOf</t>
  </si>
  <si>
    <t>Aged as of:</t>
  </si>
  <si>
    <t>AgedAccountsReceivable</t>
  </si>
  <si>
    <t>Aged Accounts Payable</t>
  </si>
  <si>
    <t>AgedBy</t>
  </si>
  <si>
    <t>Aged by:</t>
  </si>
  <si>
    <t>About this report title placeholder</t>
  </si>
  <si>
    <t>Environment name placeholder</t>
  </si>
  <si>
    <t>Company name placeholder</t>
  </si>
  <si>
    <t>User name placeholder</t>
  </si>
  <si>
    <t>Date placeholder</t>
  </si>
  <si>
    <t>Language placeholder</t>
  </si>
  <si>
    <t>Format Region placeholder</t>
  </si>
  <si>
    <t>$EnvironmentLabel$</t>
  </si>
  <si>
    <t>$CompanyLabel$</t>
  </si>
  <si>
    <t>$UserLabel$</t>
  </si>
  <si>
    <t>$RunOnLabel$</t>
  </si>
  <si>
    <t>$ReportNameLabel$</t>
  </si>
  <si>
    <t>$DocumentationLabel$</t>
  </si>
  <si>
    <t>$PeriodStart$</t>
  </si>
  <si>
    <t>$PeriodEnd$</t>
  </si>
  <si>
    <t>$PostingDate$</t>
  </si>
  <si>
    <t>$DocumentDate$</t>
  </si>
  <si>
    <t>$RemainingAmount$</t>
  </si>
  <si>
    <t>$OriginalAmount$</t>
  </si>
  <si>
    <t>$RemainingAmountLCY$</t>
  </si>
  <si>
    <t>$OriginalAmountLCY$</t>
  </si>
  <si>
    <t>DocumentType</t>
  </si>
  <si>
    <t>DocumentNo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</si>
</sst>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5" x14ac:knownFonts="1">
    <font>
      <sz val="10"/>
      <name val="Segoe UI"/>
      <family val="2"/>
      <scheme val="minor"/>
    </font>
    <font>
      <b/>
      <sz val="11"/>
      <name val="Segoe UI"/>
      <family val="2"/>
      <scheme val="minor"/>
    </font>
    <font>
      <sz val="10"/>
      <name val="Segoe UI"/>
      <family val="2"/>
      <scheme val="minor"/>
    </font>
    <font>
      <sz val="10"/>
      <name val="Segoe UI Semibold"/>
      <family val="2"/>
      <scheme val="major"/>
    </font>
    <font>
      <sz val="8"/>
      <name val="Segoe UI"/>
      <family val="2"/>
      <scheme val="minor"/>
    </font>
    <font>
      <sz val="11"/>
      <name val="Segoe UI"/>
      <family val="2"/>
      <scheme val="minor"/>
    </font>
    <font>
      <sz val="10"/>
      <color theme="1"/>
      <name val="Segoe UI"/>
      <family val="2"/>
      <scheme val="minor"/>
    </font>
    <font>
      <b/>
      <sz val="15"/>
      <color theme="1"/>
      <name val="Segoe UI"/>
      <family val="2"/>
      <scheme val="minor"/>
    </font>
    <font>
      <b/>
      <sz val="18"/>
      <color theme="1"/>
      <name val="Segoe UI Semibold"/>
      <family val="2"/>
      <scheme val="major"/>
    </font>
    <font>
      <b/>
      <sz val="13"/>
      <color theme="1"/>
      <name val="Segoe UI"/>
      <family val="2"/>
      <scheme val="minor"/>
    </font>
    <font>
      <b/>
      <sz val="10"/>
      <color theme="1"/>
      <name val="Segoe UI Semibold"/>
      <family val="2"/>
      <scheme val="major"/>
    </font>
    <font>
      <sz val="10"/>
      <color theme="1"/>
      <name val="Segoe UI Semibold"/>
      <family val="2"/>
      <scheme val="major"/>
    </font>
    <font>
      <u/>
      <sz val="10"/>
      <color theme="10"/>
      <name val="Segoe UI"/>
      <family val="2"/>
      <scheme val="minor"/>
    </font>
    <font>
      <sz val="14"/>
      <name val="Segoe UI"/>
      <family val="2"/>
      <scheme val="minor"/>
    </font>
    <font>
      <sz val="10"/>
      <color rgb="FF212121"/>
      <name val="Segoe UI"/>
      <family val="2"/>
      <scheme val="min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2" fillId="0" borderId="0"/>
    <xf numFmtId="0" fontId="7" fillId="0" borderId="1" applyNumberFormat="0" applyFill="0" applyBorder="0" applyAlignment="0" applyProtection="0"/>
    <xf numFmtId="0" fontId="9" fillId="0" borderId="2" applyNumberFormat="0" applyFill="0" applyAlignment="0" applyProtection="0"/>
    <xf numFmtId="0" fontId="5" fillId="0" borderId="0"/>
    <xf numFmtId="0" fontId="12" fillId="0" borderId="0" applyNumberFormat="0" applyFill="0" applyBorder="0" applyAlignment="0" applyProtection="0"/>
  </cellStyleXfs>
  <cellXfs count="31">
    <xf numFmtId="0" fontId="0" fillId="0" borderId="0" xfId="0"/>
    <xf numFmtId="49" fontId="1" fillId="2" borderId="0" xfId="0" applyNumberFormat="1" applyFont="1" applyFill="1"/>
    <xf numFmtId="0" fontId="3" fillId="0" borderId="0" xfId="0" applyFont="1"/>
    <xf numFmtId="14" fontId="0" fillId="0" borderId="0" xfId="0" applyNumberFormat="1"/>
    <xf numFmtId="14" fontId="5" fillId="0" borderId="0" xfId="0" applyNumberFormat="1" applyFont="1"/>
    <xf numFmtId="4" fontId="5" fillId="0" borderId="0" xfId="0" applyNumberFormat="1" applyFont="1"/>
    <xf numFmtId="49" fontId="5" fillId="0" borderId="0" xfId="0" applyNumberFormat="1" applyFont="1"/>
    <xf numFmtId="1" fontId="5" fillId="0" borderId="0" xfId="0" applyNumberFormat="1" applyFont="1"/>
    <xf numFmtId="0" fontId="0" fillId="0" borderId="0" xfId="0" applyAlignment="1">
      <alignment vertical="center"/>
    </xf>
    <xf numFmtId="0" fontId="8" fillId="0" borderId="0" xfId="2" applyFont="1" applyBorder="1" applyAlignment="1">
      <alignment vertical="center"/>
    </xf>
    <xf numFmtId="0" fontId="10" fillId="0" borderId="2" xfId="3" applyFont="1" applyAlignment="1">
      <alignment horizontal="right" vertical="center"/>
    </xf>
    <xf numFmtId="0" fontId="6" fillId="0" borderId="0" xfId="0" applyFont="1" applyAlignment="1">
      <alignment horizontal="right" vertical="center"/>
    </xf>
    <xf numFmtId="4" fontId="0" fillId="0" borderId="0" xfId="0" applyNumberFormat="1" applyAlignment="1">
      <alignment vertical="center"/>
    </xf>
    <xf numFmtId="0" fontId="0" fillId="0" borderId="0" xfId="0" applyAlignment="1">
      <alignment horizontal="right" vertical="center"/>
    </xf>
    <xf numFmtId="14" fontId="0" fillId="0" borderId="0" xfId="0" applyNumberFormat="1" applyAlignment="1">
      <alignment horizontal="right" vertical="center"/>
    </xf>
    <xf numFmtId="0" fontId="2" fillId="0" borderId="0" xfId="1" applyAlignment="1">
      <alignment horizontal="right" vertical="center"/>
    </xf>
    <xf numFmtId="0" fontId="11" fillId="0" borderId="0" xfId="0" applyFont="1" applyAlignment="1">
      <alignment vertical="center"/>
    </xf>
    <xf numFmtId="0" fontId="6" fillId="0" borderId="0" xfId="0" applyFont="1" applyAlignment="1">
      <alignment horizontal="left" vertical="center"/>
    </xf>
    <xf numFmtId="14" fontId="0" fillId="0" borderId="0" xfId="0" applyNumberFormat="1" applyAlignment="1">
      <alignment vertical="center"/>
    </xf>
    <xf numFmtId="0" fontId="13" fillId="0" borderId="0" xfId="0" applyFont="1" applyAlignment="1">
      <alignment vertical="center"/>
    </xf>
    <xf numFmtId="164" fontId="6" fillId="0" borderId="0" xfId="0" applyNumberFormat="1" applyFont="1" applyAlignment="1">
      <alignment horizontal="right" vertical="center"/>
    </xf>
    <xf numFmtId="14" fontId="6" fillId="0" borderId="0" xfId="0" applyNumberFormat="1" applyFont="1" applyAlignment="1">
      <alignment horizontal="left" vertical="center"/>
    </xf>
    <xf numFmtId="164" fontId="6" fillId="0" borderId="0" xfId="0" applyNumberFormat="1" applyFont="1" applyAlignment="1">
      <alignment horizontal="left" vertical="center"/>
    </xf>
    <xf numFmtId="0" fontId="12" fillId="0" borderId="0" xfId="5" applyAlignment="1">
      <alignment horizontal="left" vertical="center"/>
    </xf>
    <xf numFmtId="0" fontId="14" fillId="0" borderId="0" xfId="0" applyFont="1" applyAlignment="1">
      <alignment horizontal="left" vertical="center"/>
    </xf>
    <xf numFmtId="165" fontId="6" fillId="0" borderId="0" xfId="0" applyNumberFormat="1" applyFont="1" applyAlignment="1">
      <alignment horizontal="left" vertical="center"/>
    </xf>
    <xf numFmtId="49" fontId="0" fillId="2" borderId="0" xfId="0" applyNumberFormat="1" applyFont="1" applyFill="1"/>
    <xf numFmtId="0" fontId="3" fillId="0" borderId="0" xfId="0" pivotButton="1" applyFont="1" applyAlignment="1">
      <alignment vertical="center"/>
    </xf>
    <xf numFmtId="0" fontId="3" fillId="0" borderId="0" xfId="0" pivotButton="1"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cellXfs>
  <cellStyles count="6">
    <cellStyle name="Heading 1 2" xfId="2" xr:uid="{F2E5B26A-3FEB-4500-9FC3-325622315C4D}"/>
    <cellStyle name="Heading 2 2" xfId="3" xr:uid="{F5095D2E-ADF9-4C2D-8D91-954A44F4F548}"/>
    <cellStyle name="Hyperlink" xfId="5" builtinId="8"/>
    <cellStyle name="Normal" xfId="0" builtinId="0" customBuiltin="1"/>
    <cellStyle name="Normal 2" xfId="1" xr:uid="{C2298AEC-E29B-411B-AB80-4872A249D197}"/>
    <cellStyle name="Normal 2 2" xfId="4" xr:uid="{77033161-BCED-43C8-8950-53684E433D9A}"/>
  </cellStyles>
  <dxfs count="613">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m/d/yyyy"/>
    </dxf>
    <dxf>
      <numFmt numFmtId="19" formatCode="m/d/yyyy"/>
    </dxf>
    <dxf>
      <numFmt numFmtId="19" formatCode="m/d/yyyy"/>
    </dxf>
    <dxf>
      <numFmt numFmtId="19" formatCode="m/d/yyyy"/>
    </dxf>
    <dxf>
      <numFmt numFmtId="19" formatCode="m/d/yyyy"/>
    </dxf>
    <dxf>
      <numFmt numFmtId="19" formatCode="m/d/yyyy"/>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alignment horizontal="right"/>
    </dxf>
    <dxf>
      <alignment horizontal="right"/>
    </dxf>
    <dxf>
      <alignment horizontal="right"/>
    </dxf>
    <dxf>
      <alignment horizontal="right"/>
    </dxf>
    <dxf>
      <alignment horizontal="right"/>
    </dxf>
    <dxf>
      <alignment horizontal="right"/>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numFmt numFmtId="19" formatCode="m/d/yyyy"/>
    </dxf>
    <dxf>
      <font>
        <b val="0"/>
        <i val="0"/>
        <strike val="0"/>
        <condense val="0"/>
        <extend val="0"/>
        <outline val="0"/>
        <shadow val="0"/>
        <u val="none"/>
        <vertAlign val="baseline"/>
        <sz val="11"/>
        <color auto="1"/>
        <name val="Segoe UI"/>
        <family val="2"/>
        <scheme val="min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Semibold"/>
        <family val="2"/>
        <scheme val="major"/>
      </font>
    </dxf>
    <dxf>
      <font>
        <strike val="0"/>
        <outline val="0"/>
        <shadow val="0"/>
        <u val="none"/>
        <vertAlign val="baseline"/>
        <sz val="11"/>
        <color auto="1"/>
        <name val="Segoe UI Semibold"/>
        <family val="2"/>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numFmt numFmtId="4" formatCode="#,##0.00"/>
    </dxf>
    <dxf>
      <alignment horizontal="right"/>
    </dxf>
    <dxf>
      <alignment horizontal="right"/>
    </dxf>
    <dxf>
      <alignment horizontal="right"/>
    </dxf>
    <dxf>
      <alignment horizontal="right"/>
    </dxf>
    <dxf>
      <alignment horizontal="right"/>
    </dxf>
    <dxf>
      <alignment horizontal="right"/>
    </dxf>
    <dxf>
      <fill>
        <patternFill>
          <bgColor theme="0"/>
        </patternFill>
      </fill>
    </dxf>
    <dxf>
      <fill>
        <patternFill>
          <bgColor theme="2"/>
        </patternFill>
      </fill>
    </dxf>
    <dxf>
      <font>
        <b/>
        <i val="0"/>
      </font>
      <border>
        <top style="thin">
          <color rgb="FF212121"/>
        </top>
        <bottom style="thick">
          <color rgb="FF212121"/>
        </bottom>
      </border>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b val="0"/>
        <i val="0"/>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3" defaultTableStyle="TableStyleMedium2" defaultPivotStyle="Business Central Pivot Table Style (Template)">
    <tableStyle name="Business Central Pivot Table Style (Template)" table="0" count="4" xr9:uid="{F0532A48-D47E-46C0-B201-5B10DD651D49}">
      <tableStyleElement type="wholeTable" dxfId="612"/>
      <tableStyleElement type="headerRow" dxfId="611"/>
      <tableStyleElement type="totalRow" dxfId="610"/>
      <tableStyleElement type="secondRowStripe" dxfId="609"/>
    </tableStyle>
    <tableStyle name="Business Central Reports Slicer Style (Template)" pivot="0" table="0" count="10" xr9:uid="{30F31F16-A5A9-4C32-9775-ECEE0E6E700F}">
      <tableStyleElement type="wholeTable" dxfId="608"/>
      <tableStyleElement type="headerRow" dxfId="607"/>
    </tableStyle>
    <tableStyle name="Business Central Reports Table Style (Template)" pivot="0" count="5" xr9:uid="{ED355973-908A-46D3-8B4B-5C25C693B232}">
      <tableStyleElement type="wholeTable" dxfId="606"/>
      <tableStyleElement type="headerRow" dxfId="605"/>
      <tableStyleElement type="totalRow" dxfId="604"/>
      <tableStyleElement type="firstRowStripe" dxfId="603"/>
      <tableStyleElement type="secondRowStripe" dxfId="602"/>
    </tableStyle>
  </tableStyles>
  <extLst>
    <ext xmlns:x14="http://schemas.microsoft.com/office/spreadsheetml/2009/9/main" uri="{46F421CA-312F-682f-3DD2-61675219B42D}">
      <x14:dxfs count="8">
        <dxf>
          <border diagonalUp="0" diagonalDown="0">
            <left style="thin">
              <color rgb="FF212121"/>
            </left>
            <right style="thin">
              <color rgb="FF212121"/>
            </right>
            <top style="thin">
              <color rgb="FF212121"/>
            </top>
            <bottom style="thin">
              <color rgb="FF212121"/>
            </bottom>
            <vertical/>
            <horizontal/>
          </border>
        </dxf>
        <dxf>
          <border>
            <left style="thin">
              <color rgb="FF212121"/>
            </left>
            <right style="thin">
              <color rgb="FF212121"/>
            </right>
            <top style="thin">
              <color rgb="FF212121"/>
            </top>
            <bottom style="thin">
              <color rgb="FF212121"/>
            </bottom>
          </border>
        </dxf>
        <dxf>
          <border>
            <left style="thin">
              <color rgb="FF212121"/>
            </left>
            <right style="thin">
              <color rgb="FF212121"/>
            </right>
            <top style="thin">
              <color rgb="FF212121"/>
            </top>
            <bottom style="thin">
              <color rgb="FF212121"/>
            </bottom>
          </border>
        </dxf>
        <dxf>
          <border diagonalUp="0" diagonalDown="0">
            <left style="thin">
              <color rgb="FF212121"/>
            </left>
            <right style="thin">
              <color rgb="FF212121"/>
            </right>
            <top style="thin">
              <color rgb="FF212121"/>
            </top>
            <bottom style="thin">
              <color rgb="FF212121"/>
            </bottom>
            <vertical/>
            <horizontal/>
          </border>
        </dxf>
        <dxf>
          <font>
            <b val="0"/>
            <i/>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name val="Segoe UI"/>
            <family val="2"/>
            <scheme val="minor"/>
          </font>
          <fill>
            <patternFill>
              <bgColor rgb="FFF5F7F8"/>
            </patternFill>
          </fill>
        </dxf>
        <dxf>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32"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8.xml"/><Relationship Id="rId27" Type="http://schemas.openxmlformats.org/officeDocument/2006/relationships/connections" Target="connections.xml"/><Relationship Id="rId30"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1811650</xdr:colOff>
      <xdr:row>10</xdr:row>
      <xdr:rowOff>173505</xdr:rowOff>
    </xdr:to>
    <mc:AlternateContent xmlns:mc="http://schemas.openxmlformats.org/markup-compatibility/2006" xmlns:a14="http://schemas.microsoft.com/office/drawing/2010/main">
      <mc:Choice Requires="a14">
        <xdr:graphicFrame macro="">
          <xdr:nvGraphicFramePr>
            <xdr:cNvPr id="2" name="$Dimension1Code$">
              <a:extLst>
                <a:ext uri="{FF2B5EF4-FFF2-40B4-BE49-F238E27FC236}">
                  <a16:creationId xmlns:a16="http://schemas.microsoft.com/office/drawing/2014/main" id="{750014BE-5C77-82A3-9DE7-DEA383150CF1}"/>
                </a:ext>
              </a:extLst>
            </xdr:cNvPr>
            <xdr:cNvGraphicFramePr/>
          </xdr:nvGraphicFramePr>
          <xdr:xfrm>
            <a:off x="0" y="0"/>
            <a:ext cx="0" cy="0"/>
          </xdr:xfrm>
          <a:graphic>
            <a:graphicData uri="http://schemas.microsoft.com/office/drawing/2010/slicer">
              <sle:slicer xmlns:sle="http://schemas.microsoft.com/office/drawing/2010/slicer" name="$Dimension1Code$"/>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1863916</xdr:colOff>
      <xdr:row>0</xdr:row>
      <xdr:rowOff>0</xdr:rowOff>
    </xdr:from>
    <xdr:to>
      <xdr:col>0</xdr:col>
      <xdr:colOff>3681916</xdr:colOff>
      <xdr:row>10</xdr:row>
      <xdr:rowOff>173505</xdr:rowOff>
    </xdr:to>
    <mc:AlternateContent xmlns:mc="http://schemas.openxmlformats.org/markup-compatibility/2006" xmlns:a14="http://schemas.microsoft.com/office/drawing/2010/main">
      <mc:Choice Requires="a14">
        <xdr:graphicFrame macro="">
          <xdr:nvGraphicFramePr>
            <xdr:cNvPr id="3" name="$Dimension2Code$">
              <a:extLst>
                <a:ext uri="{FF2B5EF4-FFF2-40B4-BE49-F238E27FC236}">
                  <a16:creationId xmlns:a16="http://schemas.microsoft.com/office/drawing/2014/main" id="{7B3B6B0F-55F2-FB09-A477-B81FA945B8FC}"/>
                </a:ext>
              </a:extLst>
            </xdr:cNvPr>
            <xdr:cNvGraphicFramePr/>
          </xdr:nvGraphicFramePr>
          <xdr:xfrm>
            <a:off x="0" y="0"/>
            <a:ext cx="0" cy="0"/>
          </xdr:xfrm>
          <a:graphic>
            <a:graphicData uri="http://schemas.microsoft.com/office/drawing/2010/slicer">
              <sle:slicer xmlns:sle="http://schemas.microsoft.com/office/drawing/2010/slicer" name="$Dimension2Code$"/>
            </a:graphicData>
          </a:graphic>
        </xdr:graphicFrame>
      </mc:Choice>
      <mc:Fallback xmlns="">
        <xdr:sp macro="" textlink="">
          <xdr:nvSpPr>
            <xdr:cNvPr id="0" name=""/>
            <xdr:cNvSpPr>
              <a:spLocks noTextEdit="1"/>
            </xdr:cNvSpPr>
          </xdr:nvSpPr>
          <xdr:spPr>
            <a:xfrm>
              <a:off x="1863916"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210199</xdr:rowOff>
    </xdr:from>
    <xdr:to>
      <xdr:col>0</xdr:col>
      <xdr:colOff>1811650</xdr:colOff>
      <xdr:row>21</xdr:row>
      <xdr:rowOff>101129</xdr:rowOff>
    </xdr:to>
    <mc:AlternateContent xmlns:mc="http://schemas.openxmlformats.org/markup-compatibility/2006" xmlns:a14="http://schemas.microsoft.com/office/drawing/2010/main">
      <mc:Choice Requires="a14">
        <xdr:graphicFrame macro="">
          <xdr:nvGraphicFramePr>
            <xdr:cNvPr id="4" name="$VendorNumber$">
              <a:extLst>
                <a:ext uri="{FF2B5EF4-FFF2-40B4-BE49-F238E27FC236}">
                  <a16:creationId xmlns:a16="http://schemas.microsoft.com/office/drawing/2014/main" id="{7B41E6E2-D5BD-43CD-B42A-6428857C4E25}"/>
                </a:ext>
              </a:extLst>
            </xdr:cNvPr>
            <xdr:cNvGraphicFramePr/>
          </xdr:nvGraphicFramePr>
          <xdr:xfrm>
            <a:off x="0" y="0"/>
            <a:ext cx="0" cy="0"/>
          </xdr:xfrm>
          <a:graphic>
            <a:graphicData uri="http://schemas.microsoft.com/office/drawing/2010/slicer">
              <sle:slicer xmlns:sle="http://schemas.microsoft.com/office/drawing/2010/slicer" name="$VendorNumber$"/>
            </a:graphicData>
          </a:graphic>
        </xdr:graphicFrame>
      </mc:Choice>
      <mc:Fallback xmlns="">
        <xdr:sp macro="" textlink="">
          <xdr:nvSpPr>
            <xdr:cNvPr id="0" name=""/>
            <xdr:cNvSpPr>
              <a:spLocks noTextEdit="1"/>
            </xdr:cNvSpPr>
          </xdr:nvSpPr>
          <xdr:spPr>
            <a:xfrm>
              <a:off x="0" y="2649234"/>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1811650</xdr:colOff>
      <xdr:row>10</xdr:row>
      <xdr:rowOff>173505</xdr:rowOff>
    </xdr:to>
    <mc:AlternateContent xmlns:mc="http://schemas.openxmlformats.org/markup-compatibility/2006" xmlns:a14="http://schemas.microsoft.com/office/drawing/2010/main">
      <mc:Choice Requires="a14">
        <xdr:graphicFrame macro="">
          <xdr:nvGraphicFramePr>
            <xdr:cNvPr id="2" name="$Dimension1Code$ 1">
              <a:extLst>
                <a:ext uri="{FF2B5EF4-FFF2-40B4-BE49-F238E27FC236}">
                  <a16:creationId xmlns:a16="http://schemas.microsoft.com/office/drawing/2014/main" id="{FD9782DA-76BD-9103-935E-2D47C29A9AE4}"/>
                </a:ext>
              </a:extLst>
            </xdr:cNvPr>
            <xdr:cNvGraphicFramePr/>
          </xdr:nvGraphicFramePr>
          <xdr:xfrm>
            <a:off x="0" y="0"/>
            <a:ext cx="0" cy="0"/>
          </xdr:xfrm>
          <a:graphic>
            <a:graphicData uri="http://schemas.microsoft.com/office/drawing/2010/slicer">
              <sle:slicer xmlns:sle="http://schemas.microsoft.com/office/drawing/2010/slicer" name="$Dimension1Code$ 1"/>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1890845</xdr:colOff>
      <xdr:row>0</xdr:row>
      <xdr:rowOff>0</xdr:rowOff>
    </xdr:from>
    <xdr:to>
      <xdr:col>0</xdr:col>
      <xdr:colOff>3679635</xdr:colOff>
      <xdr:row>10</xdr:row>
      <xdr:rowOff>173505</xdr:rowOff>
    </xdr:to>
    <mc:AlternateContent xmlns:mc="http://schemas.openxmlformats.org/markup-compatibility/2006" xmlns:a14="http://schemas.microsoft.com/office/drawing/2010/main">
      <mc:Choice Requires="a14">
        <xdr:graphicFrame macro="">
          <xdr:nvGraphicFramePr>
            <xdr:cNvPr id="3" name="$Dimension2Code$ 1">
              <a:extLst>
                <a:ext uri="{FF2B5EF4-FFF2-40B4-BE49-F238E27FC236}">
                  <a16:creationId xmlns:a16="http://schemas.microsoft.com/office/drawing/2014/main" id="{204EACA4-A612-F992-E029-15505813803F}"/>
                </a:ext>
              </a:extLst>
            </xdr:cNvPr>
            <xdr:cNvGraphicFramePr/>
          </xdr:nvGraphicFramePr>
          <xdr:xfrm>
            <a:off x="0" y="0"/>
            <a:ext cx="0" cy="0"/>
          </xdr:xfrm>
          <a:graphic>
            <a:graphicData uri="http://schemas.microsoft.com/office/drawing/2010/slicer">
              <sle:slicer xmlns:sle="http://schemas.microsoft.com/office/drawing/2010/slicer" name="$Dimension2Code$ 1"/>
            </a:graphicData>
          </a:graphic>
        </xdr:graphicFrame>
      </mc:Choice>
      <mc:Fallback xmlns="">
        <xdr:sp macro="" textlink="">
          <xdr:nvSpPr>
            <xdr:cNvPr id="0" name=""/>
            <xdr:cNvSpPr>
              <a:spLocks noTextEdit="1"/>
            </xdr:cNvSpPr>
          </xdr:nvSpPr>
          <xdr:spPr>
            <a:xfrm>
              <a:off x="1874335"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1867985</xdr:colOff>
      <xdr:row>10</xdr:row>
      <xdr:rowOff>210205</xdr:rowOff>
    </xdr:from>
    <xdr:to>
      <xdr:col>0</xdr:col>
      <xdr:colOff>3679635</xdr:colOff>
      <xdr:row>21</xdr:row>
      <xdr:rowOff>101135</xdr:rowOff>
    </xdr:to>
    <mc:AlternateContent xmlns:mc="http://schemas.openxmlformats.org/markup-compatibility/2006" xmlns:a14="http://schemas.microsoft.com/office/drawing/2010/main">
      <mc:Choice Requires="a14">
        <xdr:graphicFrame macro="">
          <xdr:nvGraphicFramePr>
            <xdr:cNvPr id="4" name="$CurrencyCode$">
              <a:extLst>
                <a:ext uri="{FF2B5EF4-FFF2-40B4-BE49-F238E27FC236}">
                  <a16:creationId xmlns:a16="http://schemas.microsoft.com/office/drawing/2014/main" id="{BCD4E862-1119-E603-DBA8-DB8FF9B6B0AF}"/>
                </a:ext>
              </a:extLst>
            </xdr:cNvPr>
            <xdr:cNvGraphicFramePr/>
          </xdr:nvGraphicFramePr>
          <xdr:xfrm>
            <a:off x="0" y="0"/>
            <a:ext cx="0" cy="0"/>
          </xdr:xfrm>
          <a:graphic>
            <a:graphicData uri="http://schemas.microsoft.com/office/drawing/2010/slicer">
              <sle:slicer xmlns:sle="http://schemas.microsoft.com/office/drawing/2010/slicer" name="$CurrencyCode$"/>
            </a:graphicData>
          </a:graphic>
        </xdr:graphicFrame>
      </mc:Choice>
      <mc:Fallback xmlns="">
        <xdr:sp macro="" textlink="">
          <xdr:nvSpPr>
            <xdr:cNvPr id="0" name=""/>
            <xdr:cNvSpPr>
              <a:spLocks noTextEdit="1"/>
            </xdr:cNvSpPr>
          </xdr:nvSpPr>
          <xdr:spPr>
            <a:xfrm>
              <a:off x="1867985" y="265940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210206</xdr:rowOff>
    </xdr:from>
    <xdr:to>
      <xdr:col>0</xdr:col>
      <xdr:colOff>1811650</xdr:colOff>
      <xdr:row>21</xdr:row>
      <xdr:rowOff>101136</xdr:rowOff>
    </xdr:to>
    <mc:AlternateContent xmlns:mc="http://schemas.openxmlformats.org/markup-compatibility/2006" xmlns:a14="http://schemas.microsoft.com/office/drawing/2010/main">
      <mc:Choice Requires="a14">
        <xdr:graphicFrame macro="">
          <xdr:nvGraphicFramePr>
            <xdr:cNvPr id="5" name="$VendorNumber$ 1">
              <a:extLst>
                <a:ext uri="{FF2B5EF4-FFF2-40B4-BE49-F238E27FC236}">
                  <a16:creationId xmlns:a16="http://schemas.microsoft.com/office/drawing/2014/main" id="{6B1FED1D-5FE1-D940-43AC-44182EAE1F17}"/>
                </a:ext>
              </a:extLst>
            </xdr:cNvPr>
            <xdr:cNvGraphicFramePr/>
          </xdr:nvGraphicFramePr>
          <xdr:xfrm>
            <a:off x="0" y="0"/>
            <a:ext cx="0" cy="0"/>
          </xdr:xfrm>
          <a:graphic>
            <a:graphicData uri="http://schemas.microsoft.com/office/drawing/2010/slicer">
              <sle:slicer xmlns:sle="http://schemas.microsoft.com/office/drawing/2010/slicer" name="$VendorNumber$ 1"/>
            </a:graphicData>
          </a:graphic>
        </xdr:graphicFrame>
      </mc:Choice>
      <mc:Fallback xmlns="">
        <xdr:sp macro="" textlink="">
          <xdr:nvSpPr>
            <xdr:cNvPr id="0" name=""/>
            <xdr:cNvSpPr>
              <a:spLocks noTextEdit="1"/>
            </xdr:cNvSpPr>
          </xdr:nvSpPr>
          <xdr:spPr>
            <a:xfrm>
              <a:off x="0" y="265940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1812920</xdr:colOff>
      <xdr:row>10</xdr:row>
      <xdr:rowOff>176045</xdr:rowOff>
    </xdr:to>
    <mc:AlternateContent xmlns:mc="http://schemas.openxmlformats.org/markup-compatibility/2006" xmlns:a14="http://schemas.microsoft.com/office/drawing/2010/main">
      <mc:Choice Requires="a14">
        <xdr:graphicFrame macro="">
          <xdr:nvGraphicFramePr>
            <xdr:cNvPr id="2" name="$Dimension1Code$ 2">
              <a:extLst>
                <a:ext uri="{FF2B5EF4-FFF2-40B4-BE49-F238E27FC236}">
                  <a16:creationId xmlns:a16="http://schemas.microsoft.com/office/drawing/2014/main" id="{5D3A2870-3847-BF02-D6D4-FE92AA9FA0E3}"/>
                </a:ext>
              </a:extLst>
            </xdr:cNvPr>
            <xdr:cNvGraphicFramePr/>
          </xdr:nvGraphicFramePr>
          <xdr:xfrm>
            <a:off x="0" y="0"/>
            <a:ext cx="0" cy="0"/>
          </xdr:xfrm>
          <a:graphic>
            <a:graphicData uri="http://schemas.microsoft.com/office/drawing/2010/slicer">
              <sle:slicer xmlns:sle="http://schemas.microsoft.com/office/drawing/2010/slicer" name="$Dimension1Code$ 2"/>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1870030</xdr:colOff>
      <xdr:row>0</xdr:row>
      <xdr:rowOff>0</xdr:rowOff>
    </xdr:from>
    <xdr:to>
      <xdr:col>0</xdr:col>
      <xdr:colOff>3679140</xdr:colOff>
      <xdr:row>10</xdr:row>
      <xdr:rowOff>176045</xdr:rowOff>
    </xdr:to>
    <mc:AlternateContent xmlns:mc="http://schemas.openxmlformats.org/markup-compatibility/2006" xmlns:a14="http://schemas.microsoft.com/office/drawing/2010/main">
      <mc:Choice Requires="a14">
        <xdr:graphicFrame macro="">
          <xdr:nvGraphicFramePr>
            <xdr:cNvPr id="3" name="$Dimension2Code$ 2">
              <a:extLst>
                <a:ext uri="{FF2B5EF4-FFF2-40B4-BE49-F238E27FC236}">
                  <a16:creationId xmlns:a16="http://schemas.microsoft.com/office/drawing/2014/main" id="{206EBD32-0F3B-438A-34FD-2D7E847F5CE1}"/>
                </a:ext>
              </a:extLst>
            </xdr:cNvPr>
            <xdr:cNvGraphicFramePr/>
          </xdr:nvGraphicFramePr>
          <xdr:xfrm>
            <a:off x="0" y="0"/>
            <a:ext cx="0" cy="0"/>
          </xdr:xfrm>
          <a:graphic>
            <a:graphicData uri="http://schemas.microsoft.com/office/drawing/2010/slicer">
              <sle:slicer xmlns:sle="http://schemas.microsoft.com/office/drawing/2010/slicer" name="$Dimension2Code$ 2"/>
            </a:graphicData>
          </a:graphic>
        </xdr:graphicFrame>
      </mc:Choice>
      <mc:Fallback xmlns="">
        <xdr:sp macro="" textlink="">
          <xdr:nvSpPr>
            <xdr:cNvPr id="0" name=""/>
            <xdr:cNvSpPr>
              <a:spLocks noTextEdit="1"/>
            </xdr:cNvSpPr>
          </xdr:nvSpPr>
          <xdr:spPr>
            <a:xfrm>
              <a:off x="187003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10</xdr:row>
      <xdr:rowOff>212703</xdr:rowOff>
    </xdr:from>
    <xdr:to>
      <xdr:col>0</xdr:col>
      <xdr:colOff>1812920</xdr:colOff>
      <xdr:row>21</xdr:row>
      <xdr:rowOff>98553</xdr:rowOff>
    </xdr:to>
    <mc:AlternateContent xmlns:mc="http://schemas.openxmlformats.org/markup-compatibility/2006" xmlns:a14="http://schemas.microsoft.com/office/drawing/2010/main">
      <mc:Choice Requires="a14">
        <xdr:graphicFrame macro="">
          <xdr:nvGraphicFramePr>
            <xdr:cNvPr id="4" name="$VendorNumber$ 2">
              <a:extLst>
                <a:ext uri="{FF2B5EF4-FFF2-40B4-BE49-F238E27FC236}">
                  <a16:creationId xmlns:a16="http://schemas.microsoft.com/office/drawing/2014/main" id="{306BCDD3-9CB2-3836-F8BF-06D90A03EAF8}"/>
                </a:ext>
              </a:extLst>
            </xdr:cNvPr>
            <xdr:cNvGraphicFramePr/>
          </xdr:nvGraphicFramePr>
          <xdr:xfrm>
            <a:off x="0" y="0"/>
            <a:ext cx="0" cy="0"/>
          </xdr:xfrm>
          <a:graphic>
            <a:graphicData uri="http://schemas.microsoft.com/office/drawing/2010/slicer">
              <sle:slicer xmlns:sle="http://schemas.microsoft.com/office/drawing/2010/slicer" name="$VendorNumber$ 2"/>
            </a:graphicData>
          </a:graphic>
        </xdr:graphicFrame>
      </mc:Choice>
      <mc:Fallback xmlns="">
        <xdr:sp macro="" textlink="">
          <xdr:nvSpPr>
            <xdr:cNvPr id="0" name=""/>
            <xdr:cNvSpPr>
              <a:spLocks noTextEdit="1"/>
            </xdr:cNvSpPr>
          </xdr:nvSpPr>
          <xdr:spPr>
            <a:xfrm>
              <a:off x="0" y="265808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1892143</xdr:colOff>
      <xdr:row>10</xdr:row>
      <xdr:rowOff>212703</xdr:rowOff>
    </xdr:from>
    <xdr:to>
      <xdr:col>0</xdr:col>
      <xdr:colOff>3680933</xdr:colOff>
      <xdr:row>21</xdr:row>
      <xdr:rowOff>98553</xdr:rowOff>
    </xdr:to>
    <mc:AlternateContent xmlns:mc="http://schemas.openxmlformats.org/markup-compatibility/2006" xmlns:a14="http://schemas.microsoft.com/office/drawing/2010/main">
      <mc:Choice Requires="a14">
        <xdr:graphicFrame macro="">
          <xdr:nvGraphicFramePr>
            <xdr:cNvPr id="5" name="$CurrencyCode$ 1">
              <a:extLst>
                <a:ext uri="{FF2B5EF4-FFF2-40B4-BE49-F238E27FC236}">
                  <a16:creationId xmlns:a16="http://schemas.microsoft.com/office/drawing/2014/main" id="{413D9D38-F876-D02C-92DB-24875AC4E7D0}"/>
                </a:ext>
              </a:extLst>
            </xdr:cNvPr>
            <xdr:cNvGraphicFramePr/>
          </xdr:nvGraphicFramePr>
          <xdr:xfrm>
            <a:off x="0" y="0"/>
            <a:ext cx="0" cy="0"/>
          </xdr:xfrm>
          <a:graphic>
            <a:graphicData uri="http://schemas.microsoft.com/office/drawing/2010/slicer">
              <sle:slicer xmlns:sle="http://schemas.microsoft.com/office/drawing/2010/slicer" name="$CurrencyCode$ 1"/>
            </a:graphicData>
          </a:graphic>
        </xdr:graphicFrame>
      </mc:Choice>
      <mc:Fallback xmlns="">
        <xdr:sp macro="" textlink="">
          <xdr:nvSpPr>
            <xdr:cNvPr id="0" name=""/>
            <xdr:cNvSpPr>
              <a:spLocks noTextEdit="1"/>
            </xdr:cNvSpPr>
          </xdr:nvSpPr>
          <xdr:spPr>
            <a:xfrm>
              <a:off x="1874363" y="2658088"/>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eelesh Singhal (Alletec Pty Ltd)" refreshedDate="46119.661841203706" createdVersion="8" refreshedVersion="8" minRefreshableVersion="3" recordCount="1" xr:uid="{03849246-2125-417F-A739-0C3C532D185B}">
  <cacheSource type="external" connectionId="2"/>
  <cacheFields count="19">
    <cacheField name="VendorNumber" numFmtId="0">
      <sharedItems count="1">
        <s v="BLANK"/>
      </sharedItems>
    </cacheField>
    <cacheField name="VendorName" numFmtId="0">
      <sharedItems containsString="0" containsBlank="1" count="1">
        <m/>
      </sharedItems>
    </cacheField>
    <cacheField name="PeriodStart" numFmtId="0">
      <sharedItems containsSemiMixedTypes="0" containsNonDate="0" containsDate="1" containsString="0" minDate="1899-12-31T00:00:00" maxDate="1900-01-01T00:00:00" count="1">
        <d v="1899-12-31T00:00:00"/>
      </sharedItems>
    </cacheField>
    <cacheField name="PeriodEnd" numFmtId="0">
      <sharedItems containsSemiMixedTypes="0" containsNonDate="0" containsDate="1" containsString="0" minDate="1899-12-31T00:00:00" maxDate="1900-01-01T00:00:00" count="1">
        <d v="1899-12-31T00:00:00"/>
      </sharedItems>
    </cacheField>
    <cacheField name="CurrencyCode" numFmtId="0">
      <sharedItems count="1">
        <s v="BLANK"/>
      </sharedItems>
    </cacheField>
    <cacheField name="RemainingAmount" numFmtId="0">
      <sharedItems containsSemiMixedTypes="0" containsString="0" containsNumber="1" containsInteger="1" minValue="0" maxValue="0" count="1">
        <n v="0"/>
      </sharedItems>
    </cacheField>
    <cacheField name="OriginalAmount" numFmtId="0">
      <sharedItems containsSemiMixedTypes="0" containsString="0" containsNumber="1" containsInteger="1" minValue="0" maxValue="0" count="1">
        <n v="0"/>
      </sharedItems>
    </cacheField>
    <cacheField name="RemainingAmountLCY" numFmtId="0">
      <sharedItems containsSemiMixedTypes="0" containsString="0" containsNumber="1" containsInteger="1" minValue="0" maxValue="0" count="1">
        <n v="0"/>
      </sharedItems>
    </cacheField>
    <cacheField name="OriginalAmountLCY" numFmtId="0">
      <sharedItems containsSemiMixedTypes="0" containsString="0" containsNumber="1" containsInteger="1" minValue="0" maxValue="0" count="1">
        <n v="0"/>
      </sharedItems>
    </cacheField>
    <cacheField name="Dimension1Code" numFmtId="0">
      <sharedItems count="1">
        <s v="BLANK"/>
      </sharedItems>
    </cacheField>
    <cacheField name="Dimension2Code" numFmtId="0">
      <sharedItems count="1">
        <s v="BLANK"/>
      </sharedItems>
    </cacheField>
    <cacheField name="PostingDate" numFmtId="0">
      <sharedItems containsSemiMixedTypes="0" containsNonDate="0" containsDate="1" containsString="0" minDate="1899-12-31T00:00:00" maxDate="1900-01-01T00:00:00" count="1">
        <d v="1899-12-31T00:00:00"/>
      </sharedItems>
    </cacheField>
    <cacheField name="DocumentDate" numFmtId="0">
      <sharedItems containsSemiMixedTypes="0" containsNonDate="0" containsDate="1" containsString="0" minDate="1899-12-31T00:00:00" maxDate="1900-01-01T00:00:00" count="1">
        <d v="1899-12-31T00:00:00"/>
      </sharedItems>
    </cacheField>
    <cacheField name="DueDate" numFmtId="0">
      <sharedItems containsSemiMixedTypes="0" containsNonDate="0" containsDate="1" containsString="0" minDate="1899-12-31T00:00:00" maxDate="1900-01-01T00:00:00" count="1">
        <d v="1899-12-31T00:00:00"/>
      </sharedItems>
    </cacheField>
    <cacheField name="ReportingDate_Month" numFmtId="0">
      <sharedItems containsString="0" containsBlank="1" count="1">
        <m/>
      </sharedItems>
    </cacheField>
    <cacheField name="ReportingDate_Quarter" numFmtId="0">
      <sharedItems containsString="0" containsBlank="1" count="1">
        <m/>
      </sharedItems>
    </cacheField>
    <cacheField name="ReportingDate_Year" numFmtId="0">
      <sharedItems containsString="0" containsBlank="1" count="1">
        <m/>
      </sharedItems>
    </cacheField>
    <cacheField name="DocumentType" numFmtId="0">
      <sharedItems containsString="0" containsBlank="1" count="1">
        <m/>
      </sharedItems>
    </cacheField>
    <cacheField name="DocumentNo"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eelesh Singhal (Alletec Pty Ltd)" refreshedDate="46119.661841319445" missingItemsLimit="0" createdVersion="8" refreshedVersion="8" minRefreshableVersion="3" recordCount="1" xr:uid="{39448688-C3CD-4E70-8603-D057C290DD4C}">
  <cacheSource type="worksheet">
    <worksheetSource name="VendorAgingDataAnalysis"/>
  </cacheSource>
  <cacheFields count="27">
    <cacheField name="PeriodStart" numFmtId="14">
      <sharedItems containsSemiMixedTypes="0" containsNonDate="0" containsDate="1" containsString="0" minDate="1899-12-31T00:00:00" maxDate="1900-01-01T00:00:00"/>
    </cacheField>
    <cacheField name="PeriodEnd" numFmtId="14">
      <sharedItems containsSemiMixedTypes="0" containsNonDate="0" containsDate="1" containsString="0" minDate="1899-12-31T00:00:00" maxDate="1900-01-01T00:00:00"/>
    </cacheField>
    <cacheField name="RemainingAmount" numFmtId="0">
      <sharedItems containsSemiMixedTypes="0" containsString="0" containsNumber="1" containsInteger="1" minValue="0" maxValue="0"/>
    </cacheField>
    <cacheField name="OriginalAmount" numFmtId="0">
      <sharedItems containsSemiMixedTypes="0" containsString="0" containsNumber="1" containsInteger="1" minValue="0" maxValue="0"/>
    </cacheField>
    <cacheField name="RemainingAmountLCY" numFmtId="0">
      <sharedItems containsSemiMixedTypes="0" containsString="0" containsNumber="1" containsInteger="1" minValue="0" maxValue="0"/>
    </cacheField>
    <cacheField name="OriginalAmountLCY" numFmtId="0">
      <sharedItems containsSemiMixedTypes="0" containsString="0" containsNumber="1" containsInteger="1" minValue="0" maxValue="0"/>
    </cacheField>
    <cacheField name="Dimension1Code" numFmtId="0">
      <sharedItems count="1">
        <s v="BLANK"/>
      </sharedItems>
    </cacheField>
    <cacheField name="Dimension2Code" numFmtId="0">
      <sharedItems count="1">
        <s v="BLANK"/>
      </sharedItems>
    </cacheField>
    <cacheField name="CurrencyCode" numFmtId="0">
      <sharedItems count="1">
        <s v="BLANK"/>
      </sharedItems>
    </cacheField>
    <cacheField name="PostingDate" numFmtId="14">
      <sharedItems containsSemiMixedTypes="0" containsNonDate="0" containsDate="1" containsString="0" minDate="1899-12-31T00:00:00" maxDate="1900-01-01T00:00:00" count="1">
        <d v="1899-12-31T00:00:00"/>
      </sharedItems>
      <fieldGroup par="20"/>
    </cacheField>
    <cacheField name="DocumentDate" numFmtId="14">
      <sharedItems containsSemiMixedTypes="0" containsNonDate="0" containsDate="1" containsString="0" minDate="1899-12-31T00:00:00" maxDate="1900-01-01T00:00:00"/>
    </cacheField>
    <cacheField name="DueDate" numFmtId="14">
      <sharedItems containsSemiMixedTypes="0" containsNonDate="0" containsDate="1" containsString="0" minDate="1899-12-31T00:00:00" maxDate="1900-01-01T00:00:00" count="1">
        <d v="1899-12-31T00:00:00"/>
      </sharedItems>
      <fieldGroup par="23"/>
    </cacheField>
    <cacheField name="ReportingDate" numFmtId="14">
      <sharedItems containsSemiMixedTypes="0" containsNonDate="0" containsDate="1" containsString="0" minDate="1899-12-31T00:00:00" maxDate="1900-01-01T00:00:00" count="1">
        <d v="1899-12-31T00:00:00"/>
      </sharedItems>
      <fieldGroup par="26"/>
    </cacheField>
    <cacheField name="EntryNo" numFmtId="0">
      <sharedItems containsSemiMixedTypes="0" containsString="0" containsNumber="1" containsInteger="1" minValue="0" maxValue="0"/>
    </cacheField>
    <cacheField name="VendorNumber" numFmtId="0">
      <sharedItems count="1">
        <s v="BLANK"/>
      </sharedItems>
    </cacheField>
    <cacheField name="VendorName" numFmtId="0">
      <sharedItems containsNonDate="0" containsString="0" containsBlank="1" count="1">
        <m/>
      </sharedItems>
    </cacheField>
    <cacheField name="DocumentType" numFmtId="0">
      <sharedItems containsNonDate="0" containsString="0" containsBlank="1"/>
    </cacheField>
    <cacheField name="DocumentNo" numFmtId="0">
      <sharedItems containsNonDate="0" containsString="0" containsBlank="1"/>
    </cacheField>
    <cacheField name="Months (PostingDate)" numFmtId="0" databaseField="0">
      <fieldGroup base="9">
        <rangePr groupBy="months" startDate="1899-12-31T00:00:00" endDate="1900-01-01T00:00:00"/>
        <groupItems count="14">
          <s v="&lt;1/1/1900"/>
          <s v="Jan"/>
          <s v="Feb"/>
          <s v="Mar"/>
          <s v="Apr"/>
          <s v="May"/>
          <s v="Jun"/>
          <s v="Jul"/>
          <s v="Aug"/>
          <s v="Sep"/>
          <s v="Oct"/>
          <s v="Nov"/>
          <s v="Dec"/>
          <s v="&gt;1/2/1900"/>
        </groupItems>
      </fieldGroup>
    </cacheField>
    <cacheField name="Quarters (PostingDate)" numFmtId="0" databaseField="0">
      <fieldGroup base="9">
        <rangePr groupBy="quarters" startDate="1899-12-31T00:00:00" endDate="1900-01-01T00:00:00"/>
        <groupItems count="6">
          <s v="&lt;1/1/1900"/>
          <s v="Qtr1"/>
          <s v="Qtr2"/>
          <s v="Qtr3"/>
          <s v="Qtr4"/>
          <s v="&gt;1/2/1900"/>
        </groupItems>
      </fieldGroup>
    </cacheField>
    <cacheField name="Years (PostingDate)" numFmtId="0" databaseField="0">
      <fieldGroup base="9">
        <rangePr groupBy="years" startDate="1899-12-31T00:00:00" endDate="1900-01-01T00:00:00"/>
        <groupItems count="3">
          <s v="&lt;1/1/1900"/>
          <s v="1900"/>
          <s v="&gt;1/2/1900"/>
        </groupItems>
      </fieldGroup>
    </cacheField>
    <cacheField name="Months (DueDate)" numFmtId="0" databaseField="0">
      <fieldGroup base="11">
        <rangePr groupBy="months" startDate="1899-12-31T00:00:00" endDate="1900-01-01T00:00:00"/>
        <groupItems count="14">
          <s v="&lt;1/1/1900"/>
          <s v="Jan"/>
          <s v="Feb"/>
          <s v="Mar"/>
          <s v="Apr"/>
          <s v="May"/>
          <s v="Jun"/>
          <s v="Jul"/>
          <s v="Aug"/>
          <s v="Sep"/>
          <s v="Oct"/>
          <s v="Nov"/>
          <s v="Dec"/>
          <s v="&gt;1/2/1900"/>
        </groupItems>
      </fieldGroup>
    </cacheField>
    <cacheField name="Quarters (DueDate)" numFmtId="0" databaseField="0">
      <fieldGroup base="11">
        <rangePr groupBy="quarters" startDate="1899-12-31T00:00:00" endDate="1900-01-01T00:00:00"/>
        <groupItems count="6">
          <s v="&lt;1/1/1900"/>
          <s v="Qtr1"/>
          <s v="Qtr2"/>
          <s v="Qtr3"/>
          <s v="Qtr4"/>
          <s v="&gt;1/2/1900"/>
        </groupItems>
      </fieldGroup>
    </cacheField>
    <cacheField name="Years (DueDate)" numFmtId="0" databaseField="0">
      <fieldGroup base="11">
        <rangePr groupBy="years" startDate="1899-12-31T00:00:00" endDate="1900-01-01T00:00:00"/>
        <groupItems count="3">
          <s v="&lt;1/1/1900"/>
          <s v="1900"/>
          <s v="&gt;1/2/1900"/>
        </groupItems>
      </fieldGroup>
    </cacheField>
    <cacheField name="Months (ReportingDate)" numFmtId="0" databaseField="0">
      <fieldGroup base="12">
        <rangePr groupBy="months" startDate="1899-12-31T00:00:00" endDate="1900-01-01T00:00:00"/>
        <groupItems count="14">
          <s v="&lt;1/1/1900"/>
          <s v="Jan"/>
          <s v="Feb"/>
          <s v="Mar"/>
          <s v="Apr"/>
          <s v="May"/>
          <s v="Jun"/>
          <s v="Jul"/>
          <s v="Aug"/>
          <s v="Sep"/>
          <s v="Oct"/>
          <s v="Nov"/>
          <s v="Dec"/>
          <s v="&gt;1/2/1900"/>
        </groupItems>
      </fieldGroup>
    </cacheField>
    <cacheField name="Quarters (ReportingDate)" numFmtId="0" databaseField="0">
      <fieldGroup base="12">
        <rangePr groupBy="quarters" startDate="1899-12-31T00:00:00" endDate="1900-01-01T00:00:00"/>
        <groupItems count="6">
          <s v="&lt;1/1/1900"/>
          <s v="Qtr1"/>
          <s v="Qtr2"/>
          <s v="Qtr3"/>
          <s v="Qtr4"/>
          <s v="&gt;1/2/1900"/>
        </groupItems>
      </fieldGroup>
    </cacheField>
    <cacheField name="Years (ReportingDate)" numFmtId="0" databaseField="0">
      <fieldGroup base="12">
        <rangePr groupBy="years" startDate="1899-12-31T00:00:00" endDate="1900-01-01T00:00:00"/>
        <groupItems count="3">
          <s v="&lt;1/1/1900"/>
          <s v="1900"/>
          <s v="&gt;1/2/1900"/>
        </groupItems>
      </fieldGroup>
    </cacheField>
  </cacheFields>
  <extLst>
    <ext xmlns:x14="http://schemas.microsoft.com/office/spreadsheetml/2009/9/main" uri="{725AE2AE-9491-48be-B2B4-4EB974FC3084}">
      <x14:pivotCacheDefinition pivotCacheId="657888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d v="1899-12-31T00:00:00"/>
    <d v="1899-12-31T00:00:00"/>
    <n v="0"/>
    <n v="0"/>
    <n v="0"/>
    <n v="0"/>
    <x v="0"/>
    <x v="0"/>
    <x v="0"/>
    <x v="0"/>
    <d v="1899-12-31T00:00:00"/>
    <x v="0"/>
    <x v="0"/>
    <n v="0"/>
    <x v="0"/>
    <x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67F006-42DC-4975-9709-2BC5E43C437A}" name="PivotTable1" cacheId="18"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8:R10" firstHeaderRow="0" firstDataRow="1" firstDataCol="13"/>
  <pivotFields count="19">
    <pivotField name="$VendorNumber$" axis="axisRow" compact="0" outline="0" showAll="0" defaultSubtotal="0">
      <items count="1">
        <item x="0"/>
      </items>
    </pivotField>
    <pivotField name="$VendorName$" axis="axisRow" compact="0" outline="0" showAll="0" defaultSubtotal="0">
      <items count="1">
        <item x="0"/>
      </items>
    </pivotField>
    <pivotField name="$PeriodStart$" axis="axisRow" compact="0" outline="0" showAll="0" defaultSubtotal="0">
      <items count="1">
        <item x="0"/>
      </items>
      <extLst>
        <ext xmlns:x14="http://schemas.microsoft.com/office/spreadsheetml/2009/9/main" uri="{2946ED86-A175-432a-8AC1-64E0C546D7DE}">
          <x14:pivotField fillDownLabels="1"/>
        </ext>
      </extLst>
    </pivotField>
    <pivotField name="$PeriodEnd$" axis="axisRow" compact="0" outline="0" showAll="0" defaultSubtotal="0">
      <items count="1">
        <item x="0"/>
      </items>
      <extLst>
        <ext xmlns:x14="http://schemas.microsoft.com/office/spreadsheetml/2009/9/main" uri="{2946ED86-A175-432a-8AC1-64E0C546D7DE}">
          <x14:pivotField fillDownLabels="1"/>
        </ext>
      </extLst>
    </pivotField>
    <pivotField name="$CurrencyCodeDisplay$" axis="axisRow" compact="0" outline="0" showAll="0" defaultSubtotal="0">
      <items count="1">
        <item x="0"/>
      </items>
      <extLst>
        <ext xmlns:x14="http://schemas.microsoft.com/office/spreadsheetml/2009/9/main" uri="{2946ED86-A175-432a-8AC1-64E0C546D7DE}">
          <x14:pivotField fillDownLabels="1"/>
        </ext>
      </extLst>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name="$Dimension1Code$" compact="0" outline="0" showAll="0" defaultSubtotal="0"/>
    <pivotField name="$Dimension2Code$" compact="0" outline="0" showAll="0" defaultSubtotal="0"/>
    <pivotField name="$PostingDate$" axis="axisRow" compact="0" outline="0" showAll="0" defaultSubtotal="0">
      <items count="1">
        <item x="0"/>
      </items>
      <extLst>
        <ext xmlns:x14="http://schemas.microsoft.com/office/spreadsheetml/2009/9/main" uri="{2946ED86-A175-432a-8AC1-64E0C546D7DE}">
          <x14:pivotField fillDownLabels="1"/>
        </ext>
      </extLst>
    </pivotField>
    <pivotField name="$DocumentDate$" axis="axisRow" compact="0" outline="0" showAll="0" defaultSubtotal="0">
      <items count="1">
        <item x="0"/>
      </items>
      <extLst>
        <ext xmlns:x14="http://schemas.microsoft.com/office/spreadsheetml/2009/9/main" uri="{2946ED86-A175-432a-8AC1-64E0C546D7DE}">
          <x14:pivotField fillDownLabels="1"/>
        </ext>
      </extLst>
    </pivotField>
    <pivotField name="$DueDate$" axis="axisRow" compact="0" outline="0" showAll="0" defaultSubtotal="0">
      <items count="1">
        <item x="0"/>
      </items>
      <extLst>
        <ext xmlns:x14="http://schemas.microsoft.com/office/spreadsheetml/2009/9/main" uri="{2946ED86-A175-432a-8AC1-64E0C546D7DE}">
          <x14:pivotField fillDownLabels="1"/>
        </ext>
      </extLst>
    </pivotField>
    <pivotField name="$ReportingDate_Month$" axis="axisRow" compact="0" outline="0" showAll="0" defaultSubtotal="0">
      <items count="1">
        <item x="0"/>
      </items>
      <extLst>
        <ext xmlns:x14="http://schemas.microsoft.com/office/spreadsheetml/2009/9/main" uri="{2946ED86-A175-432a-8AC1-64E0C546D7DE}">
          <x14:pivotField fillDownLabels="1"/>
        </ext>
      </extLst>
    </pivotField>
    <pivotField name="$ReportingDate_Quarter$"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ubtotalTop="0" showAll="0" defaultSubtotal="0">
      <items count="1">
        <item x="0"/>
      </items>
    </pivotField>
    <pivotField axis="axisRow" compact="0" outline="0" subtotalTop="0" showAll="0" defaultSubtotal="0">
      <items count="1">
        <item x="0"/>
      </items>
    </pivotField>
  </pivotFields>
  <rowFields count="13">
    <field x="0"/>
    <field x="1"/>
    <field x="2"/>
    <field x="3"/>
    <field x="11"/>
    <field x="12"/>
    <field x="13"/>
    <field x="14"/>
    <field x="15"/>
    <field x="16"/>
    <field x="4"/>
    <field x="17"/>
    <field x="18"/>
  </rowFields>
  <rowItems count="2">
    <i>
      <x/>
      <x/>
      <x/>
      <x/>
      <x/>
      <x/>
      <x/>
      <x/>
      <x/>
      <x/>
      <x/>
      <x/>
      <x/>
    </i>
    <i t="grand">
      <x/>
    </i>
  </rowItems>
  <colFields count="1">
    <field x="-2"/>
  </colFields>
  <colItems count="4">
    <i>
      <x/>
    </i>
    <i i="1">
      <x v="1"/>
    </i>
    <i i="2">
      <x v="2"/>
    </i>
    <i i="3">
      <x v="3"/>
    </i>
  </colItems>
  <dataFields count="4">
    <dataField name="$RemainingAmount$" fld="5" baseField="0" baseItem="0"/>
    <dataField name="$OriginalAmount$" fld="6" baseField="0" baseItem="0"/>
    <dataField name="$RemainingAmountLCY$" fld="7" baseField="0" baseItem="0"/>
    <dataField name="$OriginalAmountLCY$" fld="8" baseField="0" baseItem="0"/>
  </dataFields>
  <formats count="47">
    <format dxfId="601">
      <pivotArea dataOnly="0" labelOnly="1" outline="0" fieldPosition="0">
        <references count="1">
          <reference field="4294967294" count="4">
            <x v="0"/>
            <x v="1"/>
            <x v="2"/>
            <x v="3"/>
          </reference>
        </references>
      </pivotArea>
    </format>
    <format dxfId="600">
      <pivotArea field="2" type="button" dataOnly="0" labelOnly="1" outline="0" axis="axisRow" fieldPosition="2"/>
    </format>
    <format dxfId="599">
      <pivotArea field="3" type="button" dataOnly="0" labelOnly="1" outline="0" axis="axisRow" fieldPosition="3"/>
    </format>
    <format dxfId="598">
      <pivotArea field="11" type="button" dataOnly="0" labelOnly="1" outline="0" axis="axisRow" fieldPosition="4"/>
    </format>
    <format dxfId="597">
      <pivotArea field="12" type="button" dataOnly="0" labelOnly="1" outline="0" axis="axisRow" fieldPosition="5"/>
    </format>
    <format dxfId="596">
      <pivotArea field="13" type="button" dataOnly="0" labelOnly="1" outline="0" axis="axisRow" fieldPosition="6"/>
    </format>
    <format dxfId="595">
      <pivotArea outline="0" collapsedLevelsAreSubtotals="1" fieldPosition="0"/>
    </format>
    <format dxfId="594">
      <pivotArea field="0" type="button" dataOnly="0" labelOnly="1" outline="0" axis="axisRow" fieldPosition="0"/>
    </format>
    <format dxfId="593">
      <pivotArea field="1" type="button" dataOnly="0" labelOnly="1" outline="0" axis="axisRow" fieldPosition="1"/>
    </format>
    <format dxfId="592">
      <pivotArea field="2" type="button" dataOnly="0" labelOnly="1" outline="0" axis="axisRow" fieldPosition="2"/>
    </format>
    <format dxfId="591">
      <pivotArea field="3" type="button" dataOnly="0" labelOnly="1" outline="0" axis="axisRow" fieldPosition="3"/>
    </format>
    <format dxfId="590">
      <pivotArea field="11" type="button" dataOnly="0" labelOnly="1" outline="0" axis="axisRow" fieldPosition="4"/>
    </format>
    <format dxfId="589">
      <pivotArea field="12" type="button" dataOnly="0" labelOnly="1" outline="0" axis="axisRow" fieldPosition="5"/>
    </format>
    <format dxfId="588">
      <pivotArea field="13" type="button" dataOnly="0" labelOnly="1" outline="0" axis="axisRow" fieldPosition="6"/>
    </format>
    <format dxfId="587">
      <pivotArea field="14" type="button" dataOnly="0" labelOnly="1" outline="0" axis="axisRow" fieldPosition="7"/>
    </format>
    <format dxfId="586">
      <pivotArea field="15" type="button" dataOnly="0" labelOnly="1" outline="0" axis="axisRow" fieldPosition="8"/>
    </format>
    <format dxfId="585">
      <pivotArea field="16" type="button" dataOnly="0" labelOnly="1" outline="0" axis="axisRow" fieldPosition="9"/>
    </format>
    <format dxfId="584">
      <pivotArea field="4" type="button" dataOnly="0" labelOnly="1" outline="0" axis="axisRow" fieldPosition="10"/>
    </format>
    <format dxfId="583">
      <pivotArea dataOnly="0" labelOnly="1" outline="0" fieldPosition="0">
        <references count="1">
          <reference field="4294967294" count="4">
            <x v="0"/>
            <x v="1"/>
            <x v="2"/>
            <x v="3"/>
          </reference>
        </references>
      </pivotArea>
    </format>
    <format dxfId="582">
      <pivotArea type="all" dataOnly="0" outline="0" fieldPosition="0"/>
    </format>
    <format dxfId="581">
      <pivotArea outline="0" collapsedLevelsAreSubtotals="1" fieldPosition="0"/>
    </format>
    <format dxfId="580">
      <pivotArea field="0" type="button" dataOnly="0" labelOnly="1" outline="0" axis="axisRow" fieldPosition="0"/>
    </format>
    <format dxfId="579">
      <pivotArea field="1" type="button" dataOnly="0" labelOnly="1" outline="0" axis="axisRow" fieldPosition="1"/>
    </format>
    <format dxfId="578">
      <pivotArea field="2" type="button" dataOnly="0" labelOnly="1" outline="0" axis="axisRow" fieldPosition="2"/>
    </format>
    <format dxfId="577">
      <pivotArea field="3" type="button" dataOnly="0" labelOnly="1" outline="0" axis="axisRow" fieldPosition="3"/>
    </format>
    <format dxfId="576">
      <pivotArea field="11" type="button" dataOnly="0" labelOnly="1" outline="0" axis="axisRow" fieldPosition="4"/>
    </format>
    <format dxfId="575">
      <pivotArea field="12" type="button" dataOnly="0" labelOnly="1" outline="0" axis="axisRow" fieldPosition="5"/>
    </format>
    <format dxfId="574">
      <pivotArea field="13" type="button" dataOnly="0" labelOnly="1" outline="0" axis="axisRow" fieldPosition="6"/>
    </format>
    <format dxfId="573">
      <pivotArea field="14" type="button" dataOnly="0" labelOnly="1" outline="0" axis="axisRow" fieldPosition="7"/>
    </format>
    <format dxfId="572">
      <pivotArea field="15" type="button" dataOnly="0" labelOnly="1" outline="0" axis="axisRow" fieldPosition="8"/>
    </format>
    <format dxfId="571">
      <pivotArea field="16" type="button" dataOnly="0" labelOnly="1" outline="0" axis="axisRow" fieldPosition="9"/>
    </format>
    <format dxfId="570">
      <pivotArea field="4" type="button" dataOnly="0" labelOnly="1" outline="0" axis="axisRow" fieldPosition="10"/>
    </format>
    <format dxfId="569">
      <pivotArea dataOnly="0" labelOnly="1" outline="0" fieldPosition="0">
        <references count="1">
          <reference field="0" count="0"/>
        </references>
      </pivotArea>
    </format>
    <format dxfId="568">
      <pivotArea dataOnly="0" labelOnly="1" grandRow="1" outline="0" fieldPosition="0"/>
    </format>
    <format dxfId="567">
      <pivotArea dataOnly="0" labelOnly="1" outline="0" fieldPosition="0">
        <references count="2">
          <reference field="0" count="0" selected="0"/>
          <reference field="1" count="0"/>
        </references>
      </pivotArea>
    </format>
    <format dxfId="566">
      <pivotArea dataOnly="0" labelOnly="1" outline="0" fieldPosition="0">
        <references count="3">
          <reference field="0" count="0" selected="0"/>
          <reference field="1" count="0" selected="0"/>
          <reference field="2" count="0"/>
        </references>
      </pivotArea>
    </format>
    <format dxfId="565">
      <pivotArea dataOnly="0" labelOnly="1" outline="0" fieldPosition="0">
        <references count="4">
          <reference field="0" count="0" selected="0"/>
          <reference field="1" count="0" selected="0"/>
          <reference field="2" count="0" selected="0"/>
          <reference field="3" count="0"/>
        </references>
      </pivotArea>
    </format>
    <format dxfId="564">
      <pivotArea dataOnly="0" labelOnly="1" outline="0" fieldPosition="0">
        <references count="5">
          <reference field="0" count="0" selected="0"/>
          <reference field="1" count="0" selected="0"/>
          <reference field="2" count="0" selected="0"/>
          <reference field="3" count="0" selected="0"/>
          <reference field="11" count="0"/>
        </references>
      </pivotArea>
    </format>
    <format dxfId="563">
      <pivotArea dataOnly="0" labelOnly="1" outline="0" fieldPosition="0">
        <references count="6">
          <reference field="0" count="0" selected="0"/>
          <reference field="1" count="0" selected="0"/>
          <reference field="2" count="0" selected="0"/>
          <reference field="3" count="0" selected="0"/>
          <reference field="11" count="0" selected="0"/>
          <reference field="12" count="0"/>
        </references>
      </pivotArea>
    </format>
    <format dxfId="562">
      <pivotArea dataOnly="0" labelOnly="1" outline="0" fieldPosition="0">
        <references count="7">
          <reference field="0" count="0" selected="0"/>
          <reference field="1" count="0" selected="0"/>
          <reference field="2" count="0" selected="0"/>
          <reference field="3" count="0" selected="0"/>
          <reference field="11" count="0" selected="0"/>
          <reference field="12" count="0" selected="0"/>
          <reference field="13" count="0"/>
        </references>
      </pivotArea>
    </format>
    <format dxfId="561">
      <pivotArea dataOnly="0" labelOnly="1" outline="0" fieldPosition="0">
        <references count="8">
          <reference field="0" count="0" selected="0"/>
          <reference field="1" count="0" selected="0"/>
          <reference field="2" count="0" selected="0"/>
          <reference field="3" count="0" selected="0"/>
          <reference field="11" count="0" selected="0"/>
          <reference field="12" count="0" selected="0"/>
          <reference field="13" count="0" selected="0"/>
          <reference field="14" count="0"/>
        </references>
      </pivotArea>
    </format>
    <format dxfId="560">
      <pivotArea dataOnly="0" labelOnly="1" outline="0" fieldPosition="0">
        <references count="9">
          <reference field="0" count="0" selected="0"/>
          <reference field="1" count="0" selected="0"/>
          <reference field="2" count="0" selected="0"/>
          <reference field="3" count="0" selected="0"/>
          <reference field="11" count="0" selected="0"/>
          <reference field="12" count="0" selected="0"/>
          <reference field="13" count="0" selected="0"/>
          <reference field="14" count="0" selected="0"/>
          <reference field="15" count="0"/>
        </references>
      </pivotArea>
    </format>
    <format dxfId="559">
      <pivotArea dataOnly="0" labelOnly="1" outline="0" fieldPosition="0">
        <references count="10">
          <reference field="0" count="0" selected="0"/>
          <reference field="1" count="0" selected="0"/>
          <reference field="2" count="0" selected="0"/>
          <reference field="3" count="0" selected="0"/>
          <reference field="11" count="0" selected="0"/>
          <reference field="12" count="0" selected="0"/>
          <reference field="13" count="0" selected="0"/>
          <reference field="14" count="0" selected="0"/>
          <reference field="15" count="0" selected="0"/>
          <reference field="16" count="0"/>
        </references>
      </pivotArea>
    </format>
    <format dxfId="558">
      <pivotArea dataOnly="0" labelOnly="1" outline="0" fieldPosition="0">
        <references count="11">
          <reference field="0" count="0" selected="0"/>
          <reference field="1" count="0" selected="0"/>
          <reference field="2" count="0" selected="0"/>
          <reference field="3" count="0" selected="0"/>
          <reference field="4" count="0"/>
          <reference field="11" count="0" selected="0"/>
          <reference field="12" count="0" selected="0"/>
          <reference field="13" count="0" selected="0"/>
          <reference field="14" count="0" selected="0"/>
          <reference field="15" count="0" selected="0"/>
          <reference field="16" count="0" selected="0"/>
        </references>
      </pivotArea>
    </format>
    <format dxfId="557">
      <pivotArea dataOnly="0" labelOnly="1" outline="0" fieldPosition="0">
        <references count="1">
          <reference field="4294967294" count="4">
            <x v="0"/>
            <x v="1"/>
            <x v="2"/>
            <x v="3"/>
          </reference>
        </references>
      </pivotArea>
    </format>
    <format dxfId="1">
      <pivotArea field="17" type="button" dataOnly="0" labelOnly="1" outline="0" axis="axisRow" fieldPosition="11"/>
    </format>
    <format dxfId="0">
      <pivotArea field="18" type="button" dataOnly="0" labelOnly="1" outline="0" axis="axisRow" fieldPosition="12"/>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8D7A8-528C-4906-9A42-58B1ADBF0439}" name="AgedAccountsByPeriodLCY" cacheId="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olHeaderCaption="$PostingDate$">
  <location ref="B1:G7" firstHeaderRow="1" firstDataRow="5" firstDataCol="2"/>
  <pivotFields count="27">
    <pivotField compact="0" numFmtId="14" outline="0" showAll="0" defaultSubtotal="0"/>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compact="0" outline="0" showAll="0" defaultSubtotal="0"/>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compact="0" outline="0" subtotalTop="0" showAll="0" defaultSubtotal="0"/>
    <pivotField compact="0" outline="0" subtotalTop="0" showAll="0" defaultSubtotal="0"/>
    <pivotField name="PostingDateMonth" compact="0" outline="0" showAll="0" defaultSubtotal="0">
      <items count="14">
        <item sd="0" x="0"/>
        <item sd="0" x="1"/>
        <item sd="0" x="2"/>
        <item sd="0" x="3"/>
        <item sd="0" x="4"/>
        <item sd="0" x="5"/>
        <item sd="0" x="6"/>
        <item sd="0" x="7"/>
        <item sd="0" x="8"/>
        <item sd="0" x="9"/>
        <item sd="0" x="10"/>
        <item sd="0" x="11"/>
        <item sd="0" x="12"/>
        <item sd="0" x="13"/>
      </items>
    </pivotField>
    <pivotField name="$PostingDateQuarter$" compact="0" outline="0" showAll="0" defaultSubtotal="0">
      <items count="6">
        <item sd="0" x="1"/>
        <item sd="0" x="2"/>
        <item sd="0" x="3"/>
        <item sd="0" x="4"/>
        <item x="0"/>
        <item x="5"/>
      </items>
    </pivotField>
    <pivotField name="$PostingDateYear$"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2">
    <field x="14"/>
    <field x="15"/>
  </rowFields>
  <rowItems count="2">
    <i>
      <x/>
      <x/>
    </i>
    <i t="grand">
      <x/>
    </i>
  </rowItems>
  <colFields count="4">
    <field x="26"/>
    <field x="25"/>
    <field x="24"/>
    <field x="12"/>
  </colFields>
  <colItems count="2">
    <i>
      <x/>
      <x/>
      <x v="1"/>
    </i>
    <i t="grand">
      <x/>
    </i>
  </colItems>
  <dataFields count="1">
    <dataField name="$OpenAmountsInFCY$" fld="4" baseField="14" baseItem="0"/>
  </dataFields>
  <formats count="29">
    <format dxfId="556">
      <pivotArea type="origin" dataOnly="0" labelOnly="1" outline="0" fieldPosition="0"/>
    </format>
    <format dxfId="555">
      <pivotArea outline="0" collapsedLevelsAreSubtotals="1" fieldPosition="0"/>
    </format>
    <format dxfId="554">
      <pivotArea type="all" dataOnly="0" outline="0" fieldPosition="0"/>
    </format>
    <format dxfId="553">
      <pivotArea outline="0" collapsedLevelsAreSubtotals="1" fieldPosition="0"/>
    </format>
    <format dxfId="552">
      <pivotArea type="origin" dataOnly="0" labelOnly="1" outline="0" fieldPosition="0"/>
    </format>
    <format dxfId="551">
      <pivotArea field="26" type="button" dataOnly="0" labelOnly="1" outline="0" axis="axisCol" fieldPosition="0"/>
    </format>
    <format dxfId="550">
      <pivotArea field="25" type="button" dataOnly="0" labelOnly="1" outline="0" axis="axisCol" fieldPosition="1"/>
    </format>
    <format dxfId="549">
      <pivotArea field="24" type="button" dataOnly="0" labelOnly="1" outline="0" axis="axisCol" fieldPosition="2"/>
    </format>
    <format dxfId="548">
      <pivotArea field="12" type="button" dataOnly="0" labelOnly="1" outline="0" axis="axisCol" fieldPosition="3"/>
    </format>
    <format dxfId="547">
      <pivotArea field="14" type="button" dataOnly="0" labelOnly="1" outline="0" axis="axisRow" fieldPosition="0"/>
    </format>
    <format dxfId="546">
      <pivotArea field="15" type="button" dataOnly="0" labelOnly="1" outline="0" axis="axisRow" fieldPosition="1"/>
    </format>
    <format dxfId="545">
      <pivotArea dataOnly="0" labelOnly="1" outline="0" fieldPosition="0">
        <references count="1">
          <reference field="14" count="0"/>
        </references>
      </pivotArea>
    </format>
    <format dxfId="544">
      <pivotArea dataOnly="0" labelOnly="1" grandRow="1" outline="0" fieldPosition="0"/>
    </format>
    <format dxfId="543">
      <pivotArea dataOnly="0" labelOnly="1" outline="0" fieldPosition="0">
        <references count="2">
          <reference field="14" count="0" selected="0"/>
          <reference field="15" count="0"/>
        </references>
      </pivotArea>
    </format>
    <format dxfId="542">
      <pivotArea dataOnly="0" labelOnly="1" outline="0" fieldPosition="0">
        <references count="1">
          <reference field="26" count="1">
            <x v="0"/>
          </reference>
        </references>
      </pivotArea>
    </format>
    <format dxfId="541">
      <pivotArea dataOnly="0" labelOnly="1" grandCol="1" outline="0" fieldPosition="0"/>
    </format>
    <format dxfId="540">
      <pivotArea dataOnly="0" labelOnly="1" outline="0" fieldPosition="0">
        <references count="2">
          <reference field="25" count="1">
            <x v="0"/>
          </reference>
          <reference field="26" count="1" selected="0">
            <x v="0"/>
          </reference>
        </references>
      </pivotArea>
    </format>
    <format dxfId="539">
      <pivotArea dataOnly="0" labelOnly="1" outline="0" fieldPosition="0">
        <references count="3">
          <reference field="24" count="1">
            <x v="1"/>
          </reference>
          <reference field="25" count="1" selected="0">
            <x v="0"/>
          </reference>
          <reference field="26" count="1" selected="0">
            <x v="0"/>
          </reference>
        </references>
      </pivotArea>
    </format>
    <format dxfId="538">
      <pivotArea type="origin" dataOnly="0" labelOnly="1" outline="0" fieldPosition="0"/>
    </format>
    <format dxfId="537">
      <pivotArea field="26" type="button" dataOnly="0" labelOnly="1" outline="0" axis="axisCol" fieldPosition="0"/>
    </format>
    <format dxfId="536">
      <pivotArea field="25" type="button" dataOnly="0" labelOnly="1" outline="0" axis="axisCol" fieldPosition="1"/>
    </format>
    <format dxfId="535">
      <pivotArea field="24" type="button" dataOnly="0" labelOnly="1" outline="0" axis="axisCol" fieldPosition="2"/>
    </format>
    <format dxfId="534">
      <pivotArea field="12" type="button" dataOnly="0" labelOnly="1" outline="0" axis="axisCol" fieldPosition="3"/>
    </format>
    <format dxfId="533">
      <pivotArea field="14" type="button" dataOnly="0" labelOnly="1" outline="0" axis="axisRow" fieldPosition="0"/>
    </format>
    <format dxfId="532">
      <pivotArea field="15" type="button" dataOnly="0" labelOnly="1" outline="0" axis="axisRow" fieldPosition="1"/>
    </format>
    <format dxfId="531">
      <pivotArea dataOnly="0" labelOnly="1" outline="0" fieldPosition="0">
        <references count="1">
          <reference field="26" count="1">
            <x v="0"/>
          </reference>
        </references>
      </pivotArea>
    </format>
    <format dxfId="530">
      <pivotArea dataOnly="0" labelOnly="1" grandCol="1" outline="0" fieldPosition="0"/>
    </format>
    <format dxfId="529">
      <pivotArea dataOnly="0" labelOnly="1" outline="0" fieldPosition="0">
        <references count="2">
          <reference field="25" count="1">
            <x v="0"/>
          </reference>
          <reference field="26" count="1" selected="0">
            <x v="0"/>
          </reference>
        </references>
      </pivotArea>
    </format>
    <format dxfId="528">
      <pivotArea dataOnly="0" labelOnly="1" outline="0" fieldPosition="0">
        <references count="3">
          <reference field="24" count="1">
            <x v="1"/>
          </reference>
          <reference field="25" count="1" selected="0">
            <x v="0"/>
          </reference>
          <reference field="26"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723ECD-7BBC-439F-8EAE-CC958AA09F1D}" name="AgedAccountsPayableByPeriodFCY" cacheId="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H7" firstHeaderRow="1" firstDataRow="5" firstDataCol="3"/>
  <pivotFields count="27">
    <pivotField compact="0" numFmtId="14" outline="0" showAll="0" defaultSubtotal="0"/>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Row" compact="0" outline="0" showAll="0" defaultSubtotal="0">
      <items count="1">
        <item x="0"/>
      </items>
    </pivotField>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compact="0" outline="0" subtotalTop="0" showAll="0" defaultSubtotal="0"/>
    <pivotField compact="0" outline="0" subtotalTop="0" showAll="0" defaultSubtotal="0"/>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sd="0"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3">
    <field x="14"/>
    <field x="15"/>
    <field x="8"/>
  </rowFields>
  <rowItems count="2">
    <i>
      <x/>
      <x/>
      <x/>
    </i>
    <i t="grand">
      <x/>
    </i>
  </rowItems>
  <colFields count="4">
    <field x="26"/>
    <field x="25"/>
    <field x="24"/>
    <field x="12"/>
  </colFields>
  <colItems count="2">
    <i>
      <x/>
      <x/>
      <x v="1"/>
    </i>
    <i t="grand">
      <x/>
    </i>
  </colItems>
  <dataFields count="1">
    <dataField name="$OpenAmountsInFCY$" fld="2" baseField="0" baseItem="0" numFmtId="4"/>
  </dataFields>
  <formats count="33">
    <format dxfId="527">
      <pivotArea type="origin" dataOnly="0" labelOnly="1" outline="0" fieldPosition="0"/>
    </format>
    <format dxfId="526">
      <pivotArea dataOnly="0" labelOnly="1" grandCol="1" outline="0" fieldPosition="0"/>
    </format>
    <format dxfId="525">
      <pivotArea outline="0" collapsedLevelsAreSubtotals="1" fieldPosition="0"/>
    </format>
    <format dxfId="524">
      <pivotArea type="all" dataOnly="0" outline="0" fieldPosition="0"/>
    </format>
    <format dxfId="523">
      <pivotArea outline="0" collapsedLevelsAreSubtotals="1" fieldPosition="0"/>
    </format>
    <format dxfId="522">
      <pivotArea type="origin" dataOnly="0" labelOnly="1" outline="0" fieldPosition="0"/>
    </format>
    <format dxfId="521">
      <pivotArea field="26" type="button" dataOnly="0" labelOnly="1" outline="0" axis="axisCol" fieldPosition="0"/>
    </format>
    <format dxfId="520">
      <pivotArea field="25" type="button" dataOnly="0" labelOnly="1" outline="0" axis="axisCol" fieldPosition="1"/>
    </format>
    <format dxfId="519">
      <pivotArea field="24" type="button" dataOnly="0" labelOnly="1" outline="0" axis="axisCol" fieldPosition="2"/>
    </format>
    <format dxfId="518">
      <pivotArea field="12" type="button" dataOnly="0" labelOnly="1" outline="0" axis="axisCol" fieldPosition="3"/>
    </format>
    <format dxfId="517">
      <pivotArea field="14" type="button" dataOnly="0" labelOnly="1" outline="0" axis="axisRow" fieldPosition="0"/>
    </format>
    <format dxfId="516">
      <pivotArea field="15" type="button" dataOnly="0" labelOnly="1" outline="0" axis="axisRow" fieldPosition="1"/>
    </format>
    <format dxfId="515">
      <pivotArea field="8" type="button" dataOnly="0" labelOnly="1" outline="0" axis="axisRow" fieldPosition="2"/>
    </format>
    <format dxfId="514">
      <pivotArea dataOnly="0" labelOnly="1" outline="0" fieldPosition="0">
        <references count="1">
          <reference field="14" count="0"/>
        </references>
      </pivotArea>
    </format>
    <format dxfId="513">
      <pivotArea dataOnly="0" labelOnly="1" grandRow="1" outline="0" fieldPosition="0"/>
    </format>
    <format dxfId="512">
      <pivotArea dataOnly="0" labelOnly="1" outline="0" fieldPosition="0">
        <references count="2">
          <reference field="14" count="0" selected="0"/>
          <reference field="15" count="0"/>
        </references>
      </pivotArea>
    </format>
    <format dxfId="511">
      <pivotArea dataOnly="0" labelOnly="1" outline="0" fieldPosition="0">
        <references count="3">
          <reference field="8" count="0"/>
          <reference field="14" count="0" selected="0"/>
          <reference field="15" count="0" selected="0"/>
        </references>
      </pivotArea>
    </format>
    <format dxfId="510">
      <pivotArea dataOnly="0" labelOnly="1" outline="0" fieldPosition="0">
        <references count="1">
          <reference field="26" count="1">
            <x v="0"/>
          </reference>
        </references>
      </pivotArea>
    </format>
    <format dxfId="509">
      <pivotArea dataOnly="0" labelOnly="1" grandCol="1" outline="0" fieldPosition="0"/>
    </format>
    <format dxfId="508">
      <pivotArea dataOnly="0" labelOnly="1" outline="0" fieldPosition="0">
        <references count="2">
          <reference field="25" count="1">
            <x v="0"/>
          </reference>
          <reference field="26" count="1" selected="0">
            <x v="0"/>
          </reference>
        </references>
      </pivotArea>
    </format>
    <format dxfId="507">
      <pivotArea dataOnly="0" labelOnly="1" outline="0" fieldPosition="0">
        <references count="3">
          <reference field="24" count="1">
            <x v="1"/>
          </reference>
          <reference field="25" count="1" selected="0">
            <x v="0"/>
          </reference>
          <reference field="26" count="1" selected="0">
            <x v="0"/>
          </reference>
        </references>
      </pivotArea>
    </format>
    <format dxfId="506">
      <pivotArea type="origin" dataOnly="0" labelOnly="1" outline="0" fieldPosition="0"/>
    </format>
    <format dxfId="505">
      <pivotArea field="26" type="button" dataOnly="0" labelOnly="1" outline="0" axis="axisCol" fieldPosition="0"/>
    </format>
    <format dxfId="504">
      <pivotArea field="25" type="button" dataOnly="0" labelOnly="1" outline="0" axis="axisCol" fieldPosition="1"/>
    </format>
    <format dxfId="503">
      <pivotArea field="24" type="button" dataOnly="0" labelOnly="1" outline="0" axis="axisCol" fieldPosition="2"/>
    </format>
    <format dxfId="502">
      <pivotArea field="12" type="button" dataOnly="0" labelOnly="1" outline="0" axis="axisCol" fieldPosition="3"/>
    </format>
    <format dxfId="501">
      <pivotArea field="14" type="button" dataOnly="0" labelOnly="1" outline="0" axis="axisRow" fieldPosition="0"/>
    </format>
    <format dxfId="500">
      <pivotArea field="15" type="button" dataOnly="0" labelOnly="1" outline="0" axis="axisRow" fieldPosition="1"/>
    </format>
    <format dxfId="499">
      <pivotArea field="8" type="button" dataOnly="0" labelOnly="1" outline="0" axis="axisRow" fieldPosition="2"/>
    </format>
    <format dxfId="498">
      <pivotArea dataOnly="0" labelOnly="1" outline="0" fieldPosition="0">
        <references count="1">
          <reference field="26" count="1">
            <x v="0"/>
          </reference>
        </references>
      </pivotArea>
    </format>
    <format dxfId="497">
      <pivotArea dataOnly="0" labelOnly="1" grandCol="1" outline="0" fieldPosition="0"/>
    </format>
    <format dxfId="496">
      <pivotArea dataOnly="0" labelOnly="1" outline="0" fieldPosition="0">
        <references count="2">
          <reference field="25" count="1">
            <x v="0"/>
          </reference>
          <reference field="26" count="1" selected="0">
            <x v="0"/>
          </reference>
        </references>
      </pivotArea>
    </format>
    <format dxfId="495">
      <pivotArea dataOnly="0" labelOnly="1" outline="0" fieldPosition="0">
        <references count="3">
          <reference field="24" count="1">
            <x v="1"/>
          </reference>
          <reference field="25" count="1" selected="0">
            <x v="0"/>
          </reference>
          <reference field="26"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9FD7D-FFC8-4AF9-9D8F-9F4A80D841C3}" name="PivotTable4" cacheId="2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I4" firstHeaderRow="1" firstDataRow="2" firstDataCol="6"/>
  <pivotFields count="27">
    <pivotField compact="0" numFmtId="14" outline="0" showAll="0" defaultSubtotal="0"/>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Col" compact="0" outline="0" showAll="0" defaultSubtotal="0">
      <items count="1">
        <item x="0"/>
      </items>
    </pivotField>
    <pivotField compact="0" numFmtId="14" outline="0" showAll="0" defaultSubtotal="0">
      <items count="1">
        <item x="0"/>
      </items>
    </pivotField>
    <pivotField compact="0" numFmtId="14" outline="0" showAll="0" defaultSubtotal="0"/>
    <pivotField name="$DueDate$" axis="axisRow" compact="0" numFmtId="14" outline="0" showAll="0" defaultSubtotal="0">
      <items count="1">
        <item x="0"/>
      </items>
    </pivotField>
    <pivotField name="ReportingDate" compact="0" numFmtId="14" outline="0" subtotalTop="0" showAll="0" defaultSubtotal="0">
      <items count="1">
        <item x="0"/>
      </items>
    </pivotField>
    <pivotField compact="0" outline="0" showAll="0" defaultSubtotal="0"/>
    <pivotField name="$VendorNumber$" axis="axisRow" compact="0" outline="0" showAll="0" defaultSubtotal="0">
      <items count="1">
        <item x="0"/>
      </items>
    </pivotField>
    <pivotField name="$VendorName$" axis="axisRow" compact="0" outline="0" showAll="0" defaultSubtotal="0">
      <items count="1">
        <item x="0"/>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1"/>
        <item x="0"/>
        <item x="2"/>
      </items>
    </pivotField>
    <pivotField name="$DueDateMonth$" axis="axisRow" compact="0" outline="0" showAll="0" defaultSubtotal="0">
      <items count="14">
        <item sd="0" x="0"/>
        <item sd="0" x="1"/>
        <item sd="0" x="2"/>
        <item sd="0" x="3"/>
        <item sd="0" x="4"/>
        <item sd="0" x="5"/>
        <item sd="0" x="6"/>
        <item sd="0" x="7"/>
        <item sd="0" x="8"/>
        <item sd="0" x="9"/>
        <item sd="0" x="10"/>
        <item sd="0" x="11"/>
        <item sd="0" x="12"/>
        <item sd="0" x="13"/>
      </items>
    </pivotField>
    <pivotField name="$DueDateQuarter$" axis="axisRow" compact="0" outline="0" showAll="0" defaultSubtotal="0">
      <items count="6">
        <item x="1"/>
        <item sd="0" x="2"/>
        <item sd="0" x="3"/>
        <item x="4"/>
        <item x="0"/>
        <item x="5"/>
      </items>
    </pivotField>
    <pivotField name="$DueDateYear$" axis="axisRow" compact="0" outline="0" showAll="0" defaultSubtotal="0">
      <items count="3">
        <item x="1"/>
        <item x="0"/>
        <item x="2"/>
      </items>
    </pivotField>
    <pivotField name="Months (ReportingDate)" compact="0" outline="0" subtotalTop="0" showAll="0" defaultSubtotal="0">
      <items count="14">
        <item sd="0" x="0"/>
        <item sd="0" x="1"/>
        <item sd="0" x="2"/>
        <item sd="0" x="3"/>
        <item sd="0" x="4"/>
        <item sd="0" x="5"/>
        <item sd="0" x="6"/>
        <item sd="0" x="7"/>
        <item sd="0" x="8"/>
        <item sd="0" x="9"/>
        <item sd="0" x="10"/>
        <item sd="0" x="11"/>
        <item sd="0" x="12"/>
        <item sd="0" x="13"/>
      </items>
    </pivotField>
    <pivotField name="Quarters (ReportingDate)" compact="0" outline="0" subtotalTop="0" showAll="0" defaultSubtotal="0">
      <items count="6">
        <item x="1"/>
        <item sd="0" x="2"/>
        <item sd="0" x="3"/>
        <item x="4"/>
        <item x="0"/>
        <item x="5"/>
      </items>
    </pivotField>
    <pivotField name="Years (ReportingDate)" compact="0" outline="0" subtotalTop="0" showAll="0" defaultSubtotal="0">
      <items count="3">
        <item x="1"/>
        <item x="0"/>
        <item x="2"/>
      </items>
    </pivotField>
  </pivotFields>
  <rowFields count="6">
    <field x="14"/>
    <field x="15"/>
    <field x="23"/>
    <field x="22"/>
    <field x="21"/>
    <field x="11"/>
  </rowFields>
  <rowItems count="2">
    <i>
      <x/>
      <x/>
      <x/>
      <x/>
      <x v="1"/>
    </i>
    <i t="grand">
      <x/>
    </i>
  </rowItems>
  <colFields count="1">
    <field x="8"/>
  </colFields>
  <colItems count="2">
    <i>
      <x/>
    </i>
    <i t="grand">
      <x/>
    </i>
  </colItems>
  <dataFields count="1">
    <dataField name="$OpenByFCY$" fld="2" baseField="0" baseItem="0" numFmtId="4"/>
  </dataFields>
  <formats count="34">
    <format dxfId="494">
      <pivotArea type="origin" dataOnly="0" labelOnly="1" outline="0" fieldPosition="0"/>
    </format>
    <format dxfId="493">
      <pivotArea dataOnly="0" labelOnly="1" grandCol="1" outline="0" fieldPosition="0"/>
    </format>
    <format dxfId="492">
      <pivotArea dataOnly="0" labelOnly="1" grandRow="1" outline="0" fieldPosition="0"/>
    </format>
    <format dxfId="491">
      <pivotArea outline="0" collapsedLevelsAreSubtotals="1" fieldPosition="0"/>
    </format>
    <format dxfId="490">
      <pivotArea type="all" dataOnly="0" outline="0" fieldPosition="0"/>
    </format>
    <format dxfId="489">
      <pivotArea outline="0" collapsedLevelsAreSubtotals="1" fieldPosition="0"/>
    </format>
    <format dxfId="488">
      <pivotArea type="origin" dataOnly="0" labelOnly="1" outline="0" fieldPosition="0"/>
    </format>
    <format dxfId="487">
      <pivotArea field="8" type="button" dataOnly="0" labelOnly="1" outline="0" axis="axisCol" fieldPosition="0"/>
    </format>
    <format dxfId="486">
      <pivotArea type="topRight" dataOnly="0" labelOnly="1" outline="0" fieldPosition="0"/>
    </format>
    <format dxfId="485">
      <pivotArea field="14" type="button" dataOnly="0" labelOnly="1" outline="0" axis="axisRow" fieldPosition="0"/>
    </format>
    <format dxfId="484">
      <pivotArea field="15" type="button" dataOnly="0" labelOnly="1" outline="0" axis="axisRow" fieldPosition="1"/>
    </format>
    <format dxfId="483">
      <pivotArea field="23" type="button" dataOnly="0" labelOnly="1" outline="0" axis="axisRow" fieldPosition="2"/>
    </format>
    <format dxfId="482">
      <pivotArea field="22" type="button" dataOnly="0" labelOnly="1" outline="0" axis="axisRow" fieldPosition="3"/>
    </format>
    <format dxfId="481">
      <pivotArea field="21" type="button" dataOnly="0" labelOnly="1" outline="0" axis="axisRow" fieldPosition="4"/>
    </format>
    <format dxfId="480">
      <pivotArea field="11" type="button" dataOnly="0" labelOnly="1" outline="0" axis="axisRow" fieldPosition="5"/>
    </format>
    <format dxfId="479">
      <pivotArea dataOnly="0" labelOnly="1" outline="0" fieldPosition="0">
        <references count="1">
          <reference field="14" count="0"/>
        </references>
      </pivotArea>
    </format>
    <format dxfId="478">
      <pivotArea dataOnly="0" labelOnly="1" grandRow="1" outline="0" fieldPosition="0"/>
    </format>
    <format dxfId="477">
      <pivotArea dataOnly="0" labelOnly="1" outline="0" fieldPosition="0">
        <references count="2">
          <reference field="14" count="0" selected="0"/>
          <reference field="15" count="0"/>
        </references>
      </pivotArea>
    </format>
    <format dxfId="476">
      <pivotArea dataOnly="0" labelOnly="1" outline="0" fieldPosition="0">
        <references count="3">
          <reference field="14" count="0" selected="0"/>
          <reference field="15" count="0" selected="0"/>
          <reference field="23" count="1">
            <x v="0"/>
          </reference>
        </references>
      </pivotArea>
    </format>
    <format dxfId="475">
      <pivotArea dataOnly="0" labelOnly="1" outline="0" fieldPosition="0">
        <references count="4">
          <reference field="14" count="0" selected="0"/>
          <reference field="15" count="0" selected="0"/>
          <reference field="22" count="1">
            <x v="0"/>
          </reference>
          <reference field="23" count="1" selected="0">
            <x v="0"/>
          </reference>
        </references>
      </pivotArea>
    </format>
    <format dxfId="474">
      <pivotArea dataOnly="0" labelOnly="1" outline="0" fieldPosition="0">
        <references count="5">
          <reference field="14" count="0" selected="0"/>
          <reference field="15" count="0" selected="0"/>
          <reference field="21" count="1">
            <x v="1"/>
          </reference>
          <reference field="22" count="1" selected="0">
            <x v="0"/>
          </reference>
          <reference field="23" count="1" selected="0">
            <x v="0"/>
          </reference>
        </references>
      </pivotArea>
    </format>
    <format dxfId="473">
      <pivotArea dataOnly="0" labelOnly="1" outline="0" fieldPosition="0">
        <references count="1">
          <reference field="8" count="0"/>
        </references>
      </pivotArea>
    </format>
    <format dxfId="472">
      <pivotArea dataOnly="0" labelOnly="1" grandCol="1" outline="0" fieldPosition="0"/>
    </format>
    <format dxfId="471">
      <pivotArea type="origin" dataOnly="0" labelOnly="1" outline="0" fieldPosition="0"/>
    </format>
    <format dxfId="470">
      <pivotArea field="8" type="button" dataOnly="0" labelOnly="1" outline="0" axis="axisCol" fieldPosition="0"/>
    </format>
    <format dxfId="469">
      <pivotArea type="topRight" dataOnly="0" labelOnly="1" outline="0" fieldPosition="0"/>
    </format>
    <format dxfId="468">
      <pivotArea field="14" type="button" dataOnly="0" labelOnly="1" outline="0" axis="axisRow" fieldPosition="0"/>
    </format>
    <format dxfId="467">
      <pivotArea field="15" type="button" dataOnly="0" labelOnly="1" outline="0" axis="axisRow" fieldPosition="1"/>
    </format>
    <format dxfId="466">
      <pivotArea field="23" type="button" dataOnly="0" labelOnly="1" outline="0" axis="axisRow" fieldPosition="2"/>
    </format>
    <format dxfId="465">
      <pivotArea field="22" type="button" dataOnly="0" labelOnly="1" outline="0" axis="axisRow" fieldPosition="3"/>
    </format>
    <format dxfId="464">
      <pivotArea field="21" type="button" dataOnly="0" labelOnly="1" outline="0" axis="axisRow" fieldPosition="4"/>
    </format>
    <format dxfId="463">
      <pivotArea field="11" type="button" dataOnly="0" labelOnly="1" outline="0" axis="axisRow" fieldPosition="5"/>
    </format>
    <format dxfId="462">
      <pivotArea dataOnly="0" labelOnly="1" outline="0" fieldPosition="0">
        <references count="1">
          <reference field="8" count="0"/>
        </references>
      </pivotArea>
    </format>
    <format dxfId="461">
      <pivotArea dataOnly="0" labelOnly="1" grandCol="1" outline="0" fieldPosition="0"/>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35006E13-D276-4252-80AD-36A3C99A9E44}" autoFormatId="16" applyNumberFormats="0" applyBorderFormats="0" applyFontFormats="0" applyPatternFormats="0" applyAlignmentFormats="0" applyWidthHeightFormats="0">
  <queryTableRefresh nextId="26">
    <queryTableFields count="18">
      <queryTableField id="1" name="PeriodStart" tableColumnId="1"/>
      <queryTableField id="2" name="PeriodEnd" tableColumnId="2"/>
      <queryTableField id="3" name="RemainingAmount" tableColumnId="3"/>
      <queryTableField id="4" name="OriginalAmount" tableColumnId="4"/>
      <queryTableField id="5" name="RemainingAmountLCY" tableColumnId="5"/>
      <queryTableField id="6" name="OriginalAmountLCY" tableColumnId="6"/>
      <queryTableField id="7" name="Dimension1Code" tableColumnId="7"/>
      <queryTableField id="8" name="Dimension2Code" tableColumnId="8"/>
      <queryTableField id="9" name="CurrencyCode" tableColumnId="9"/>
      <queryTableField id="10" name="PostingDate" tableColumnId="10"/>
      <queryTableField id="11" name="DocumentDate" tableColumnId="11"/>
      <queryTableField id="12" name="DueDate" tableColumnId="12"/>
      <queryTableField id="16" name="ReportingDate" tableColumnId="16"/>
      <queryTableField id="13" name="EntryNo" tableColumnId="13"/>
      <queryTableField id="14" name="VendorNumber" tableColumnId="14"/>
      <queryTableField id="15" name="VendorName" tableColumnId="15"/>
      <queryTableField id="24" name="DocumentType" tableColumnId="17"/>
      <queryTableField id="25" name="DocumentNo"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1" xr10:uid="{2DE86B08-3F14-4AC7-9627-153663611604}" sourceName="Dimension1Code">
  <pivotTables>
    <pivotTable tabId="14" name="AgedAccountsPayableByPeriodFCY"/>
  </pivotTables>
  <data>
    <tabular pivotCacheId="657888646"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1" xr10:uid="{2762E56B-12DA-4468-9498-09A3086631F8}" sourceName="Dimension2Code">
  <pivotTables>
    <pivotTable tabId="14" name="AgedAccountsPayableByPeriodFCY"/>
  </pivotTables>
  <data>
    <tabular pivotCacheId="657888646"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 xr10:uid="{F3140693-BA6A-4925-A859-FE9100944169}" sourceName="CurrencyCode">
  <pivotTables>
    <pivotTable tabId="14" name="AgedAccountsPayableByPeriodFCY"/>
  </pivotTables>
  <data>
    <tabular pivotCacheId="657888646"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1" xr10:uid="{673CADB9-8601-4DF2-8334-56702B41AEFD}" sourceName="VendorNumber">
  <pivotTables>
    <pivotTable tabId="14" name="AgedAccountsPayableByPeriodFCY"/>
  </pivotTables>
  <data>
    <tabular pivotCacheId="657888646"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2" xr10:uid="{49E08597-6982-41E6-ABBE-983ECFCD32DE}" sourceName="Dimension1Code">
  <pivotTables>
    <pivotTable tabId="15" name="PivotTable4"/>
  </pivotTables>
  <data>
    <tabular pivotCacheId="657888646"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2" xr10:uid="{90BF4C29-E9C9-4C3A-AA74-16398771155F}" sourceName="Dimension2Code">
  <pivotTables>
    <pivotTable tabId="15" name="PivotTable4"/>
  </pivotTables>
  <data>
    <tabular pivotCacheId="657888646" showMissing="0">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2" xr10:uid="{7D266406-30E3-4B98-B354-CE1795E8017B}" sourceName="VendorNumber">
  <pivotTables>
    <pivotTable tabId="15" name="PivotTable4"/>
  </pivotTables>
  <data>
    <tabular pivotCacheId="657888646" showMissing="0">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1" xr10:uid="{2FFEF3DC-B8A2-42B8-B627-9F392891935A}" sourceName="CurrencyCode">
  <pivotTables>
    <pivotTable tabId="15" name="PivotTable4"/>
  </pivotTables>
  <data>
    <tabular pivotCacheId="657888646" showMissing="0">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 xr10:uid="{CE2F7FF7-EB20-4B1A-87B6-0B9C739C01D3}" sourceName="Dimension1Code">
  <pivotTables>
    <pivotTable tabId="11" name="AgedAccountsByPeriodLCY"/>
  </pivotTables>
  <data>
    <tabular pivotCacheId="657888646" showMissing="0">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 xr10:uid="{9ED24E03-90B8-421B-8BFA-BF1D2A36A699}" sourceName="Dimension2Code">
  <pivotTables>
    <pivotTable tabId="11" name="AgedAccountsByPeriodLCY"/>
  </pivotTables>
  <data>
    <tabular pivotCacheId="657888646" showMissing="0">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Number" xr10:uid="{B2A787DC-9BB1-4587-AE4B-023C118E028E}" sourceName="VendorNumber">
  <pivotTables>
    <pivotTable tabId="11" name="AgedAccountsByPeriodLCY"/>
  </pivotTables>
  <data>
    <tabular pivotCacheId="657888646"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xr10:uid="{7C8B8963-91BD-4EE5-BEEC-1FA6380E74D5}" cache="Slicer_Dimension1Code" caption="$Dimension1Code$" rowHeight="241300"/>
  <slicer name="$Dimension2Code$" xr10:uid="{B62E155A-FC0A-4390-ACDF-D6941197B109}" cache="Slicer_Dimension2Code" caption="$Dimension2Code$" rowHeight="241300"/>
  <slicer name="$VendorNumber$" xr10:uid="{06C7D079-D90B-49A5-AF0B-5662299881F4}" cache="Slicer_VendorNumber" caption="$VendorNumb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1" xr10:uid="{3D7396ED-4DC4-44FA-B7BA-A9A170FFB3C4}" cache="Slicer_Dimension1Code1" caption="$Dimension1Code$" rowHeight="241300"/>
  <slicer name="$Dimension2Code$ 1" xr10:uid="{DB1DD741-5DD7-4583-8174-038F8473EB12}" cache="Slicer_Dimension2Code1" caption="$Dimension2Code$" rowHeight="241300"/>
  <slicer name="$CurrencyCode$" xr10:uid="{554EB7D0-21E0-40A7-B349-75A1252F901D}" cache="Slicer_CurrencyCode" caption="$CurrencyCodeDisplay$" rowHeight="241300"/>
  <slicer name="$VendorNumber$ 1" xr10:uid="{45EAD728-B7F5-42D1-941F-13A6EA2AF7E6}" cache="Slicer_VendorNumber1" caption="$VendorNumb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2" xr10:uid="{61D56248-C385-46AA-B7FE-E4312FB0EA6A}" cache="Slicer_Dimension1Code2" caption="$Dimension1Code$" rowHeight="241300"/>
  <slicer name="$Dimension2Code$ 2" xr10:uid="{3D86696B-BE8F-4F75-A513-23F39B39D3DE}" cache="Slicer_Dimension2Code2" caption="$Dimension2Code$" rowHeight="241300"/>
  <slicer name="$VendorNumber$ 2" xr10:uid="{0C5E9494-F9C7-4E64-9A5E-C8D95F842E22}" cache="Slicer_VendorNumber2" caption="$VendorNumber$" rowHeight="241300"/>
  <slicer name="$CurrencyCode$ 1" xr10:uid="{1673DF4C-FC99-4ED6-BACE-22B6DAA12A84}" cache="Slicer_CurrencyCode1" caption="$CurrencyCodeDisplay$"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headerRowDxfId="46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48" totalsRowShown="0" headerRowDxfId="459" headerRowCellStyle="Normal" dataCellStyle="Normal">
  <autoFilter ref="A1:B48" xr:uid="{EF02A179-C226-4470-BF2E-AC1BEBC8C0D4}"/>
  <tableColumns count="2">
    <tableColumn id="1" xr3:uid="{9C04E6DA-1D54-48CA-A030-6BAD61CB0617}" name="Caption" dataCellStyle="Normal"/>
    <tableColumn id="2" xr3:uid="{89582DF0-EB9B-41CD-8C22-DFBA8F8BD440}" name="Value"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458">
  <autoFilter ref="A1:B10" xr:uid="{134EB915-8B19-4838-BDED-CECBACACF4F9}"/>
  <tableColumns count="2">
    <tableColumn id="1" xr3:uid="{5CBC1C08-5A8D-42BB-92CA-C3F1D0EF0A4D}" name="Report Property"/>
    <tableColumn id="2" xr3:uid="{920E2177-8B70-4968-B161-4C2CF0A824C6}" name="Report Property Value"/>
  </tableColumns>
  <tableStyleInfo name="Business Central Reports Table Style (Templat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0" totalsRowShown="0" headerRowDxfId="457">
  <autoFilter ref="D1:E10" xr:uid="{1DFF5EE2-2A86-40DE-9DFD-1E96553323F6}"/>
  <tableColumns count="2">
    <tableColumn id="1" xr3:uid="{E6EF2D44-8AB2-42E8-A7E3-9B148922AA59}" name="Request Property"/>
    <tableColumn id="2" xr3:uid="{FA31CE16-2D0E-4E4D-BC19-2B03E00E4B08}" name="Request Property Value"/>
  </tableColumns>
  <tableStyleInfo name="Business Central Reports Table Style (Templat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456">
  <autoFilter ref="G1:H2" xr:uid="{8D3A40BA-47FA-41F3-82A4-C5BD4909C0B4}"/>
  <tableColumns count="2">
    <tableColumn id="1" xr3:uid="{023648B2-C225-4580-B767-C48467418032}" name="Request Page Option"/>
    <tableColumn id="2" xr3:uid="{BBB51944-3368-483F-9ECA-E66C489A7E1A}" name="Request Page Option Value"/>
  </tableColumns>
  <tableStyleInfo name="Business Central Reports Table Style (Templat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455">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A60E1-070A-44A0-8D03-0FF594AFAB0B}" name="VendorAgingDataAnalysis" displayName="VendorAgingDataAnalysis" ref="A1:R2" tableType="queryTable" totalsRowShown="0">
  <autoFilter ref="A1:R2" xr:uid="{0BFA60E1-070A-44A0-8D03-0FF594AFAB0B}"/>
  <tableColumns count="18">
    <tableColumn id="1" xr3:uid="{90C9DBAF-0066-4C6F-9EC9-1BF017575D59}" uniqueName="1" name="PeriodStart" queryTableFieldId="1" dataDxfId="238"/>
    <tableColumn id="2" xr3:uid="{F30FDF91-EE5C-4FAA-8AB0-5756CAE1B7EA}" uniqueName="2" name="PeriodEnd" queryTableFieldId="2" dataDxfId="237"/>
    <tableColumn id="3" xr3:uid="{E4835A0C-04D1-44A1-A9A7-E8E529D6C342}" uniqueName="3" name="RemainingAmount" queryTableFieldId="3"/>
    <tableColumn id="4" xr3:uid="{84DAA2DF-2FA4-4039-84B9-13B358882DD6}" uniqueName="4" name="OriginalAmount" queryTableFieldId="4"/>
    <tableColumn id="5" xr3:uid="{C3BCA48E-2ED7-4635-B453-4CAF0B5721B2}" uniqueName="5" name="RemainingAmountLCY" queryTableFieldId="5"/>
    <tableColumn id="6" xr3:uid="{0C0FE0FD-AAE0-4D9D-A65C-5C63888C2822}" uniqueName="6" name="OriginalAmountLCY" queryTableFieldId="6"/>
    <tableColumn id="7" xr3:uid="{23619307-FB79-4AAB-808A-A9A52B620B3F}" uniqueName="7" name="Dimension1Code" queryTableFieldId="7" dataDxfId="454"/>
    <tableColumn id="8" xr3:uid="{2E3C85E6-A5E7-4B43-AB7A-499F20EFEF9F}" uniqueName="8" name="Dimension2Code" queryTableFieldId="8" dataDxfId="453"/>
    <tableColumn id="9" xr3:uid="{41BC04D7-A64D-48B8-803A-6C94CAEE6A64}" uniqueName="9" name="CurrencyCode" queryTableFieldId="9" dataDxfId="452"/>
    <tableColumn id="10" xr3:uid="{45D727F8-B2B2-4C52-961D-B48774526062}" uniqueName="10" name="PostingDate" queryTableFieldId="10" dataDxfId="236"/>
    <tableColumn id="11" xr3:uid="{7813A4C9-5B82-4AD8-9F88-3B260DAD493A}" uniqueName="11" name="DocumentDate" queryTableFieldId="11" dataDxfId="235"/>
    <tableColumn id="12" xr3:uid="{A2527635-C2E1-4D43-A65A-B3378416A9EA}" uniqueName="12" name="DueDate" queryTableFieldId="12" dataDxfId="234"/>
    <tableColumn id="16" xr3:uid="{7D68023C-AC08-42D6-8A3C-323FCEC35101}" uniqueName="16" name="ReportingDate" queryTableFieldId="16" dataDxfId="233"/>
    <tableColumn id="13" xr3:uid="{978D8D4E-527F-47EF-82E8-BD9423C8894B}" uniqueName="13" name="EntryNo" queryTableFieldId="13"/>
    <tableColumn id="14" xr3:uid="{C2F88C99-AEBF-4DD8-9CB9-1A83222ECFC4}" uniqueName="14" name="VendorNumber" queryTableFieldId="14" dataDxfId="451"/>
    <tableColumn id="15" xr3:uid="{DC91AC2D-ADB7-4264-9B10-DED0EBD716B1}" uniqueName="15" name="VendorName" queryTableFieldId="15" dataDxfId="450"/>
    <tableColumn id="17" xr3:uid="{2E9B7AEB-10E1-4697-ACBF-4BBA71D519E2}" uniqueName="17" name="DocumentType" queryTableFieldId="24"/>
    <tableColumn id="18" xr3:uid="{21243AEF-CE3E-49EA-9630-15EE5B511E5E}" uniqueName="18" name="DocumentNo" queryTableFieldId="25"/>
  </tableColumns>
  <tableStyleInfo name="TableStyleMedium7" showFirstColumn="0" showLastColumn="0" showRowStripes="1" showColumnStripes="0"/>
</table>
</file>

<file path=xl/tables/table8.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3" name="VendorAgingData" displayName="VendorAgingData" ref="A1:U2" insertRow="1" totalsRowShown="0" headerRowDxfId="449" dataDxfId="448" xr:uid="{BB0857BA-BDBE-4D1F-99F5-2B0107AF32C2}" mc:Ignorable="xr xr3">
  <x:autoFilter ref="A1:U2" xr:uid="{BB0857BA-BDBE-4D1F-99F5-2B0107AF32C2}"/>
  <x:tableColumns count="21">
    <x:tableColumn id="1" name="PeriodStart" dataDxfId="447" xr3:uid="{94F8FE3F-89B6-43A0-AA8C-74A9BA1DC0FE}"/>
    <x:tableColumn id="2" name="PeriodEnd" dataDxfId="446" xr3:uid="{6F2F7D9F-135F-4E78-BB89-C1406920E99D}"/>
    <x:tableColumn id="3" name="RemainingAmount" dataDxfId="445" xr3:uid="{A05E9A7B-C145-4A57-BE9E-46FDCF884C9E}"/>
    <x:tableColumn id="4" name="OriginalAmount" dataDxfId="444" xr3:uid="{F803A51B-F589-43AA-A3D0-4D3D685D3E62}"/>
    <x:tableColumn id="5" name="RemainingAmountLCY" dataDxfId="443" xr3:uid="{33094AF0-FD55-4F91-9B3D-870442CCF91E}"/>
    <x:tableColumn id="6" name="OriginalAmountLCY" dataDxfId="442" xr3:uid="{32E2DB60-F624-4A42-BF33-3B12589D4137}"/>
    <x:tableColumn id="7" name="Dimension1Code" dataDxfId="441" xr3:uid="{4E1D0BBB-7CC7-490E-8645-7FF21CE1DD89}"/>
    <x:tableColumn id="8" name="Dimension2Code" dataDxfId="440" xr3:uid="{D73191FB-FCAA-483C-BD10-A9406C9E74B0}"/>
    <x:tableColumn id="9" name="CurrencyCode" dataDxfId="439" xr3:uid="{79ECAD72-B90F-423B-A076-9ABECFB58AE7}"/>
    <x:tableColumn id="10" name="PostingDate" dataDxfId="438" xr3:uid="{49A91544-32A5-4821-A0FE-15C9119ED6FA}"/>
    <x:tableColumn id="11" name="DocumentDate" dataDxfId="437" xr3:uid="{D6CE6B8E-B3B0-4941-9192-83B8ED7A67D9}"/>
    <x:tableColumn id="12" name="DueDate" dataDxfId="436" xr3:uid="{59A978B5-D5B3-430D-8812-785B00537432}"/>
    <x:tableColumn id="13" name="ReportingDate" dataDxfId="435" xr3:uid="{B36292ED-CF4B-4B8D-BC85-14206E09248B}"/>
    <x:tableColumn id="14" name="ReportingDate_Month" dataDxfId="434" xr3:uid="{AB2CCCBB-083F-47F3-AEFD-DC487ACC3452}"/>
    <x:tableColumn id="15" name="ReportingDate_Quarter" dataDxfId="433" xr3:uid="{F3D0A412-8EF1-4F22-A5FB-5B831F46392C}"/>
    <x:tableColumn id="16" name="ReportingDate_Year" dataDxfId="432" xr3:uid="{F75B3413-97E8-43F3-B2B9-0F5A329E3FB8}"/>
    <x:tableColumn id="17" name="EntryNo" dataDxfId="431" xr3:uid="{87D2647F-B35C-46B2-B721-FB9FBB36C07E}"/>
    <x:tableColumn id="18" name="VendorNumber" dataDxfId="430" xr3:uid="{79B47C8D-967F-4ECA-AE42-0430F1429619}"/>
    <x:tableColumn id="19" name="VendorName" dataDxfId="429" xr3:uid="{27196541-DD99-41B6-9A47-B5630B9F2474}"/>
    <x:tableColumn id="20" name="DocumentType" dataDxfId="285" xr3:uid="{C8636D5C-8061-498A-B156-1C1814018C86}"/>
    <x:tableColumn id="21" name="DocumentNo" dataDxfId="284" xr3:uid="{192C0485-04FB-49BE-A609-3111C0909639}"/>
  </x:tableColumns>
  <x:tableStyleInfo name="TableStyleMedium2" showFirstColumn="0" showLastColumn="0" showRowStripes="1" showColumnStripes="0"/>
</x:table>
</file>

<file path=xl/tables/table9.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9" name="Dimension1" displayName="Dimension1" ref="A1:B2" totalsRowShown="0" headerRowDxfId="428" xr:uid="{41D726F2-778D-4B1C-A5EA-875FED73D050}" mc:Ignorable="xr xr3">
  <x:autoFilter ref="A1:B2" xr:uid="{41D726F2-778D-4B1C-A5EA-875FED73D050}"/>
  <x:tableColumns count="2">
    <x:tableColumn id="1" name="Dim1Code" xr3:uid="{21867904-D69E-41E3-B5BE-D9B124B8D7E4}"/>
    <x:tableColumn id="2" name="Dim1Name" xr3:uid="{21867904-D69E-41E3-B5BE-D9B124B8D7E4}"/>
  </x:tableColumns>
  <x:tableStyleInfo name="TableStyleMedium2" showFirstColumn="0" showLastColumn="0" showRowStripes="1" showColumnStripes="0"/>
</x:table>
</file>

<file path=xl/tables/table10.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0" name="Dimension2" displayName="Dimension2" ref="A1:B2" totalsRowShown="0" headerRowDxfId="427" xr:uid="{41D726F2-778D-4B1C-A5EA-875FED73D050}" mc:Ignorable="xr xr3">
  <x:autoFilter ref="A1:B2" xr:uid="{41D726F2-778D-4B1C-A5EA-875FED73D050}"/>
  <x:tableColumns count="2">
    <x:tableColumn id="1" name="Dim2Code" xr3:uid="{21867904-D69E-41E3-B5BE-D9B124B8D7E4}"/>
    <x:tableColumn id="2" name="Dim2Name" xr3:uid="{21867904-D69E-41E3-B5BE-D9B124B8D7E4}"/>
  </x:tableColumns>
  <x:tableStyleInfo name="TableStyleMedium2" showFirstColumn="0" showLastColumn="0" showRowStripes="1" showColumnStripes="0"/>
</x: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D798E-8901-498C-97EC-41B7A59A6A1B}">
  <sheetPr>
    <pageSetUpPr fitToPage="1"/>
  </sheetPr>
  <dimension ref="A1:AL25"/>
  <sheetViews>
    <sheetView showGridLines="0" tabSelected="1" topLeftCell="I1" workbookViewId="0">
      <selection activeCell="N8" sqref="N8"/>
    </sheetView>
  </sheetViews>
  <sheetFormatPr defaultColWidth="17.140625" defaultRowHeight="20.100000000000001" customHeight="1" x14ac:dyDescent="0.25"/>
  <cols>
    <col min="1" max="1" width="9.28515625" style="19" customWidth="1"/>
    <col min="2" max="2" width="10.85546875" style="8" customWidth="1"/>
    <col min="3" max="3" width="26.85546875" style="8" bestFit="1" customWidth="1"/>
    <col min="4" max="4" width="16" style="8" bestFit="1" customWidth="1"/>
    <col min="5" max="5" width="15.140625" style="8" bestFit="1" customWidth="1"/>
    <col min="6" max="6" width="12.140625" style="8" bestFit="1" customWidth="1"/>
    <col min="7" max="7" width="14.7109375" style="8" bestFit="1" customWidth="1"/>
    <col min="8" max="8" width="10.42578125" style="8" bestFit="1" customWidth="1"/>
    <col min="9" max="9" width="17.7109375" style="8" customWidth="1"/>
    <col min="10" max="10" width="18.7109375" style="8" customWidth="1"/>
    <col min="11" max="11" width="19.7109375" style="8" customWidth="1"/>
    <col min="12" max="12" width="14.28515625" style="8" customWidth="1"/>
    <col min="13" max="13" width="18.140625" style="8" bestFit="1" customWidth="1"/>
    <col min="14" max="14" width="15.5703125" style="8" bestFit="1" customWidth="1"/>
    <col min="15" max="15" width="23.140625" style="8" bestFit="1" customWidth="1"/>
    <col min="16" max="16" width="20.85546875" style="8" customWidth="1"/>
    <col min="17" max="18" width="23.85546875" style="8" bestFit="1" customWidth="1"/>
    <col min="19" max="16384" width="17.140625" style="8"/>
  </cols>
  <sheetData>
    <row r="1" spans="2:38" ht="20.100000000000001" customHeight="1" x14ac:dyDescent="0.25">
      <c r="AJ1"/>
      <c r="AK1"/>
      <c r="AL1"/>
    </row>
    <row r="2" spans="2:38" ht="20.100000000000001" customHeight="1" thickBot="1" x14ac:dyDescent="0.3">
      <c r="B2" s="9" t="s">
        <v>72</v>
      </c>
      <c r="P2" s="10" t="str" cm="1">
        <f t="array" ref="P2">ReportRequest.CompanyName</f>
        <v>Company name placeholder</v>
      </c>
      <c r="S2"/>
      <c r="T2"/>
      <c r="U2"/>
    </row>
    <row r="3" spans="2:38" ht="20.100000000000001" customHeight="1" thickTop="1" x14ac:dyDescent="0.25">
      <c r="S3"/>
      <c r="T3"/>
      <c r="U3"/>
    </row>
    <row r="4" spans="2:38" ht="20.100000000000001" customHeight="1" x14ac:dyDescent="0.25">
      <c r="B4" s="17" t="e">
        <f>_xlfn.CONCAT(Caption.AgedBy, " ", Caption.ReportingDate)</f>
        <v>#NAME?</v>
      </c>
      <c r="O4" s="11" t="e" cm="1">
        <f t="array" ref="O4">Caption.DataRetrieved</f>
        <v>#REF!</v>
      </c>
      <c r="P4" s="20" t="e" cm="1">
        <f t="array" ref="P4">ReportRequest.DateLocal</f>
        <v>#NAME?</v>
      </c>
      <c r="S4"/>
      <c r="T4"/>
      <c r="U4"/>
    </row>
    <row r="5" spans="2:38" ht="20.100000000000001" customHeight="1" x14ac:dyDescent="0.25">
      <c r="S5"/>
      <c r="T5"/>
      <c r="U5"/>
    </row>
    <row r="6" spans="2:38" ht="20.100000000000001" customHeight="1" x14ac:dyDescent="0.25">
      <c r="B6" s="17" t="e" cm="1">
        <f t="array" ref="B6">IF(EndingDate="", "", Caption.AgedAsOf)</f>
        <v>#N/A</v>
      </c>
      <c r="C6" s="21" t="e" cm="1">
        <f t="array" ref="C6">EndingDate</f>
        <v>#N/A</v>
      </c>
      <c r="S6"/>
      <c r="T6"/>
      <c r="U6"/>
    </row>
    <row r="8" spans="2:38" ht="20.100000000000001" customHeight="1" x14ac:dyDescent="0.25">
      <c r="B8" s="27" t="s">
        <v>51</v>
      </c>
      <c r="C8" s="27" t="s">
        <v>52</v>
      </c>
      <c r="D8" s="28" t="s">
        <v>151</v>
      </c>
      <c r="E8" s="28" t="s">
        <v>152</v>
      </c>
      <c r="F8" s="28" t="s">
        <v>153</v>
      </c>
      <c r="G8" s="28" t="s">
        <v>154</v>
      </c>
      <c r="H8" s="28" t="s">
        <v>68</v>
      </c>
      <c r="I8" s="27" t="s">
        <v>65</v>
      </c>
      <c r="J8" s="27" t="s">
        <v>64</v>
      </c>
      <c r="K8" s="27" t="s">
        <v>61</v>
      </c>
      <c r="L8" s="27" t="s">
        <v>57</v>
      </c>
      <c r="M8" s="27" t="s">
        <v>159</v>
      </c>
      <c r="N8" s="27" t="s">
        <v>160</v>
      </c>
      <c r="O8" s="29" t="s">
        <v>155</v>
      </c>
      <c r="P8" s="29" t="s">
        <v>156</v>
      </c>
      <c r="Q8" s="29" t="s">
        <v>157</v>
      </c>
      <c r="R8" s="29" t="s">
        <v>158</v>
      </c>
    </row>
    <row r="9" spans="2:38" ht="20.100000000000001" customHeight="1" x14ac:dyDescent="0.25">
      <c r="B9" s="8" t="s">
        <v>66</v>
      </c>
      <c r="C9" s="8" t="s">
        <v>67</v>
      </c>
      <c r="D9" s="18">
        <v>1</v>
      </c>
      <c r="E9" s="18">
        <v>1</v>
      </c>
      <c r="F9" s="18">
        <v>1</v>
      </c>
      <c r="G9" s="18">
        <v>1</v>
      </c>
      <c r="H9" s="18">
        <v>1</v>
      </c>
      <c r="I9" s="8" t="s">
        <v>67</v>
      </c>
      <c r="J9" s="8" t="s">
        <v>67</v>
      </c>
      <c r="K9" s="8" t="s">
        <v>67</v>
      </c>
      <c r="L9" s="8" t="s">
        <v>66</v>
      </c>
      <c r="M9" s="8" t="s">
        <v>67</v>
      </c>
      <c r="N9" s="8" t="s">
        <v>67</v>
      </c>
      <c r="O9" s="12">
        <v>0</v>
      </c>
      <c r="P9" s="12">
        <v>0</v>
      </c>
      <c r="Q9" s="12">
        <v>0</v>
      </c>
      <c r="R9" s="12">
        <v>0</v>
      </c>
    </row>
    <row r="10" spans="2:38" ht="20.100000000000001" customHeight="1" x14ac:dyDescent="0.25">
      <c r="B10" s="8" t="s">
        <v>49</v>
      </c>
      <c r="O10" s="12">
        <v>0</v>
      </c>
      <c r="P10" s="12">
        <v>0</v>
      </c>
      <c r="Q10" s="12">
        <v>0</v>
      </c>
      <c r="R10" s="12">
        <v>0</v>
      </c>
    </row>
    <row r="11" spans="2:38" ht="20.100000000000001" customHeight="1" x14ac:dyDescent="0.25">
      <c r="B11"/>
      <c r="C11"/>
      <c r="D11"/>
      <c r="E11"/>
      <c r="F11"/>
    </row>
    <row r="12" spans="2:38" ht="20.100000000000001" customHeight="1" x14ac:dyDescent="0.25">
      <c r="B12"/>
      <c r="C12"/>
      <c r="D12"/>
      <c r="E12"/>
      <c r="F12"/>
    </row>
    <row r="13" spans="2:38" ht="20.100000000000001" customHeight="1" x14ac:dyDescent="0.25">
      <c r="B13"/>
      <c r="C13"/>
      <c r="D13"/>
      <c r="E13"/>
      <c r="F13"/>
    </row>
    <row r="14" spans="2:38" ht="20.100000000000001" customHeight="1" x14ac:dyDescent="0.25">
      <c r="B14"/>
      <c r="C14"/>
      <c r="D14"/>
      <c r="E14"/>
      <c r="F14"/>
    </row>
    <row r="15" spans="2:38" ht="20.100000000000001" customHeight="1" x14ac:dyDescent="0.25">
      <c r="B15"/>
      <c r="C15"/>
      <c r="D15"/>
      <c r="E15"/>
      <c r="F15"/>
    </row>
    <row r="16" spans="2:38" ht="20.100000000000001" customHeight="1" x14ac:dyDescent="0.25">
      <c r="B16"/>
      <c r="C16"/>
      <c r="D16"/>
      <c r="E16"/>
      <c r="F16"/>
    </row>
    <row r="17" spans="2:6" ht="20.100000000000001" customHeight="1" x14ac:dyDescent="0.25">
      <c r="B17"/>
      <c r="C17"/>
      <c r="D17"/>
      <c r="E17"/>
      <c r="F17"/>
    </row>
    <row r="18" spans="2:6" ht="20.100000000000001" customHeight="1" x14ac:dyDescent="0.25">
      <c r="B18"/>
      <c r="C18"/>
      <c r="D18"/>
      <c r="E18"/>
      <c r="F18"/>
    </row>
    <row r="19" spans="2:6" ht="20.100000000000001" customHeight="1" x14ac:dyDescent="0.25">
      <c r="B19"/>
      <c r="C19"/>
      <c r="D19"/>
      <c r="E19"/>
      <c r="F19"/>
    </row>
    <row r="20" spans="2:6" ht="20.100000000000001" customHeight="1" x14ac:dyDescent="0.25">
      <c r="B20"/>
      <c r="C20"/>
      <c r="D20"/>
      <c r="E20"/>
      <c r="F20"/>
    </row>
    <row r="21" spans="2:6" ht="20.100000000000001" customHeight="1" x14ac:dyDescent="0.25">
      <c r="B21"/>
      <c r="C21"/>
      <c r="D21"/>
      <c r="E21"/>
      <c r="F21"/>
    </row>
    <row r="22" spans="2:6" ht="20.100000000000001" customHeight="1" x14ac:dyDescent="0.25">
      <c r="B22"/>
      <c r="C22"/>
      <c r="D22"/>
    </row>
    <row r="23" spans="2:6" ht="20.100000000000001" customHeight="1" x14ac:dyDescent="0.25">
      <c r="B23"/>
      <c r="C23"/>
      <c r="D23"/>
    </row>
    <row r="24" spans="2:6" ht="20.100000000000001" customHeight="1" x14ac:dyDescent="0.25">
      <c r="B24"/>
      <c r="C24"/>
      <c r="D24"/>
    </row>
    <row r="25" spans="2:6" ht="20.100000000000001" customHeight="1" x14ac:dyDescent="0.25">
      <c r="B25"/>
      <c r="C25"/>
      <c r="D25"/>
    </row>
  </sheetData>
  <phoneticPr fontId="4" type="noConversion"/>
  <printOptions horizontalCentered="1"/>
  <pageMargins left="0.23622047244094491" right="0.23622047244094491" top="0.74803149606299213" bottom="0.74803149606299213" header="0.31496062992125984" footer="0.31496062992125984"/>
  <pageSetup paperSize="9" scale="43"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70D4-8E83-4EA6-8B3E-B542031F738F}">
  <dimension ref="A1:I7"/>
  <sheetViews>
    <sheetView showGridLines="0" workbookViewId="0"/>
  </sheetViews>
  <sheetFormatPr defaultColWidth="8.7109375" defaultRowHeight="20.100000000000001" customHeight="1" x14ac:dyDescent="0.25"/>
  <cols>
    <col min="1" max="1" width="55.85546875" style="19" customWidth="1"/>
    <col min="2" max="2" width="20.85546875" style="8" bestFit="1" customWidth="1"/>
    <col min="3" max="3" width="16.85546875" style="8" bestFit="1" customWidth="1"/>
    <col min="4" max="4" width="22.7109375" style="8" bestFit="1" customWidth="1"/>
    <col min="5" max="5" width="25.7109375" style="8" bestFit="1" customWidth="1"/>
    <col min="6" max="6" width="24.85546875" style="8" bestFit="1" customWidth="1"/>
    <col min="7" max="7" width="18" style="8" bestFit="1" customWidth="1"/>
    <col min="8" max="16" width="24.85546875" style="8" bestFit="1" customWidth="1"/>
    <col min="17" max="17" width="10.85546875" style="8" bestFit="1" customWidth="1"/>
    <col min="18" max="18" width="24.85546875" style="8" bestFit="1" customWidth="1"/>
    <col min="19" max="19" width="10.85546875" style="8" bestFit="1" customWidth="1"/>
    <col min="20" max="20" width="10.42578125" style="8" bestFit="1" customWidth="1"/>
    <col min="21" max="21" width="8.85546875" style="8" bestFit="1" customWidth="1"/>
    <col min="22" max="22" width="10" style="8" bestFit="1" customWidth="1"/>
    <col min="23" max="23" width="10.140625" style="8" bestFit="1" customWidth="1"/>
    <col min="24" max="24" width="11.42578125" style="8" bestFit="1" customWidth="1"/>
    <col min="25" max="16384" width="8.7109375" style="8"/>
  </cols>
  <sheetData>
    <row r="1" spans="2:9" ht="20.25" x14ac:dyDescent="0.25">
      <c r="B1" s="27" t="s">
        <v>53</v>
      </c>
      <c r="C1" s="30"/>
      <c r="D1" s="27" t="s">
        <v>63</v>
      </c>
      <c r="E1" s="27" t="s">
        <v>64</v>
      </c>
      <c r="F1" s="27" t="s">
        <v>65</v>
      </c>
      <c r="G1" s="27" t="s">
        <v>62</v>
      </c>
    </row>
    <row r="2" spans="2:9" ht="20.25" x14ac:dyDescent="0.25">
      <c r="B2" s="30"/>
      <c r="C2" s="30"/>
      <c r="D2" s="30" t="s">
        <v>55</v>
      </c>
      <c r="E2" s="30" t="s">
        <v>49</v>
      </c>
      <c r="H2" s="15"/>
      <c r="I2" s="13"/>
    </row>
    <row r="3" spans="2:9" ht="20.25" x14ac:dyDescent="0.25">
      <c r="B3" s="30"/>
      <c r="C3" s="30"/>
      <c r="D3" s="30" t="s">
        <v>50</v>
      </c>
      <c r="E3" s="30"/>
      <c r="H3" s="15"/>
      <c r="I3" s="14"/>
    </row>
    <row r="4" spans="2:9" ht="20.25" x14ac:dyDescent="0.25">
      <c r="B4" s="30"/>
      <c r="C4" s="30"/>
      <c r="D4" s="30" t="s">
        <v>56</v>
      </c>
      <c r="E4" s="30"/>
    </row>
    <row r="5" spans="2:9" ht="20.25" x14ac:dyDescent="0.25">
      <c r="B5" s="27" t="s">
        <v>51</v>
      </c>
      <c r="C5" s="27" t="s">
        <v>52</v>
      </c>
      <c r="E5" s="30"/>
    </row>
    <row r="6" spans="2:9" ht="20.100000000000001" customHeight="1" x14ac:dyDescent="0.25">
      <c r="B6" s="8" t="s">
        <v>66</v>
      </c>
      <c r="C6" s="8" t="s">
        <v>67</v>
      </c>
      <c r="D6" s="12">
        <v>0</v>
      </c>
      <c r="E6" s="12">
        <v>0</v>
      </c>
    </row>
    <row r="7" spans="2:9" ht="20.100000000000001" customHeight="1" x14ac:dyDescent="0.25">
      <c r="B7" s="8" t="s">
        <v>49</v>
      </c>
      <c r="D7" s="12">
        <v>0</v>
      </c>
      <c r="E7" s="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4DCF-1976-40B6-A1F4-3A3B0B62B5B3}">
  <dimension ref="A1:I7"/>
  <sheetViews>
    <sheetView showGridLines="0" zoomScaleNormal="100" workbookViewId="0"/>
  </sheetViews>
  <sheetFormatPr defaultColWidth="8.7109375" defaultRowHeight="20.100000000000001" customHeight="1" x14ac:dyDescent="0.25"/>
  <cols>
    <col min="1" max="1" width="56.140625" style="19" customWidth="1"/>
    <col min="2" max="2" width="31.28515625" style="8" bestFit="1" customWidth="1"/>
    <col min="3" max="3" width="26.85546875" style="8" bestFit="1" customWidth="1"/>
    <col min="4" max="4" width="24" style="8" bestFit="1" customWidth="1"/>
    <col min="5" max="5" width="22.7109375" style="8" bestFit="1" customWidth="1"/>
    <col min="6" max="6" width="25.7109375" style="8" bestFit="1" customWidth="1"/>
    <col min="7" max="7" width="24.85546875" style="8" bestFit="1" customWidth="1"/>
    <col min="8" max="8" width="18" style="8" bestFit="1" customWidth="1"/>
    <col min="9" max="19" width="24.85546875" style="8" bestFit="1" customWidth="1"/>
    <col min="20" max="20" width="11.140625" style="8" bestFit="1" customWidth="1"/>
    <col min="21" max="16384" width="8.7109375" style="8"/>
  </cols>
  <sheetData>
    <row r="1" spans="2:9" ht="20.25" x14ac:dyDescent="0.25">
      <c r="B1" s="27" t="s">
        <v>53</v>
      </c>
      <c r="C1" s="30"/>
      <c r="D1" s="30"/>
      <c r="E1" s="27" t="s">
        <v>63</v>
      </c>
      <c r="F1" s="27" t="s">
        <v>64</v>
      </c>
      <c r="G1" s="27" t="s">
        <v>65</v>
      </c>
      <c r="H1" s="27" t="s">
        <v>62</v>
      </c>
    </row>
    <row r="2" spans="2:9" ht="20.25" x14ac:dyDescent="0.25">
      <c r="B2" s="30"/>
      <c r="C2" s="30"/>
      <c r="D2" s="30"/>
      <c r="E2" s="30" t="s">
        <v>55</v>
      </c>
      <c r="F2" s="30" t="s">
        <v>49</v>
      </c>
      <c r="I2" s="13"/>
    </row>
    <row r="3" spans="2:9" ht="20.25" x14ac:dyDescent="0.25">
      <c r="B3" s="30"/>
      <c r="C3" s="30"/>
      <c r="D3" s="30"/>
      <c r="E3" s="30" t="s">
        <v>50</v>
      </c>
      <c r="F3" s="30"/>
      <c r="I3" s="14"/>
    </row>
    <row r="4" spans="2:9" ht="20.25" x14ac:dyDescent="0.25">
      <c r="B4" s="30"/>
      <c r="C4" s="30"/>
      <c r="D4" s="30"/>
      <c r="E4" s="30" t="s">
        <v>56</v>
      </c>
      <c r="F4" s="30"/>
    </row>
    <row r="5" spans="2:9" ht="20.25" x14ac:dyDescent="0.25">
      <c r="B5" s="27" t="s">
        <v>51</v>
      </c>
      <c r="C5" s="27" t="s">
        <v>52</v>
      </c>
      <c r="D5" s="27" t="s">
        <v>57</v>
      </c>
      <c r="F5" s="30"/>
    </row>
    <row r="6" spans="2:9" ht="20.100000000000001" customHeight="1" x14ac:dyDescent="0.25">
      <c r="B6" s="8" t="s">
        <v>66</v>
      </c>
      <c r="C6" s="8" t="s">
        <v>67</v>
      </c>
      <c r="D6" s="8" t="s">
        <v>66</v>
      </c>
      <c r="E6" s="12">
        <v>0</v>
      </c>
      <c r="F6" s="12">
        <v>0</v>
      </c>
    </row>
    <row r="7" spans="2:9" ht="20.100000000000001" customHeight="1" x14ac:dyDescent="0.25">
      <c r="B7" s="8" t="s">
        <v>49</v>
      </c>
      <c r="E7" s="12">
        <v>0</v>
      </c>
      <c r="F7" s="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93DC-0B6B-4C88-BA86-D2606433B0DD}">
  <dimension ref="A1:K4"/>
  <sheetViews>
    <sheetView showGridLines="0" workbookViewId="0"/>
  </sheetViews>
  <sheetFormatPr defaultColWidth="8.7109375" defaultRowHeight="20.100000000000001" customHeight="1" x14ac:dyDescent="0.25"/>
  <cols>
    <col min="1" max="1" width="56.140625" style="19" customWidth="1"/>
    <col min="2" max="2" width="23" style="8" bestFit="1" customWidth="1"/>
    <col min="3" max="3" width="26.85546875" style="8" bestFit="1" customWidth="1"/>
    <col min="4" max="4" width="10.42578125" style="8" bestFit="1" customWidth="1"/>
    <col min="5" max="5" width="13" style="8" customWidth="1"/>
    <col min="6" max="6" width="12.28515625" style="8" customWidth="1"/>
    <col min="7" max="7" width="12.7109375" style="8" bestFit="1" customWidth="1"/>
    <col min="8" max="8" width="24" style="8" bestFit="1" customWidth="1"/>
    <col min="9" max="9" width="11.140625" style="8" bestFit="1" customWidth="1"/>
    <col min="10" max="11" width="23.28515625" style="8" bestFit="1" customWidth="1"/>
    <col min="12" max="12" width="11.140625" style="8" bestFit="1" customWidth="1"/>
    <col min="13" max="13" width="8.5703125" style="8" bestFit="1" customWidth="1"/>
    <col min="14" max="14" width="11.140625" style="8" bestFit="1" customWidth="1"/>
    <col min="15" max="26" width="24.85546875" style="8" bestFit="1" customWidth="1"/>
    <col min="27" max="27" width="11.140625" style="8" bestFit="1" customWidth="1"/>
    <col min="28" max="16384" width="8.7109375" style="8"/>
  </cols>
  <sheetData>
    <row r="1" spans="2:11" ht="20.25" x14ac:dyDescent="0.25">
      <c r="B1" s="27" t="s">
        <v>54</v>
      </c>
      <c r="C1" s="30"/>
      <c r="D1" s="30"/>
      <c r="E1" s="30"/>
      <c r="F1" s="30"/>
      <c r="G1" s="30"/>
      <c r="H1" s="27" t="s">
        <v>57</v>
      </c>
      <c r="I1" s="30"/>
    </row>
    <row r="2" spans="2:11" ht="20.25" x14ac:dyDescent="0.25">
      <c r="B2" s="27" t="s">
        <v>51</v>
      </c>
      <c r="C2" s="27" t="s">
        <v>52</v>
      </c>
      <c r="D2" s="27" t="s">
        <v>70</v>
      </c>
      <c r="E2" s="27" t="s">
        <v>69</v>
      </c>
      <c r="F2" s="27" t="s">
        <v>71</v>
      </c>
      <c r="G2" s="27" t="s">
        <v>68</v>
      </c>
      <c r="H2" s="30" t="s">
        <v>66</v>
      </c>
      <c r="I2" s="30" t="s">
        <v>49</v>
      </c>
      <c r="J2" s="15"/>
      <c r="K2" s="13"/>
    </row>
    <row r="3" spans="2:11" ht="20.100000000000001" customHeight="1" x14ac:dyDescent="0.25">
      <c r="B3" s="8" t="s">
        <v>66</v>
      </c>
      <c r="C3" s="8" t="s">
        <v>67</v>
      </c>
      <c r="D3" s="8" t="s">
        <v>55</v>
      </c>
      <c r="E3" s="8" t="s">
        <v>50</v>
      </c>
      <c r="F3" s="8" t="s">
        <v>56</v>
      </c>
      <c r="H3" s="12">
        <v>0</v>
      </c>
      <c r="I3" s="12">
        <v>0</v>
      </c>
      <c r="J3" s="15"/>
      <c r="K3" s="14"/>
    </row>
    <row r="4" spans="2:11" ht="20.25" x14ac:dyDescent="0.25">
      <c r="B4" s="30" t="s">
        <v>49</v>
      </c>
      <c r="C4" s="30"/>
      <c r="D4" s="30"/>
      <c r="E4" s="30"/>
      <c r="F4" s="30"/>
      <c r="G4" s="30"/>
      <c r="H4" s="12">
        <v>0</v>
      </c>
      <c r="I4" s="12">
        <v>0</v>
      </c>
      <c r="K4"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BCF-77F2-431F-B6CE-E8732D39E739}">
  <dimension ref="A1:C7"/>
  <sheetViews>
    <sheetView showGridLines="0" workbookViewId="0"/>
  </sheetViews>
  <sheetFormatPr defaultColWidth="8.7109375" defaultRowHeight="20.100000000000001" customHeight="1" x14ac:dyDescent="0.25"/>
  <cols>
    <col min="1" max="1" width="20.7109375" style="8" customWidth="1"/>
    <col min="2" max="2" width="25.5703125" style="8" customWidth="1"/>
    <col min="3" max="16384" width="8.7109375" style="8"/>
  </cols>
  <sheetData>
    <row r="1" spans="1:3" ht="20.100000000000001" customHeight="1" x14ac:dyDescent="0.25">
      <c r="A1" s="16" t="s">
        <v>145</v>
      </c>
      <c r="B1" s="17" t="str" cm="1">
        <f t="array" ref="B1">ReportRequest.EnvironmentName</f>
        <v>Environment name placeholder</v>
      </c>
    </row>
    <row r="2" spans="1:3" ht="20.100000000000001" customHeight="1" x14ac:dyDescent="0.25">
      <c r="A2" s="16" t="s">
        <v>146</v>
      </c>
      <c r="B2" s="17" t="str" cm="1">
        <f t="array" ref="B2">ReportRequest.CompanyName</f>
        <v>Company name placeholder</v>
      </c>
    </row>
    <row r="3" spans="1:3" ht="20.100000000000001" customHeight="1" x14ac:dyDescent="0.25">
      <c r="A3" s="16" t="s">
        <v>147</v>
      </c>
      <c r="B3" s="17" t="str" cm="1">
        <f t="array" ref="B3">ReportRequest.UserName</f>
        <v>User name placeholder</v>
      </c>
    </row>
    <row r="4" spans="1:3" ht="20.100000000000001" customHeight="1" x14ac:dyDescent="0.25">
      <c r="A4" s="16" t="s">
        <v>148</v>
      </c>
      <c r="B4" s="22" t="e" cm="1">
        <f t="array" ref="B4">ReportRequest.DateLocal</f>
        <v>#NAME?</v>
      </c>
    </row>
    <row r="5" spans="1:3" ht="20.100000000000001" customHeight="1" x14ac:dyDescent="0.25">
      <c r="A5" s="16"/>
      <c r="B5" s="25" t="e" cm="1">
        <f t="array" ref="B5">ReportRequest.DateLocal</f>
        <v>#NAME?</v>
      </c>
      <c r="C5" s="24"/>
    </row>
    <row r="6" spans="1:3" ht="20.100000000000001" customHeight="1" x14ac:dyDescent="0.25">
      <c r="A6" s="16" t="s">
        <v>149</v>
      </c>
      <c r="B6" s="17" t="e" cm="1">
        <f t="array" ref="B6">ReportMetadata.ObjectCaption</f>
        <v>#NAME?</v>
      </c>
    </row>
    <row r="7" spans="1:3" ht="20.100000000000001" customHeight="1" x14ac:dyDescent="0.25">
      <c r="A7" s="16" t="s">
        <v>150</v>
      </c>
      <c r="B7" s="23" t="str">
        <f>HYPERLINK(_xlfn.CONCAT("https://learn.microsoft.com/dynamics365/business-central/reports/report-",ReportMetadata.ObjectID))</f>
        <v>https://learn.microsoft.com/dynamics365/business-central/reports/report-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74C0-9486-43C8-8FB3-CE80F0D256B9}">
  <dimension ref="A1:C1"/>
  <sheetViews>
    <sheetView workbookViewId="0">
      <selection activeCell="D6" sqref="D6"/>
    </sheetView>
  </sheetViews>
  <sheetFormatPr defaultRowHeight="14.25" x14ac:dyDescent="0.25"/>
  <cols>
    <col min="1" max="1" width="17" customWidth="1"/>
    <col min="2" max="2" width="11.42578125" customWidth="1"/>
  </cols>
  <sheetData>
    <row r="1" spans="1:3" x14ac:dyDescent="0.25">
      <c r="A1" s="2" t="s">
        <v>2</v>
      </c>
      <c r="B1" s="2" t="s">
        <v>0</v>
      </c>
      <c r="C1" s="2"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5659A-5229-4CB7-B0C5-C91387382145}">
  <dimension ref="A1:B48"/>
  <sheetViews>
    <sheetView workbookViewId="0">
      <selection activeCell="B19" sqref="B19"/>
    </sheetView>
  </sheetViews>
  <sheetFormatPr defaultRowHeight="14.25" x14ac:dyDescent="0.25"/>
  <cols>
    <col min="1" max="1" width="34.140625" bestFit="1" customWidth="1"/>
    <col min="2" max="2" width="38.42578125" bestFit="1" customWidth="1"/>
  </cols>
  <sheetData>
    <row r="1" spans="1:2" x14ac:dyDescent="0.25">
      <c r="A1" s="2" t="s">
        <v>3</v>
      </c>
      <c r="B1" s="2" t="s">
        <v>1</v>
      </c>
    </row>
    <row r="2" spans="1:2" x14ac:dyDescent="0.25">
      <c r="A2" t="s">
        <v>42</v>
      </c>
      <c r="B2" t="s">
        <v>73</v>
      </c>
    </row>
    <row r="3" spans="1:2" x14ac:dyDescent="0.25">
      <c r="A3" t="s">
        <v>43</v>
      </c>
      <c r="B3" t="s">
        <v>74</v>
      </c>
    </row>
    <row r="4" spans="1:2" x14ac:dyDescent="0.25">
      <c r="A4" t="s">
        <v>29</v>
      </c>
      <c r="B4" t="s">
        <v>75</v>
      </c>
    </row>
    <row r="5" spans="1:2" x14ac:dyDescent="0.25">
      <c r="A5" t="s">
        <v>30</v>
      </c>
      <c r="B5" t="s">
        <v>76</v>
      </c>
    </row>
    <row r="6" spans="1:2" x14ac:dyDescent="0.25">
      <c r="A6" t="s">
        <v>31</v>
      </c>
      <c r="B6" t="s">
        <v>77</v>
      </c>
    </row>
    <row r="7" spans="1:2" x14ac:dyDescent="0.25">
      <c r="A7" t="s">
        <v>32</v>
      </c>
      <c r="B7" t="s">
        <v>78</v>
      </c>
    </row>
    <row r="8" spans="1:2" x14ac:dyDescent="0.25">
      <c r="A8" t="s">
        <v>33</v>
      </c>
      <c r="B8" t="s">
        <v>79</v>
      </c>
    </row>
    <row r="9" spans="1:2" x14ac:dyDescent="0.25">
      <c r="A9" t="s">
        <v>34</v>
      </c>
      <c r="B9" t="s">
        <v>80</v>
      </c>
    </row>
    <row r="10" spans="1:2" x14ac:dyDescent="0.25">
      <c r="A10" t="s">
        <v>35</v>
      </c>
      <c r="B10" t="s">
        <v>81</v>
      </c>
    </row>
    <row r="11" spans="1:2" x14ac:dyDescent="0.25">
      <c r="A11" t="s">
        <v>36</v>
      </c>
      <c r="B11" t="s">
        <v>82</v>
      </c>
    </row>
    <row r="12" spans="1:2" x14ac:dyDescent="0.25">
      <c r="A12" t="s">
        <v>38</v>
      </c>
      <c r="B12" t="s">
        <v>83</v>
      </c>
    </row>
    <row r="13" spans="1:2" x14ac:dyDescent="0.25">
      <c r="A13" t="s">
        <v>39</v>
      </c>
      <c r="B13" t="s">
        <v>84</v>
      </c>
    </row>
    <row r="14" spans="1:2" x14ac:dyDescent="0.25">
      <c r="A14" t="s">
        <v>40</v>
      </c>
      <c r="B14" t="s">
        <v>85</v>
      </c>
    </row>
    <row r="15" spans="1:2" x14ac:dyDescent="0.25">
      <c r="A15" t="s">
        <v>58</v>
      </c>
      <c r="B15" t="s">
        <v>85</v>
      </c>
    </row>
    <row r="16" spans="1:2" x14ac:dyDescent="0.25">
      <c r="A16" t="s">
        <v>59</v>
      </c>
      <c r="B16" t="s">
        <v>86</v>
      </c>
    </row>
    <row r="17" spans="1:2" x14ac:dyDescent="0.25">
      <c r="A17" t="s">
        <v>60</v>
      </c>
      <c r="B17" t="s">
        <v>87</v>
      </c>
    </row>
    <row r="18" spans="1:2" x14ac:dyDescent="0.25">
      <c r="A18" t="s">
        <v>61</v>
      </c>
      <c r="B18" t="s">
        <v>88</v>
      </c>
    </row>
    <row r="19" spans="1:2" x14ac:dyDescent="0.25">
      <c r="A19" t="s">
        <v>41</v>
      </c>
      <c r="B19" t="s">
        <v>89</v>
      </c>
    </row>
    <row r="20" spans="1:2" x14ac:dyDescent="0.25">
      <c r="A20" t="s">
        <v>45</v>
      </c>
      <c r="B20" t="s">
        <v>90</v>
      </c>
    </row>
    <row r="21" spans="1:2" x14ac:dyDescent="0.25">
      <c r="A21" t="s">
        <v>46</v>
      </c>
      <c r="B21" t="s">
        <v>74</v>
      </c>
    </row>
    <row r="22" spans="1:2" x14ac:dyDescent="0.25">
      <c r="A22" t="s">
        <v>47</v>
      </c>
      <c r="B22" t="s">
        <v>90</v>
      </c>
    </row>
    <row r="23" spans="1:2" x14ac:dyDescent="0.25">
      <c r="A23" t="s">
        <v>48</v>
      </c>
      <c r="B23" t="s">
        <v>74</v>
      </c>
    </row>
    <row r="24" spans="1:2" x14ac:dyDescent="0.25">
      <c r="A24" t="s">
        <v>91</v>
      </c>
      <c r="B24" t="s">
        <v>92</v>
      </c>
    </row>
    <row r="25" spans="1:2" x14ac:dyDescent="0.25">
      <c r="A25" t="s">
        <v>93</v>
      </c>
      <c r="B25" t="s">
        <v>94</v>
      </c>
    </row>
    <row r="26" spans="1:2" x14ac:dyDescent="0.25">
      <c r="A26" t="s">
        <v>95</v>
      </c>
      <c r="B26" t="s">
        <v>96</v>
      </c>
    </row>
    <row r="27" spans="1:2" x14ac:dyDescent="0.25">
      <c r="A27" t="s">
        <v>97</v>
      </c>
      <c r="B27" t="s">
        <v>98</v>
      </c>
    </row>
    <row r="28" spans="1:2" x14ac:dyDescent="0.25">
      <c r="A28" t="s">
        <v>99</v>
      </c>
      <c r="B28" t="s">
        <v>100</v>
      </c>
    </row>
    <row r="29" spans="1:2" x14ac:dyDescent="0.25">
      <c r="A29" t="s">
        <v>101</v>
      </c>
      <c r="B29" t="s">
        <v>102</v>
      </c>
    </row>
    <row r="30" spans="1:2" x14ac:dyDescent="0.25">
      <c r="A30" t="s">
        <v>103</v>
      </c>
      <c r="B30" t="s">
        <v>104</v>
      </c>
    </row>
    <row r="31" spans="1:2" x14ac:dyDescent="0.25">
      <c r="A31" t="s">
        <v>105</v>
      </c>
      <c r="B31" t="s">
        <v>106</v>
      </c>
    </row>
    <row r="32" spans="1:2" x14ac:dyDescent="0.25">
      <c r="A32" t="s">
        <v>107</v>
      </c>
      <c r="B32" t="s">
        <v>108</v>
      </c>
    </row>
    <row r="33" spans="1:2" x14ac:dyDescent="0.25">
      <c r="A33" t="s">
        <v>109</v>
      </c>
      <c r="B33" t="s">
        <v>86</v>
      </c>
    </row>
    <row r="34" spans="1:2" x14ac:dyDescent="0.25">
      <c r="A34" t="s">
        <v>110</v>
      </c>
      <c r="B34" t="s">
        <v>87</v>
      </c>
    </row>
    <row r="35" spans="1:2" x14ac:dyDescent="0.25">
      <c r="A35" t="s">
        <v>111</v>
      </c>
      <c r="B35" t="s">
        <v>88</v>
      </c>
    </row>
    <row r="36" spans="1:2" x14ac:dyDescent="0.25">
      <c r="A36" t="s">
        <v>112</v>
      </c>
      <c r="B36" t="s">
        <v>113</v>
      </c>
    </row>
    <row r="37" spans="1:2" x14ac:dyDescent="0.25">
      <c r="A37" t="s">
        <v>114</v>
      </c>
      <c r="B37" t="s">
        <v>115</v>
      </c>
    </row>
    <row r="38" spans="1:2" x14ac:dyDescent="0.25">
      <c r="A38" t="s">
        <v>116</v>
      </c>
      <c r="B38" t="s">
        <v>117</v>
      </c>
    </row>
    <row r="39" spans="1:2" x14ac:dyDescent="0.25">
      <c r="A39" t="s">
        <v>118</v>
      </c>
      <c r="B39" t="s">
        <v>119</v>
      </c>
    </row>
    <row r="40" spans="1:2" x14ac:dyDescent="0.25">
      <c r="A40" t="s">
        <v>120</v>
      </c>
      <c r="B40" t="s">
        <v>121</v>
      </c>
    </row>
    <row r="41" spans="1:2" x14ac:dyDescent="0.25">
      <c r="A41" t="s">
        <v>122</v>
      </c>
      <c r="B41" t="s">
        <v>123</v>
      </c>
    </row>
    <row r="42" spans="1:2" x14ac:dyDescent="0.25">
      <c r="A42" t="s">
        <v>124</v>
      </c>
      <c r="B42" t="s">
        <v>125</v>
      </c>
    </row>
    <row r="43" spans="1:2" x14ac:dyDescent="0.25">
      <c r="A43" t="s">
        <v>126</v>
      </c>
      <c r="B43" t="s">
        <v>127</v>
      </c>
    </row>
    <row r="44" spans="1:2" x14ac:dyDescent="0.25">
      <c r="A44" t="s">
        <v>128</v>
      </c>
      <c r="B44" t="s">
        <v>129</v>
      </c>
    </row>
    <row r="45" spans="1:2" x14ac:dyDescent="0.25">
      <c r="A45" t="s">
        <v>130</v>
      </c>
      <c r="B45" t="s">
        <v>131</v>
      </c>
    </row>
    <row r="46" spans="1:2" x14ac:dyDescent="0.25">
      <c r="A46" t="s">
        <v>132</v>
      </c>
      <c r="B46" t="s">
        <v>133</v>
      </c>
    </row>
    <row r="47" spans="1:2" x14ac:dyDescent="0.25">
      <c r="A47" t="s">
        <v>134</v>
      </c>
      <c r="B47" t="s">
        <v>135</v>
      </c>
    </row>
    <row r="48" spans="1:2" x14ac:dyDescent="0.25">
      <c r="A48" t="s">
        <v>136</v>
      </c>
      <c r="B48" t="s">
        <v>137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69FB7-6345-41B7-930E-338C8F1100F2}">
  <dimension ref="A1:K10"/>
  <sheetViews>
    <sheetView workbookViewId="0"/>
  </sheetViews>
  <sheetFormatPr defaultRowHeight="14.25" x14ac:dyDescent="0.25"/>
  <cols>
    <col min="1" max="1" width="25.7109375" customWidth="1"/>
    <col min="2" max="2" width="40.7109375" customWidth="1"/>
    <col min="3" max="3" width="5.7109375" customWidth="1"/>
    <col min="4" max="4" width="25.7109375" customWidth="1"/>
    <col min="5" max="5" width="40.7109375" customWidth="1"/>
    <col min="6" max="6" width="5.7109375" customWidth="1"/>
    <col min="7" max="7" width="25.7109375" customWidth="1"/>
    <col min="8" max="8" width="40.7109375" customWidth="1"/>
    <col min="9" max="9" width="5.7109375" customWidth="1"/>
    <col min="10" max="10" width="40.7109375" customWidth="1"/>
    <col min="11" max="11" width="25.7109375" customWidth="1"/>
  </cols>
  <sheetData>
    <row r="1" spans="1:11" ht="16.5" x14ac:dyDescent="0.3">
      <c r="A1" s="1" t="s">
        <v>6</v>
      </c>
      <c r="B1" s="1" t="s">
        <v>7</v>
      </c>
      <c r="D1" s="1" t="s">
        <v>17</v>
      </c>
      <c r="E1" s="1" t="s">
        <v>18</v>
      </c>
      <c r="G1" s="1" t="s">
        <v>4</v>
      </c>
      <c r="H1" s="1" t="s">
        <v>5</v>
      </c>
      <c r="J1" s="1" t="s">
        <v>27</v>
      </c>
      <c r="K1" s="1" t="s">
        <v>28</v>
      </c>
    </row>
    <row r="2" spans="1:11" x14ac:dyDescent="0.25">
      <c r="A2" t="s">
        <v>8</v>
      </c>
      <c r="D2" t="s">
        <v>19</v>
      </c>
      <c r="G2" t="s">
        <v>4</v>
      </c>
      <c r="J2" t="s">
        <v>27</v>
      </c>
    </row>
    <row r="3" spans="1:11" x14ac:dyDescent="0.25">
      <c r="A3" t="s">
        <v>9</v>
      </c>
      <c r="D3" t="s">
        <v>20</v>
      </c>
      <c r="E3" t="s">
        <v>139</v>
      </c>
    </row>
    <row r="4" spans="1:11" x14ac:dyDescent="0.25">
      <c r="A4" t="s">
        <v>10</v>
      </c>
      <c r="D4" t="s">
        <v>21</v>
      </c>
    </row>
    <row r="5" spans="1:11" x14ac:dyDescent="0.25">
      <c r="A5" t="s">
        <v>11</v>
      </c>
      <c r="D5" t="s">
        <v>22</v>
      </c>
      <c r="E5" t="s">
        <v>140</v>
      </c>
    </row>
    <row r="6" spans="1:11" x14ac:dyDescent="0.25">
      <c r="A6" t="s">
        <v>12</v>
      </c>
      <c r="D6" t="s">
        <v>23</v>
      </c>
    </row>
    <row r="7" spans="1:11" x14ac:dyDescent="0.25">
      <c r="A7" t="s">
        <v>13</v>
      </c>
      <c r="D7" t="s">
        <v>24</v>
      </c>
      <c r="E7" t="s">
        <v>141</v>
      </c>
    </row>
    <row r="8" spans="1:11" x14ac:dyDescent="0.25">
      <c r="A8" t="s">
        <v>14</v>
      </c>
      <c r="B8" t="s">
        <v>138</v>
      </c>
      <c r="D8" t="s">
        <v>25</v>
      </c>
      <c r="E8" t="s">
        <v>142</v>
      </c>
    </row>
    <row r="9" spans="1:11" x14ac:dyDescent="0.25">
      <c r="A9" t="s">
        <v>15</v>
      </c>
      <c r="D9" t="s">
        <v>0</v>
      </c>
      <c r="E9" t="s">
        <v>143</v>
      </c>
    </row>
    <row r="10" spans="1:11" x14ac:dyDescent="0.25">
      <c r="A10" t="s">
        <v>16</v>
      </c>
      <c r="D10" t="s">
        <v>26</v>
      </c>
      <c r="E10" t="s">
        <v>144</v>
      </c>
    </row>
  </sheetData>
  <pageMargins left="0.7" right="0.7" top="0.75" bottom="0.75" header="0.3" footer="0.3"/>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60A5-A408-4E02-A0E5-1C054C8D8102}">
  <dimension ref="A1:R2"/>
  <sheetViews>
    <sheetView workbookViewId="0">
      <selection sqref="A1:S2"/>
    </sheetView>
  </sheetViews>
  <sheetFormatPr defaultRowHeight="14.25" x14ac:dyDescent="0.25"/>
  <cols>
    <col min="1" max="1" width="13.140625" bestFit="1" customWidth="1"/>
    <col min="2" max="2" width="12.28515625" bestFit="1" customWidth="1"/>
    <col min="3" max="3" width="20.140625" bestFit="1" customWidth="1"/>
    <col min="4" max="4" width="17.7109375" bestFit="1" customWidth="1"/>
    <col min="5" max="5" width="23.42578125" bestFit="1" customWidth="1"/>
    <col min="6" max="6" width="21.140625" bestFit="1" customWidth="1"/>
    <col min="7" max="8" width="18.42578125" bestFit="1" customWidth="1"/>
    <col min="9" max="9" width="15.5703125" bestFit="1" customWidth="1"/>
    <col min="10" max="10" width="14.140625" bestFit="1" customWidth="1"/>
    <col min="11" max="11" width="16.7109375" bestFit="1" customWidth="1"/>
    <col min="12" max="12" width="11" bestFit="1" customWidth="1"/>
    <col min="13" max="13" width="16.28515625" bestFit="1" customWidth="1"/>
    <col min="14" max="14" width="10.42578125" bestFit="1" customWidth="1"/>
    <col min="15" max="15" width="17" bestFit="1" customWidth="1"/>
    <col min="16" max="16" width="14.85546875" bestFit="1" customWidth="1"/>
    <col min="17" max="17" width="16.85546875" bestFit="1" customWidth="1"/>
    <col min="18" max="18" width="15" bestFit="1" customWidth="1"/>
    <col min="19" max="19" width="10.42578125" bestFit="1" customWidth="1"/>
    <col min="20" max="20" width="17" bestFit="1" customWidth="1"/>
    <col min="21" max="21" width="14.85546875" customWidth="1"/>
  </cols>
  <sheetData>
    <row r="1" spans="1:18" x14ac:dyDescent="0.25">
      <c r="A1" t="s">
        <v>29</v>
      </c>
      <c r="B1" t="s">
        <v>30</v>
      </c>
      <c r="C1" t="s">
        <v>31</v>
      </c>
      <c r="D1" t="s">
        <v>32</v>
      </c>
      <c r="E1" t="s">
        <v>33</v>
      </c>
      <c r="F1" t="s">
        <v>34</v>
      </c>
      <c r="G1" t="s">
        <v>35</v>
      </c>
      <c r="H1" t="s">
        <v>36</v>
      </c>
      <c r="I1" t="s">
        <v>37</v>
      </c>
      <c r="J1" t="s">
        <v>38</v>
      </c>
      <c r="K1" t="s">
        <v>39</v>
      </c>
      <c r="L1" t="s">
        <v>40</v>
      </c>
      <c r="M1" t="s">
        <v>58</v>
      </c>
      <c r="N1" t="s">
        <v>41</v>
      </c>
      <c r="O1" t="s">
        <v>42</v>
      </c>
      <c r="P1" t="s">
        <v>43</v>
      </c>
      <c r="Q1" t="s">
        <v>159</v>
      </c>
      <c r="R1" t="s">
        <v>160</v>
      </c>
    </row>
    <row r="2" spans="1:18" x14ac:dyDescent="0.25">
      <c r="A2" s="3">
        <v>1</v>
      </c>
      <c r="B2" s="3">
        <v>1</v>
      </c>
      <c r="C2">
        <v>0</v>
      </c>
      <c r="D2">
        <v>0</v>
      </c>
      <c r="E2">
        <v>0</v>
      </c>
      <c r="F2">
        <v>0</v>
      </c>
      <c r="G2" t="s">
        <v>66</v>
      </c>
      <c r="H2" t="s">
        <v>66</v>
      </c>
      <c r="I2" t="s">
        <v>66</v>
      </c>
      <c r="J2" s="3">
        <v>1</v>
      </c>
      <c r="K2" s="3">
        <v>1</v>
      </c>
      <c r="L2" s="3">
        <v>1</v>
      </c>
      <c r="M2" s="3">
        <v>1</v>
      </c>
      <c r="N2">
        <v>0</v>
      </c>
      <c r="O2" t="s">
        <v>66</v>
      </c>
    </row>
  </sheetData>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10B3A-E2DE-4426-A02C-35EC2B708980}">
  <dimension ref="A1:U2"/>
  <sheetViews>
    <sheetView workbookViewId="0">
      <selection activeCell="U1" sqref="U1"/>
    </sheetView>
  </sheetViews>
  <sheetFormatPr defaultRowHeight="14.25" x14ac:dyDescent="0.25"/>
  <cols>
    <col min="1" max="1" width="18.42578125" customWidth="1"/>
    <col min="2" max="2" width="10.28515625" customWidth="1"/>
    <col min="3" max="6" width="9.28515625" customWidth="1"/>
    <col min="10" max="11" width="10.28515625" customWidth="1"/>
    <col min="12" max="12" width="11.85546875" bestFit="1" customWidth="1"/>
    <col min="13" max="13" width="9.28515625" customWidth="1"/>
  </cols>
  <sheetData>
    <row r="1" spans="1:21" x14ac:dyDescent="0.25">
      <c r="A1" t="s">
        <v>29</v>
      </c>
      <c r="B1" t="s">
        <v>30</v>
      </c>
      <c r="C1" t="s">
        <v>31</v>
      </c>
      <c r="D1" t="s">
        <v>32</v>
      </c>
      <c r="E1" t="s">
        <v>33</v>
      </c>
      <c r="F1" t="s">
        <v>34</v>
      </c>
      <c r="G1" t="s">
        <v>35</v>
      </c>
      <c r="H1" t="s">
        <v>36</v>
      </c>
      <c r="I1" t="s">
        <v>37</v>
      </c>
      <c r="J1" t="s">
        <v>38</v>
      </c>
      <c r="K1" t="s">
        <v>39</v>
      </c>
      <c r="L1" t="s">
        <v>40</v>
      </c>
      <c r="M1" t="s">
        <v>58</v>
      </c>
      <c r="N1" t="s">
        <v>59</v>
      </c>
      <c r="O1" t="s">
        <v>60</v>
      </c>
      <c r="P1" t="s">
        <v>61</v>
      </c>
      <c r="Q1" t="s">
        <v>41</v>
      </c>
      <c r="R1" t="s">
        <v>42</v>
      </c>
      <c r="S1" t="s">
        <v>43</v>
      </c>
      <c r="T1" s="26" t="s">
        <v>159</v>
      </c>
      <c r="U1" s="26" t="s">
        <v>160</v>
      </c>
    </row>
    <row r="2" spans="1:21" ht="16.5" x14ac:dyDescent="0.3">
      <c r="A2" s="4"/>
      <c r="B2" s="4"/>
      <c r="C2" s="5"/>
      <c r="D2" s="5"/>
      <c r="E2" s="5"/>
      <c r="F2" s="5"/>
      <c r="G2" s="6"/>
      <c r="H2" s="6"/>
      <c r="I2" s="6"/>
      <c r="J2" s="4"/>
      <c r="K2" s="4"/>
      <c r="L2" s="4"/>
      <c r="M2" s="4"/>
      <c r="N2" s="7"/>
      <c r="O2" s="7"/>
      <c r="P2" s="7"/>
      <c r="Q2" s="7"/>
      <c r="R2" s="6"/>
      <c r="S2" s="6"/>
      <c r="T2" s="7"/>
      <c r="U2" s="7"/>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7DCD-6D54-4E33-BF58-7A31532C2C42}">
  <dimension ref="A1:B2"/>
  <sheetViews>
    <sheetView workbookViewId="0"/>
  </sheetViews>
  <sheetFormatPr defaultRowHeight="14.25" x14ac:dyDescent="0.25"/>
  <cols>
    <col min="1" max="1" width="18.42578125" customWidth="1"/>
  </cols>
  <sheetData>
    <row r="1" spans="1:2" x14ac:dyDescent="0.25">
      <c r="A1" s="2" t="s">
        <v>45</v>
      </c>
      <c r="B1" s="2" t="s">
        <v>46</v>
      </c>
    </row>
    <row r="2" spans="1:2" x14ac:dyDescent="0.25">
      <c r="A2" t="s">
        <v>44</v>
      </c>
      <c r="B2" t="s">
        <v>44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50E3-43FD-4F2D-B1CE-29B0F5BE2486}">
  <dimension ref="A1:B2"/>
  <sheetViews>
    <sheetView workbookViewId="0"/>
  </sheetViews>
  <sheetFormatPr defaultRowHeight="14.25" x14ac:dyDescent="0.25"/>
  <cols>
    <col min="1" max="1" width="18.42578125" customWidth="1"/>
  </cols>
  <sheetData>
    <row r="1" spans="1:2" x14ac:dyDescent="0.25">
      <c r="A1" s="2" t="s">
        <v>47</v>
      </c>
      <c r="B1" s="2" t="s">
        <v>48</v>
      </c>
    </row>
    <row r="2" spans="1:2" x14ac:dyDescent="0.25">
      <c r="A2" t="s">
        <v>44</v>
      </c>
      <c r="B2"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125249-8277-40FB-A6D6-B419FDE39876}">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$AgedAccountsPayablePrint$</vt:lpstr>
      <vt:lpstr>$ByPeriodLCY$</vt:lpstr>
      <vt:lpstr>$ByPeriodFCY$</vt:lpstr>
      <vt:lpstr>$DueByCurrencies$</vt:lpstr>
      <vt:lpstr>$AboutTheReportLabel$</vt:lpstr>
      <vt:lpstr>TranslationData</vt:lpstr>
      <vt:lpstr>CaptionData</vt:lpstr>
      <vt:lpstr>Aggregated Metadata</vt:lpstr>
      <vt:lpstr>VendorAgingData_Query</vt:lpstr>
      <vt:lpstr>VendorAgingData</vt:lpstr>
      <vt:lpstr>Dimension1</vt:lpstr>
      <vt:lpstr>Dimension2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Neelesh Singhal (Alletec Pty Ltd)</cp:lastModifiedBy>
  <cp:lastPrinted>2025-02-12T12:44:43Z</cp:lastPrinted>
  <dcterms:modified xsi:type="dcterms:W3CDTF">2026-04-07T10:08:41Z</dcterms:modified>
</cp:coreProperties>
</file>
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Repos\Gold\Yellowstone.Adeline\app\Inventory\Reports\"/>
    </mc:Choice>
  </mc:AlternateContent>
  <xr:revisionPtr revIDLastSave="0" documentId="13_ncr:1_{94E82CE3-3880-4FFB-9D44-2A6EDE2B82C5}" xr6:coauthVersionLast="47" xr6:coauthVersionMax="47" xr10:uidLastSave="{00000000-0000-0000-0000-000000000000}"/>
  <bookViews>
    <workbookView xWindow="-108" yWindow="-108" windowWidth="30936" windowHeight="16776" xr2:uid="{00000000-000D-0000-FFFF-FFFF00000000}"/>
  </bookViews>
  <sheets>
    <sheet name="$InventoryTransDetailPrintLbl$" sheetId="8" r:id="rId1"/>
    <sheet name="$InvTransDetailAnalysisLbl$" sheetId="9" r:id="rId2"/>
    <sheet name="$AboutTheReportLbl$" sheetId="7" r:id="rId3"/>
    <sheet name="InventoryTransDetail_Query" sheetId="5" state="hidden" r:id="rId4"/>
    <sheet name="Data" sheetId="1" state="hidden" r:id="rId5"/>
    <sheet name="TranslationData" sheetId="2" state="hidden" r:id="rId6"/>
    <sheet name="CaptionData" sheetId="3" state="hidden" r:id="rId7"/>
    <sheet name="Aggregated Metadata" sheetId="4" state="hidden" r:id="rId8"/>
  </sheets>
  <definedNames>
    <definedName name="ExternalData_1" localSheetId="3" hidden="1">InventoryTransDetail_Query!$A$1:$L$2</definedName>
    <definedName name="ItemFilterHeading">_xlfn.XLOOKUP("ItemFilterHeading", ReportRequestPageValues[Request Page Option], ReportRequestPageValues[Request Page Option Value])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Description_Item">#N/A</definedName>
    <definedName name="Slicer_DocumentNo_PItemLedgEntry">#N/A</definedName>
    <definedName name="Slicer_EntryType_ItemLedgEntry">#N/A</definedName>
    <definedName name="Slicer_No_Item">#N/A</definedName>
  </definedNames>
  <calcPr calcId="191029"/>
  <pivotCaches>
    <pivotCache cacheId="15"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8" l="1" a="1"/>
  <c r="B4" i="8" s="1"/>
  <c r="M2" i="8" a="1"/>
  <c r="M2" i="8" s="1"/>
  <c r="L4" i="8" a="1"/>
  <c r="L4" i="8" s="1"/>
  <c r="M4" i="8" a="1"/>
  <c r="M4" i="8" s="1"/>
  <c r="B7" i="7"/>
  <c r="B6" i="7" a="1"/>
  <c r="B6" i="7" s="1"/>
  <c r="B5" i="7" a="1"/>
  <c r="B5" i="7" s="1"/>
  <c r="B4" i="7" a="1"/>
  <c r="B4" i="7" s="1"/>
  <c r="B3" i="7" a="1"/>
  <c r="B3" i="7" s="1"/>
  <c r="B2" i="7" a="1"/>
  <c r="B2" i="7" s="1"/>
  <c r="B1" i="7" a="1"/>
  <c r="B1"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923163-C778-45C6-B91D-78ABABD73E3D}" keepAlive="1" name="Query - InventoryTransDetail_Query" description="Connection to the 'InventoryTransDetail_Query' query in the workbook." type="5" refreshedVersion="8" refreshOnLoad="1" saveData="1">
    <dbPr connection="Provider=Microsoft.Mashup.OleDb.1;Data Source=$Workbook$;Location=InventoryTransDetail_Query;Extended Properties=&quot;&quot;" command="SELECT * FROM [InventoryTransDetail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<sst xmlns="http://schemas.openxmlformats.org/spreadsheetml/2006/main" count="138" uniqueCount="96">
  <si>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</si>
  <si>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</si>
  <si>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</si>
  <si>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</si>
  <si>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</si>
  <si>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</si>
  <si>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</si>
  <si>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</si>
  <si>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</si>
  <si>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</si>
  <si>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</si>
  <si>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</si>
  <si>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</si>
  <si>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</si>
  <si>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</si>
  <si>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</si>
  <si>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</si>
  <si>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</si>
  <si>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</si>
  <si>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</si>
  <si>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</si>
  <si>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</si>
  <si>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</si>
  <si>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</si>
  <si>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</si>
  <si>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</si>
  <si>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</si>
  <si>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</si>
  <si>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</si>
  <si>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</si>
  <si>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</si>
  <si>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</si>
  <si>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</si>
  <si>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</si>
  <si>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</si>
  <si>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</si>
  <si>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</si>
  <si>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</si>
  <si>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</si>
  <si>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</si>
  <si>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</si>
  <si>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</si>
  <si>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</si>
  <si>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</si>
  <si>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</si>
  <si>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</si>
  <si>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</si>
  <si>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</si>
  <si>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</si>
  <si>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</si>
  <si>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</si>
  <si>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</si>
  <si>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</si>
  <si>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</si>
  <si>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</si>
  <si>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</si>
  <si>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</si>
  <si>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</si>
  <si>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</si>
  <si>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</si>
  <si>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</si>
  <si>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</si>
  <si>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</si>
  <si>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</si>
  <si>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No_Item</t>
  </si>
  <si>
    <t>Description_Item</t>
  </si>
  <si>
    <t>PostingDate_ItemLedgEntry</t>
  </si>
  <si>
    <t>EntryType_ItemLedgEntry</t>
  </si>
  <si>
    <t>DocumentNo_PItemLedgEntry</t>
  </si>
  <si>
    <t>Description_ItemLedgEntry</t>
  </si>
  <si>
    <t>IncreasesQty</t>
  </si>
  <si>
    <t>DecreasesQty</t>
  </si>
  <si>
    <t>ItemOnHand</t>
  </si>
  <si>
    <t>EntryNo_ItemLedgerEntry</t>
  </si>
  <si>
    <t/>
  </si>
  <si>
    <t>$EnvironmentLbl$</t>
  </si>
  <si>
    <t>$CompanyLbl$</t>
  </si>
  <si>
    <t>$UserLbl$</t>
  </si>
  <si>
    <t>$RunOnLbl$</t>
  </si>
  <si>
    <t>$ReportNameLbl$</t>
  </si>
  <si>
    <t>$DocumentationLbl$</t>
  </si>
  <si>
    <t>$InventoryTransactionDetailLbl$</t>
  </si>
  <si>
    <t>$ItemNoLbl$</t>
  </si>
  <si>
    <t>$ItemDescLbl$</t>
  </si>
  <si>
    <t>$EntryNoLbl$</t>
  </si>
  <si>
    <t>$PostingDateLbl$</t>
  </si>
  <si>
    <t>$EntryTypeLbl$</t>
  </si>
  <si>
    <t>$DocumentNoLbl$</t>
  </si>
  <si>
    <t>$DescriptionLbl$</t>
  </si>
  <si>
    <t>$InventoryLbl$</t>
  </si>
  <si>
    <t>$IncreasesLbl$</t>
  </si>
  <si>
    <t>$DecreasesLbl$</t>
  </si>
  <si>
    <t>TotalIncreasesQty</t>
  </si>
  <si>
    <t>TotalDecreasesQty</t>
  </si>
  <si>
    <t>$TotalIncreasesLbl$</t>
  </si>
  <si>
    <t>$TotalDecreasesLbl$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</si>
</sst>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7" x14ac:knownFonts="1">
    <font>
      <sz val="11"/>
      <name val="Segoe UI"/>
      <family val="2"/>
      <scheme val="minor"/>
    </font>
    <font>
      <b/>
      <sz val="11"/>
      <name val="Segoe UI"/>
      <family val="2"/>
      <scheme val="minor"/>
    </font>
    <font>
      <sz val="10"/>
      <color theme="1"/>
      <name val="Segoe UI Semibold"/>
      <family val="2"/>
      <scheme val="major"/>
    </font>
    <font>
      <sz val="10"/>
      <name val="Segoe UI"/>
      <family val="2"/>
      <scheme val="minor"/>
    </font>
    <font>
      <sz val="14"/>
      <name val="Segoe UI"/>
      <family val="2"/>
      <scheme val="minor"/>
    </font>
    <font>
      <u/>
      <sz val="11"/>
      <color theme="10"/>
      <name val="Segoe UI"/>
      <family val="2"/>
      <scheme val="minor"/>
    </font>
    <font>
      <b/>
      <sz val="15"/>
      <color theme="1"/>
      <name val="Segoe UI"/>
      <family val="2"/>
      <scheme val="minor"/>
    </font>
    <font>
      <b/>
      <sz val="13"/>
      <color theme="1"/>
      <name val="Segoe UI"/>
      <family val="2"/>
      <scheme val="minor"/>
    </font>
    <font>
      <b/>
      <sz val="18"/>
      <color rgb="FF212121"/>
      <name val="Segoe UI Semibold"/>
      <family val="2"/>
    </font>
    <font>
      <sz val="11"/>
      <name val="Segoe UI"/>
      <family val="2"/>
    </font>
    <font>
      <b/>
      <sz val="10"/>
      <color rgb="FF212121"/>
      <name val="Segoe UI Semibold"/>
      <family val="2"/>
    </font>
    <font>
      <sz val="10"/>
      <color rgb="FF212121"/>
      <name val="Segoe UI"/>
      <family val="2"/>
    </font>
    <font>
      <sz val="10"/>
      <name val="Segoe UI"/>
      <family val="2"/>
    </font>
    <font>
      <sz val="8"/>
      <name val="Segoe UI"/>
      <family val="2"/>
      <scheme val="minor"/>
    </font>
    <font>
      <u/>
      <sz val="10"/>
      <color theme="10"/>
      <name val="Segoe UI"/>
      <family val="2"/>
      <scheme val="minor"/>
    </font>
    <font>
      <sz val="10"/>
      <name val="Segoe UI Semibold"/>
      <family val="2"/>
      <scheme val="major"/>
    </font>
    <font>
      <sz val="10"/>
      <name val="Segoe UI Semibold"/>
      <scheme val="major"/>
    </font>
  </fonts>
  <fills count="3">
    <fill>
      <patternFill patternType="none"/>
    </fill>
    <fill>
      <patternFill patternType="gray125"/>
    </fill>
    <fill>
      <patternFill patternType="solid">
        <fgColor rgb="FFC0C0C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thick">
        <color rgb="FFE9EBED"/>
      </bottom>
      <diagonal/>
    </border>
  </borders>
  <cellStyleXfs count="4">
    <xf numFmtId="0" fontId="0" fillId="0" borderId="0"/>
    <xf numFmtId="0" fontId="5" fillId="0" borderId="0" applyNumberFormat="0" applyFill="0" applyBorder="0" applyAlignment="0" applyProtection="0"/>
    <xf numFmtId="0" fontId="6" fillId="0" borderId="1" applyNumberFormat="0" applyFill="0" applyBorder="0" applyAlignment="0" applyProtection="0"/>
    <xf numFmtId="0" fontId="7" fillId="0" borderId="2" applyNumberFormat="0" applyFill="0" applyAlignment="0" applyProtection="0"/>
  </cellStyleXfs>
  <cellXfs count="25">
    <xf numFmtId="0" fontId="0" fillId="0" borderId="0" xfId="0"/>
    <xf numFmtId="49" fontId="1" fillId="2" borderId="0" xfId="0" applyNumberFormat="1" applyFont="1" applyFill="1"/>
    <xf numFmtId="0" fontId="2" fillId="0" borderId="0" xfId="0" applyFont="1" applyAlignment="1">
      <alignment vertical="center"/>
    </xf>
    <xf numFmtId="0" fontId="3" fillId="0" borderId="0" xfId="0" applyFont="1" applyAlignment="1">
      <alignment horizontal="left" vertical="center"/>
    </xf>
    <xf numFmtId="0" fontId="4" fillId="0" borderId="0" xfId="0" applyFont="1" applyAlignment="1">
      <alignment vertical="center"/>
    </xf>
    <xf numFmtId="164" fontId="3" fillId="0" borderId="0" xfId="0" applyNumberFormat="1" applyFont="1" applyAlignment="1">
      <alignment horizontal="left" vertical="center"/>
    </xf>
    <xf numFmtId="165" fontId="3" fillId="0" borderId="0" xfId="0" applyNumberFormat="1" applyFont="1" applyAlignment="1">
      <alignment horizontal="left" vertical="center"/>
    </xf>
    <xf numFmtId="0" fontId="3" fillId="0" borderId="0" xfId="0" applyFont="1" applyAlignment="1">
      <alignment vertical="center"/>
    </xf>
    <xf numFmtId="0" fontId="0" fillId="0" borderId="0" xfId="0" applyAlignment="1">
      <alignment vertical="center"/>
    </xf>
    <xf numFmtId="0" fontId="4" fillId="0" borderId="0" xfId="0" applyFont="1"/>
    <xf numFmtId="0" fontId="8" fillId="0" borderId="0" xfId="2" applyFont="1" applyFill="1" applyBorder="1" applyAlignment="1">
      <alignment vertical="center"/>
    </xf>
    <xf numFmtId="0" fontId="9" fillId="0" borderId="0" xfId="0" applyFont="1"/>
    <xf numFmtId="0" fontId="10" fillId="0" borderId="3" xfId="3" applyFont="1" applyFill="1" applyBorder="1" applyAlignment="1">
      <alignment horizontal="right" vertical="center"/>
    </xf>
    <xf numFmtId="0" fontId="11" fillId="0" borderId="0" xfId="0" applyFont="1" applyAlignment="1">
      <alignment horizontal="right" vertical="center"/>
    </xf>
    <xf numFmtId="164" fontId="11" fillId="0" borderId="0" xfId="0" applyNumberFormat="1" applyFont="1" applyAlignment="1">
      <alignment horizontal="right" vertical="center"/>
    </xf>
    <xf numFmtId="14" fontId="12" fillId="0" borderId="0" xfId="0" applyNumberFormat="1" applyFont="1" applyAlignment="1">
      <alignment horizontal="left" vertical="center"/>
    </xf>
    <xf numFmtId="0" fontId="12" fillId="0" borderId="0" xfId="0" applyFont="1" applyAlignment="1">
      <alignment horizontal="left" vertical="center"/>
    </xf>
    <xf numFmtId="49" fontId="0" fillId="0" borderId="0" xfId="0" applyNumberFormat="1"/>
    <xf numFmtId="4" fontId="0" fillId="0" borderId="0" xfId="0" applyNumberFormat="1"/>
    <xf numFmtId="1" fontId="0" fillId="0" borderId="0" xfId="0" applyNumberFormat="1"/>
    <xf numFmtId="0" fontId="14" fillId="0" borderId="0" xfId="1" applyFont="1" applyAlignment="1">
      <alignment horizontal="left" vertical="center"/>
    </xf>
    <xf numFmtId="0" fontId="15" fillId="0" borderId="0" xfId="0" pivotButton="1" applyFont="1" applyAlignment="1">
      <alignment vertical="center"/>
    </xf>
    <xf numFmtId="0" fontId="15" fillId="0" borderId="0" xfId="0" pivotButton="1" applyFont="1" applyAlignment="1">
      <alignment horizontal="right" vertical="center"/>
    </xf>
    <xf numFmtId="0" fontId="16" fillId="0" borderId="0" xfId="0" pivotButton="1" applyFont="1" applyAlignment="1">
      <alignment vertical="center"/>
    </xf>
    <xf numFmtId="0" fontId="16" fillId="0" borderId="0" xfId="0" pivotButton="1" applyFont="1" applyAlignment="1">
      <alignment horizontal="right" vertical="center"/>
    </xf>
  </cellXfs>
  <cellStyles count="4">
    <cellStyle name="Heading 1 2" xfId="2" xr:uid="{ECD49E62-DAD7-453A-BC3A-9D950399A841}"/>
    <cellStyle name="Heading 2 2" xfId="3" xr:uid="{4F70CF05-A092-4589-ABF8-00E56881A448}"/>
    <cellStyle name="Hyperlink" xfId="1" builtinId="8"/>
    <cellStyle name="Normal" xfId="0" builtinId="0"/>
  </cellStyles>
  <dxfs count="578">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alignment horizontal="right"/>
    </dxf>
    <dxf>
      <alignment horizontal="right"/>
    </dxf>
    <dxf>
      <alignment vertical="center"/>
    </dxf>
    <dxf>
      <alignment vertical="center"/>
    </dxf>
    <dxf>
      <alignment vertical="center"/>
    </dxf>
    <dxf>
      <alignment vertical="center"/>
    </dxf>
    <dxf>
      <alignment vertical="center"/>
    </dxf>
    <dxf>
      <alignment vertical="center"/>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alignment vertical="center"/>
    </dxf>
    <dxf>
      <alignment vertical="center"/>
    </dxf>
    <dxf>
      <alignment vertical="center"/>
    </dxf>
    <dxf>
      <alignment vertical="center"/>
    </dxf>
    <dxf>
      <alignment vertical="center"/>
    </dxf>
    <dxf>
      <alignment horizontal="right"/>
    </dxf>
    <dxf>
      <alignment horizontal="right"/>
    </dxf>
    <dxf>
      <alignment horizontal="right"/>
    </dxf>
    <dxf>
      <alignment horizontal="right"/>
    </dxf>
    <dxf>
      <alignment horizontal="righ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right"/>
    </dxf>
    <dxf>
      <alignment horizontal="right"/>
    </dxf>
    <dxf>
      <alignment horizontal="right"/>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horizontal="right"/>
    </dxf>
    <dxf>
      <alignment horizontal="right"/>
    </dxf>
    <dxf>
      <alignment horizontal="right"/>
    </dxf>
    <dxf>
      <alignment horizontal="right"/>
    </dxf>
    <dxf>
      <alignment vertical="center"/>
    </dxf>
    <dxf>
      <alignment vertical="center"/>
    </dxf>
    <dxf>
      <alignment vertical="center"/>
    </dxf>
    <dxf>
      <alignment vertical="center"/>
    </dxf>
    <dxf>
      <alignment vertical="center"/>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alignment vertical="center"/>
    </dxf>
    <dxf>
      <alignment vertical="center"/>
    </dxf>
    <dxf>
      <alignment vertical="center"/>
    </dxf>
    <dxf>
      <alignment vertical="center"/>
    </dxf>
    <dxf>
      <alignment vertical="center"/>
    </dxf>
    <dxf>
      <alignment vertical="center"/>
    </dxf>
    <dxf>
      <alignment horizontal="right"/>
    </dxf>
    <dxf>
      <alignment horizontal="righ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 Table Style (Template)" table="0" count="4" xr9:uid="{10C15036-F5C6-4AEE-B63C-F9AD415DC511}">
      <tableStyleElement type="wholeTable" dxfId="577"/>
      <tableStyleElement type="headerRow" dxfId="576"/>
      <tableStyleElement type="totalRow" dxfId="575"/>
      <tableStyleElement type="secondRowStripe" dxfId="574"/>
    </tableStyle>
    <tableStyle name="Business Central Reports Slicer Style (Template)" pivot="0" table="0" count="10" xr9:uid="{2AB773E6-87CB-4F85-A864-01C74BEC412F}">
      <tableStyleElement type="wholeTable" dxfId="573"/>
      <tableStyleElement type="headerRow" dxfId="572"/>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7620</xdr:colOff>
      <xdr:row>0</xdr:row>
      <xdr:rowOff>0</xdr:rowOff>
    </xdr:from>
    <xdr:to>
      <xdr:col>0</xdr:col>
      <xdr:colOff>1825620</xdr:colOff>
      <xdr:row>10</xdr:row>
      <xdr:rowOff>19200</xdr:rowOff>
    </xdr:to>
    <mc:AlternateContent xmlns:mc="http://schemas.openxmlformats.org/markup-compatibility/2006" xmlns:a14="http://schemas.microsoft.com/office/drawing/2010/main">
      <mc:Choice Requires="a14">
        <xdr:graphicFrame macro="">
          <xdr:nvGraphicFramePr>
            <xdr:cNvPr id="2" name="$ItemNoCaptionLbl$">
              <a:extLst>
                <a:ext uri="{FF2B5EF4-FFF2-40B4-BE49-F238E27FC236}">
                  <a16:creationId xmlns:a16="http://schemas.microsoft.com/office/drawing/2014/main" id="{E2CD54AC-91AF-879B-1ED7-F1FC377C6129}"/>
                </a:ext>
              </a:extLst>
            </xdr:cNvPr>
            <xdr:cNvGraphicFramePr/>
          </xdr:nvGraphicFramePr>
          <xdr:xfrm>
            <a:off x="0" y="0"/>
            <a:ext cx="0" cy="0"/>
          </xdr:xfrm>
          <a:graphic>
            <a:graphicData uri="http://schemas.microsoft.com/office/drawing/2010/slicer">
              <sle:slicer xmlns:sle="http://schemas.microsoft.com/office/drawing/2010/slicer" name="$ItemNoCaptionLbl$"/>
            </a:graphicData>
          </a:graphic>
        </xdr:graphicFrame>
      </mc:Choice>
      <mc:Fallback xmlns="">
        <xdr:sp macro="" textlink="">
          <xdr:nvSpPr>
            <xdr:cNvPr id="0" name=""/>
            <xdr:cNvSpPr>
              <a:spLocks noTextEdit="1"/>
            </xdr:cNvSpPr>
          </xdr:nvSpPr>
          <xdr:spPr>
            <a:xfrm>
              <a:off x="762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1866900</xdr:colOff>
      <xdr:row>10</xdr:row>
      <xdr:rowOff>60960</xdr:rowOff>
    </xdr:from>
    <xdr:to>
      <xdr:col>0</xdr:col>
      <xdr:colOff>3684900</xdr:colOff>
      <xdr:row>20</xdr:row>
      <xdr:rowOff>80160</xdr:rowOff>
    </xdr:to>
    <mc:AlternateContent xmlns:mc="http://schemas.openxmlformats.org/markup-compatibility/2006" xmlns:a14="http://schemas.microsoft.com/office/drawing/2010/main">
      <mc:Choice Requires="a14">
        <xdr:graphicFrame macro="">
          <xdr:nvGraphicFramePr>
            <xdr:cNvPr id="5" name="$DocumentNoCaptionLbl$">
              <a:extLst>
                <a:ext uri="{FF2B5EF4-FFF2-40B4-BE49-F238E27FC236}">
                  <a16:creationId xmlns:a16="http://schemas.microsoft.com/office/drawing/2014/main" id="{35F10999-E483-3DD8-A455-0CA1A53CC182}"/>
                </a:ext>
              </a:extLst>
            </xdr:cNvPr>
            <xdr:cNvGraphicFramePr/>
          </xdr:nvGraphicFramePr>
          <xdr:xfrm>
            <a:off x="0" y="0"/>
            <a:ext cx="0" cy="0"/>
          </xdr:xfrm>
          <a:graphic>
            <a:graphicData uri="http://schemas.microsoft.com/office/drawing/2010/slicer">
              <sle:slicer xmlns:sle="http://schemas.microsoft.com/office/drawing/2010/slicer" name="$DocumentNoCaptionLbl$"/>
            </a:graphicData>
          </a:graphic>
        </xdr:graphicFrame>
      </mc:Choice>
      <mc:Fallback xmlns="">
        <xdr:sp macro="" textlink="">
          <xdr:nvSpPr>
            <xdr:cNvPr id="0" name=""/>
            <xdr:cNvSpPr>
              <a:spLocks noTextEdit="1"/>
            </xdr:cNvSpPr>
          </xdr:nvSpPr>
          <xdr:spPr>
            <a:xfrm>
              <a:off x="1866900" y="265176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1866900</xdr:colOff>
      <xdr:row>0</xdr:row>
      <xdr:rowOff>0</xdr:rowOff>
    </xdr:from>
    <xdr:to>
      <xdr:col>0</xdr:col>
      <xdr:colOff>3684900</xdr:colOff>
      <xdr:row>10</xdr:row>
      <xdr:rowOff>19200</xdr:rowOff>
    </xdr:to>
    <mc:AlternateContent xmlns:mc="http://schemas.openxmlformats.org/markup-compatibility/2006" xmlns:a14="http://schemas.microsoft.com/office/drawing/2010/main">
      <mc:Choice Requires="a14">
        <xdr:graphicFrame macro="">
          <xdr:nvGraphicFramePr>
            <xdr:cNvPr id="3" name="$ItemDescLbl$">
              <a:extLst>
                <a:ext uri="{FF2B5EF4-FFF2-40B4-BE49-F238E27FC236}">
                  <a16:creationId xmlns:a16="http://schemas.microsoft.com/office/drawing/2014/main" id="{EE5AF47E-BC60-8355-A5FA-66374D3ACBEF}"/>
                </a:ext>
              </a:extLst>
            </xdr:cNvPr>
            <xdr:cNvGraphicFramePr/>
          </xdr:nvGraphicFramePr>
          <xdr:xfrm>
            <a:off x="0" y="0"/>
            <a:ext cx="0" cy="0"/>
          </xdr:xfrm>
          <a:graphic>
            <a:graphicData uri="http://schemas.microsoft.com/office/drawing/2010/slicer">
              <sle:slicer xmlns:sle="http://schemas.microsoft.com/office/drawing/2010/slicer" name="$ItemDescLbl$"/>
            </a:graphicData>
          </a:graphic>
        </xdr:graphicFrame>
      </mc:Choice>
      <mc:Fallback xmlns="">
        <xdr:sp macro="" textlink="">
          <xdr:nvSpPr>
            <xdr:cNvPr id="0" name=""/>
            <xdr:cNvSpPr>
              <a:spLocks noTextEdit="1"/>
            </xdr:cNvSpPr>
          </xdr:nvSpPr>
          <xdr:spPr>
            <a:xfrm>
              <a:off x="186690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10</xdr:row>
      <xdr:rowOff>60960</xdr:rowOff>
    </xdr:from>
    <xdr:to>
      <xdr:col>0</xdr:col>
      <xdr:colOff>1818000</xdr:colOff>
      <xdr:row>20</xdr:row>
      <xdr:rowOff>80160</xdr:rowOff>
    </xdr:to>
    <mc:AlternateContent xmlns:mc="http://schemas.openxmlformats.org/markup-compatibility/2006" xmlns:a14="http://schemas.microsoft.com/office/drawing/2010/main">
      <mc:Choice Requires="a14">
        <xdr:graphicFrame macro="">
          <xdr:nvGraphicFramePr>
            <xdr:cNvPr id="4" name="$EntryTypeLbl$">
              <a:extLst>
                <a:ext uri="{FF2B5EF4-FFF2-40B4-BE49-F238E27FC236}">
                  <a16:creationId xmlns:a16="http://schemas.microsoft.com/office/drawing/2014/main" id="{552B35C0-B7FF-6267-3E9E-FF0132AF799F}"/>
                </a:ext>
              </a:extLst>
            </xdr:cNvPr>
            <xdr:cNvGraphicFramePr/>
          </xdr:nvGraphicFramePr>
          <xdr:xfrm>
            <a:off x="0" y="0"/>
            <a:ext cx="0" cy="0"/>
          </xdr:xfrm>
          <a:graphic>
            <a:graphicData uri="http://schemas.microsoft.com/office/drawing/2010/slicer">
              <sle:slicer xmlns:sle="http://schemas.microsoft.com/office/drawing/2010/slicer" name="$EntryTypeLbl$"/>
            </a:graphicData>
          </a:graphic>
        </xdr:graphicFrame>
      </mc:Choice>
      <mc:Fallback xmlns="">
        <xdr:sp macro="" textlink="">
          <xdr:nvSpPr>
            <xdr:cNvPr id="0" name=""/>
            <xdr:cNvSpPr>
              <a:spLocks noTextEdit="1"/>
            </xdr:cNvSpPr>
          </xdr:nvSpPr>
          <xdr:spPr>
            <a:xfrm>
              <a:off x="0" y="265176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eline Soerjonoto" refreshedDate="45981.41777083333" createdVersion="8" refreshedVersion="8" minRefreshableVersion="3" recordCount="1" xr:uid="{635CCB72-E272-4697-953F-75F2B0DA2FF3}">
  <cacheSource type="worksheet">
    <worksheetSource name="InventoryTransDetail_Query"/>
  </cacheSource>
  <cacheFields count="12">
    <cacheField name="No_Item" numFmtId="0">
      <sharedItems count="1">
        <s v=""/>
      </sharedItems>
    </cacheField>
    <cacheField name="Description_Item" numFmtId="0">
      <sharedItems count="1">
        <s v=""/>
      </sharedItems>
    </cacheField>
    <cacheField name="PostingDate_ItemLedgEntry" numFmtId="0">
      <sharedItems count="1">
        <s v=""/>
      </sharedItems>
    </cacheField>
    <cacheField name="EntryType_ItemLedgEntry" numFmtId="0">
      <sharedItems count="1">
        <s v=""/>
      </sharedItems>
    </cacheField>
    <cacheField name="DocumentNo_PItemLedgEntry" numFmtId="0">
      <sharedItems count="1">
        <s v=""/>
      </sharedItems>
    </cacheField>
    <cacheField name="Description_ItemLedgEntry" numFmtId="0">
      <sharedItems count="1">
        <s v=""/>
      </sharedItems>
    </cacheField>
    <cacheField name="IncreasesQty" numFmtId="0">
      <sharedItems containsSemiMixedTypes="0" containsString="0" containsNumber="1" containsInteger="1" minValue="0" maxValue="0" count="1">
        <n v="0"/>
      </sharedItems>
    </cacheField>
    <cacheField name="DecreasesQty" numFmtId="0">
      <sharedItems containsSemiMixedTypes="0" containsString="0" containsNumber="1" containsInteger="1" minValue="0" maxValue="0" count="1">
        <n v="0"/>
      </sharedItems>
    </cacheField>
    <cacheField name="ItemOnHand" numFmtId="0">
      <sharedItems containsSemiMixedTypes="0" containsString="0" containsNumber="1" containsInteger="1" minValue="0" maxValue="0" count="1">
        <n v="0"/>
      </sharedItems>
    </cacheField>
    <cacheField name="EntryNo_ItemLedgerEntry" numFmtId="0">
      <sharedItems containsSemiMixedTypes="0" containsString="0" containsNumber="1" containsInteger="1" minValue="0" maxValue="0" count="1">
        <n v="0"/>
      </sharedItems>
    </cacheField>
    <cacheField name="TotalIncreasesQty" numFmtId="0">
      <sharedItems containsSemiMixedTypes="0" containsString="0" containsNumber="1" containsInteger="1" minValue="0" maxValue="0" count="1">
        <n v="0"/>
      </sharedItems>
    </cacheField>
    <cacheField name="TotalDecreasesQty" numFmtId="0">
      <sharedItems containsSemiMixedTypes="0" containsString="0" containsNumber="1" containsInteger="1" minValue="0" maxValue="0" count="1">
        <n v="0"/>
      </sharedItems>
    </cacheField>
  </cacheFields>
  <extLst>
    <ext xmlns:x14="http://schemas.microsoft.com/office/spreadsheetml/2009/9/main" uri="{725AE2AE-9491-48be-B2B4-4EB974FC3084}">
      <x14:pivotCacheDefinition pivotCacheId="1594800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6D721E-D468-4418-9316-40847D82A21D}" name="PivotTable1" cacheId="15"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6:M7" firstHeaderRow="1" firstDataRow="1" firstDataCol="12"/>
  <pivotFields count="12">
    <pivotField name="$ItemNoLbl$" axis="axisRow" compact="0" outline="0" showAll="0" defaultSubtotal="0">
      <items count="1">
        <item x="0"/>
      </items>
    </pivotField>
    <pivotField name="$ItemDescLbl$" axis="axisRow" compact="0" outline="0" showAll="0" defaultSubtotal="0">
      <items count="1">
        <item x="0"/>
      </items>
    </pivotField>
    <pivotField name="$PostingDateLbl$" axis="axisRow" compact="0" outline="0" showAll="0" defaultSubtotal="0">
      <items count="1">
        <item x="0"/>
      </items>
      <extLst>
        <ext xmlns:x14="http://schemas.microsoft.com/office/spreadsheetml/2009/9/main" uri="{2946ED86-A175-432a-8AC1-64E0C546D7DE}">
          <x14:pivotField fillDownLabels="1"/>
        </ext>
      </extLst>
    </pivotField>
    <pivotField name="$EntryTypeLbl$" axis="axisRow" compact="0" outline="0" showAll="0" defaultSubtotal="0">
      <items count="1">
        <item x="0"/>
      </items>
      <extLst>
        <ext xmlns:x14="http://schemas.microsoft.com/office/spreadsheetml/2009/9/main" uri="{2946ED86-A175-432a-8AC1-64E0C546D7DE}">
          <x14:pivotField fillDownLabels="1"/>
        </ext>
      </extLst>
    </pivotField>
    <pivotField name="$DocumentNoLbl$" axis="axisRow" compact="0" outline="0" showAll="0" defaultSubtotal="0">
      <items count="1">
        <item x="0"/>
      </items>
      <extLst>
        <ext xmlns:x14="http://schemas.microsoft.com/office/spreadsheetml/2009/9/main" uri="{2946ED86-A175-432a-8AC1-64E0C546D7DE}">
          <x14:pivotField fillDownLabels="1"/>
        </ext>
      </extLst>
    </pivotField>
    <pivotField name="$DescriptionLbl$" axis="axisRow" compact="0" outline="0" showAll="0" defaultSubtotal="0">
      <items count="1">
        <item x="0"/>
      </items>
      <extLst>
        <ext xmlns:x14="http://schemas.microsoft.com/office/spreadsheetml/2009/9/main" uri="{2946ED86-A175-432a-8AC1-64E0C546D7DE}">
          <x14:pivotField fillDownLabels="1"/>
        </ext>
      </extLst>
    </pivotField>
    <pivotField name="$IncreasesLbl$" axis="axisRow" compact="0" outline="0" showAll="0" defaultSubtotal="0">
      <items count="1">
        <item x="0"/>
      </items>
    </pivotField>
    <pivotField name="$DecreasesLbl$" axis="axisRow" compact="0" outline="0" showAll="0" defaultSubtotal="0">
      <items count="1">
        <item x="0"/>
      </items>
    </pivotField>
    <pivotField name="$InventoryLbl$" axis="axisRow" compact="0" outline="0" showAll="0" defaultSubtotal="0">
      <items count="1">
        <item x="0"/>
      </items>
    </pivotField>
    <pivotField name="$EntryNoLbl$" axis="axisRow" compact="0" outline="0" showAll="0" defaultSubtotal="0">
      <items count="1">
        <item x="0"/>
      </items>
    </pivotField>
    <pivotField name="$TotalIncreasesLbl$" axis="axisRow" compact="0" outline="0" subtotalTop="0" showAll="0" defaultSubtotal="0">
      <items count="1">
        <item x="0"/>
      </items>
    </pivotField>
    <pivotField name="$TotalDecreasesLbl$" axis="axisRow" compact="0" outline="0" subtotalTop="0" showAll="0" defaultSubtotal="0">
      <items count="1">
        <item x="0"/>
      </items>
    </pivotField>
  </pivotFields>
  <rowFields count="12">
    <field x="0"/>
    <field x="1"/>
    <field x="9"/>
    <field x="2"/>
    <field x="3"/>
    <field x="4"/>
    <field x="5"/>
    <field x="6"/>
    <field x="10"/>
    <field x="7"/>
    <field x="11"/>
    <field x="8"/>
  </rowFields>
  <rowItems count="1">
    <i>
      <x/>
      <x/>
      <x/>
      <x/>
      <x/>
      <x/>
      <x/>
      <x/>
      <x/>
      <x/>
      <x/>
      <x/>
    </i>
  </rowItems>
  <colItems count="1">
    <i/>
  </colItems>
  <formats count="74">
    <format dxfId="571">
      <pivotArea type="all" dataOnly="0" outline="0" fieldPosition="0"/>
    </format>
    <format dxfId="570">
      <pivotArea outline="0" collapsedLevelsAreSubtotals="1" fieldPosition="0"/>
    </format>
    <format dxfId="569">
      <pivotArea field="0" type="button" dataOnly="0" labelOnly="1" outline="0" axis="axisRow" fieldPosition="0"/>
    </format>
    <format dxfId="568">
      <pivotArea field="1" type="button" dataOnly="0" labelOnly="1" outline="0" axis="axisRow" fieldPosition="1"/>
    </format>
    <format dxfId="567">
      <pivotArea field="2" type="button" dataOnly="0" labelOnly="1" outline="0" axis="axisRow" fieldPosition="3"/>
    </format>
    <format dxfId="566">
      <pivotArea field="3" type="button" dataOnly="0" labelOnly="1" outline="0" axis="axisRow" fieldPosition="4"/>
    </format>
    <format dxfId="565">
      <pivotArea field="4" type="button" dataOnly="0" labelOnly="1" outline="0" axis="axisRow" fieldPosition="5"/>
    </format>
    <format dxfId="564">
      <pivotArea field="5" type="button" dataOnly="0" labelOnly="1" outline="0" axis="axisRow" fieldPosition="6"/>
    </format>
    <format dxfId="563">
      <pivotArea field="9" type="button" dataOnly="0" labelOnly="1" outline="0" axis="axisRow" fieldPosition="2"/>
    </format>
    <format dxfId="562">
      <pivotArea field="8" type="button" dataOnly="0" labelOnly="1" outline="0" axis="axisRow" fieldPosition="11"/>
    </format>
    <format dxfId="561">
      <pivotArea dataOnly="0" labelOnly="1" outline="0" fieldPosition="0">
        <references count="1">
          <reference field="0" count="0"/>
        </references>
      </pivotArea>
    </format>
    <format dxfId="560">
      <pivotArea dataOnly="0" labelOnly="1" grandRow="1" outline="0" fieldPosition="0"/>
    </format>
    <format dxfId="559">
      <pivotArea dataOnly="0" labelOnly="1" outline="0" fieldPosition="0">
        <references count="2">
          <reference field="0" count="0" selected="0"/>
          <reference field="1" count="0"/>
        </references>
      </pivotArea>
    </format>
    <format dxfId="558">
      <pivotArea dataOnly="0" labelOnly="1" outline="0" fieldPosition="0">
        <references count="3">
          <reference field="0" count="0" selected="0"/>
          <reference field="1" count="0" selected="0"/>
          <reference field="2" count="0"/>
        </references>
      </pivotArea>
    </format>
    <format dxfId="557">
      <pivotArea dataOnly="0" labelOnly="1" outline="0" fieldPosition="0">
        <references count="4">
          <reference field="0" count="0" selected="0"/>
          <reference field="1" count="0" selected="0"/>
          <reference field="2" count="0" selected="0"/>
          <reference field="3" count="0"/>
        </references>
      </pivotArea>
    </format>
    <format dxfId="556">
      <pivotArea dataOnly="0" labelOnly="1" outline="0" fieldPosition="0">
        <references count="5">
          <reference field="0" count="0" selected="0"/>
          <reference field="1" count="0" selected="0"/>
          <reference field="2" count="0" selected="0"/>
          <reference field="3" count="0" selected="0"/>
          <reference field="4" count="0"/>
        </references>
      </pivotArea>
    </format>
    <format dxfId="555">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554">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9" count="0"/>
        </references>
      </pivotArea>
    </format>
    <format dxfId="553">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8" count="0"/>
          <reference field="9" count="0" selected="0"/>
        </references>
      </pivotArea>
    </format>
    <format dxfId="552">
      <pivotArea field="9" type="button" dataOnly="0" labelOnly="1" outline="0" axis="axisRow" fieldPosition="2"/>
    </format>
    <format dxfId="551">
      <pivotArea field="8" type="button" dataOnly="0" labelOnly="1" outline="0" axis="axisRow" fieldPosition="11"/>
    </format>
    <format dxfId="550">
      <pivotArea field="0" type="button" dataOnly="0" labelOnly="1" outline="0" axis="axisRow" fieldPosition="0"/>
    </format>
    <format dxfId="549">
      <pivotArea field="1" type="button" dataOnly="0" labelOnly="1" outline="0" axis="axisRow" fieldPosition="1"/>
    </format>
    <format dxfId="548">
      <pivotArea field="2" type="button" dataOnly="0" labelOnly="1" outline="0" axis="axisRow" fieldPosition="3"/>
    </format>
    <format dxfId="547">
      <pivotArea field="3" type="button" dataOnly="0" labelOnly="1" outline="0" axis="axisRow" fieldPosition="4"/>
    </format>
    <format dxfId="546">
      <pivotArea field="4" type="button" dataOnly="0" labelOnly="1" outline="0" axis="axisRow" fieldPosition="5"/>
    </format>
    <format dxfId="545">
      <pivotArea field="5" type="button" dataOnly="0" labelOnly="1" outline="0" axis="axisRow" fieldPosition="6"/>
    </format>
    <format dxfId="544">
      <pivotArea field="9" type="button" dataOnly="0" labelOnly="1" outline="0" axis="axisRow" fieldPosition="2"/>
    </format>
    <format dxfId="543">
      <pivotArea field="8" type="button" dataOnly="0" labelOnly="1" outline="0" axis="axisRow" fieldPosition="11"/>
    </format>
    <format dxfId="542">
      <pivotArea type="all" dataOnly="0" outline="0" fieldPosition="0"/>
    </format>
    <format dxfId="541">
      <pivotArea outline="0" collapsedLevelsAreSubtotals="1" fieldPosition="0"/>
    </format>
    <format dxfId="540">
      <pivotArea field="0" type="button" dataOnly="0" labelOnly="1" outline="0" axis="axisRow" fieldPosition="0"/>
    </format>
    <format dxfId="539">
      <pivotArea field="1" type="button" dataOnly="0" labelOnly="1" outline="0" axis="axisRow" fieldPosition="1"/>
    </format>
    <format dxfId="538">
      <pivotArea field="2" type="button" dataOnly="0" labelOnly="1" outline="0" axis="axisRow" fieldPosition="3"/>
    </format>
    <format dxfId="537">
      <pivotArea field="3" type="button" dataOnly="0" labelOnly="1" outline="0" axis="axisRow" fieldPosition="4"/>
    </format>
    <format dxfId="536">
      <pivotArea field="4" type="button" dataOnly="0" labelOnly="1" outline="0" axis="axisRow" fieldPosition="5"/>
    </format>
    <format dxfId="535">
      <pivotArea field="5" type="button" dataOnly="0" labelOnly="1" outline="0" axis="axisRow" fieldPosition="6"/>
    </format>
    <format dxfId="534">
      <pivotArea field="9" type="button" dataOnly="0" labelOnly="1" outline="0" axis="axisRow" fieldPosition="2"/>
    </format>
    <format dxfId="533">
      <pivotArea field="8" type="button" dataOnly="0" labelOnly="1" outline="0" axis="axisRow" fieldPosition="11"/>
    </format>
    <format dxfId="532">
      <pivotArea dataOnly="0" labelOnly="1" outline="0" fieldPosition="0">
        <references count="1">
          <reference field="0" count="0"/>
        </references>
      </pivotArea>
    </format>
    <format dxfId="531">
      <pivotArea dataOnly="0" labelOnly="1" grandRow="1" outline="0" fieldPosition="0"/>
    </format>
    <format dxfId="530">
      <pivotArea dataOnly="0" labelOnly="1" outline="0" fieldPosition="0">
        <references count="2">
          <reference field="0" count="0" selected="0"/>
          <reference field="1" count="0"/>
        </references>
      </pivotArea>
    </format>
    <format dxfId="529">
      <pivotArea dataOnly="0" labelOnly="1" outline="0" fieldPosition="0">
        <references count="3">
          <reference field="0" count="0" selected="0"/>
          <reference field="1" count="0" selected="0"/>
          <reference field="2" count="0"/>
        </references>
      </pivotArea>
    </format>
    <format dxfId="528">
      <pivotArea dataOnly="0" labelOnly="1" outline="0" fieldPosition="0">
        <references count="4">
          <reference field="0" count="0" selected="0"/>
          <reference field="1" count="0" selected="0"/>
          <reference field="2" count="0" selected="0"/>
          <reference field="3" count="0"/>
        </references>
      </pivotArea>
    </format>
    <format dxfId="527">
      <pivotArea dataOnly="0" labelOnly="1" outline="0" fieldPosition="0">
        <references count="5">
          <reference field="0" count="0" selected="0"/>
          <reference field="1" count="0" selected="0"/>
          <reference field="2" count="0" selected="0"/>
          <reference field="3" count="0" selected="0"/>
          <reference field="4" count="0"/>
        </references>
      </pivotArea>
    </format>
    <format dxfId="526">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525">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9" count="0"/>
        </references>
      </pivotArea>
    </format>
    <format dxfId="524">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8" count="0"/>
          <reference field="9" count="0" selected="0"/>
        </references>
      </pivotArea>
    </format>
    <format dxfId="523">
      <pivotArea field="6" type="button" dataOnly="0" labelOnly="1" outline="0" axis="axisRow" fieldPosition="7"/>
    </format>
    <format dxfId="522">
      <pivotArea field="7" type="button" dataOnly="0" labelOnly="1" outline="0" axis="axisRow" fieldPosition="9"/>
    </format>
    <format dxfId="521">
      <pivotArea field="9" type="button" dataOnly="0" labelOnly="1" outline="0" axis="axisRow" fieldPosition="2"/>
    </format>
    <format dxfId="520">
      <pivotArea field="8" type="button" dataOnly="0" labelOnly="1" outline="0" axis="axisRow" fieldPosition="11"/>
    </format>
    <format dxfId="519">
      <pivotArea field="5" type="button" dataOnly="0" labelOnly="1" outline="0" axis="axisRow" fieldPosition="6"/>
    </format>
    <format dxfId="518">
      <pivotArea field="6" type="button" dataOnly="0" labelOnly="1" outline="0" axis="axisRow" fieldPosition="7"/>
    </format>
    <format dxfId="517">
      <pivotArea field="10" type="button" dataOnly="0" labelOnly="1" outline="0" axis="axisRow" fieldPosition="8"/>
    </format>
    <format dxfId="516">
      <pivotArea field="7" type="button" dataOnly="0" labelOnly="1" outline="0" axis="axisRow" fieldPosition="9"/>
    </format>
    <format dxfId="515">
      <pivotArea field="11" type="button" dataOnly="0" labelOnly="1" outline="0" axis="axisRow" fieldPosition="10"/>
    </format>
    <format dxfId="514">
      <pivotArea field="8" type="button" dataOnly="0" labelOnly="1" outline="0" axis="axisRow" fieldPosition="11"/>
    </format>
    <format dxfId="513">
      <pivotArea field="5" type="button" dataOnly="0" labelOnly="1" outline="0" axis="axisRow" fieldPosition="6"/>
    </format>
    <format dxfId="512">
      <pivotArea field="6" type="button" dataOnly="0" labelOnly="1" outline="0" axis="axisRow" fieldPosition="7"/>
    </format>
    <format dxfId="511">
      <pivotArea field="10" type="button" dataOnly="0" labelOnly="1" outline="0" axis="axisRow" fieldPosition="8"/>
    </format>
    <format dxfId="510">
      <pivotArea field="7" type="button" dataOnly="0" labelOnly="1" outline="0" axis="axisRow" fieldPosition="9"/>
    </format>
    <format dxfId="509">
      <pivotArea field="11" type="button" dataOnly="0" labelOnly="1" outline="0" axis="axisRow" fieldPosition="10"/>
    </format>
    <format dxfId="508">
      <pivotArea field="8" type="button" dataOnly="0" labelOnly="1" outline="0" axis="axisRow" fieldPosition="11"/>
    </format>
    <format dxfId="507">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reference field="9" count="0" selected="0"/>
        </references>
      </pivotArea>
    </format>
    <format dxfId="506">
      <pivotArea dataOnly="0" labelOnly="1" outline="0" fieldPosition="0">
        <references count="9">
          <reference field="0" count="0" selected="0"/>
          <reference field="1" count="0" selected="0"/>
          <reference field="2" count="0" selected="0"/>
          <reference field="3" count="0" selected="0"/>
          <reference field="4" count="0" selected="0"/>
          <reference field="5" count="0" selected="0"/>
          <reference field="6" count="0" selected="0"/>
          <reference field="9" count="0" selected="0"/>
          <reference field="10" count="0"/>
        </references>
      </pivotArea>
    </format>
    <format dxfId="505">
      <pivotArea dataOnly="0" labelOnly="1"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reference field="9" count="0" selected="0"/>
          <reference field="10" count="0" selected="0"/>
        </references>
      </pivotArea>
    </format>
    <format dxfId="504">
      <pivotArea dataOnly="0" labelOnly="1" outline="0" fieldPosition="0">
        <references count="11">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9" count="0" selected="0"/>
          <reference field="10" count="0" selected="0"/>
          <reference field="11" count="0"/>
        </references>
      </pivotArea>
    </format>
    <format dxfId="503">
      <pivotArea dataOnly="0" labelOnly="1" outline="0" fieldPosition="0">
        <references count="12">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reference field="9" count="0" selected="0"/>
          <reference field="10" count="0" selected="0"/>
          <reference field="11" count="0" selected="0"/>
        </references>
      </pivotArea>
    </format>
    <format dxfId="502">
      <pivotArea field="6" type="button" dataOnly="0" labelOnly="1" outline="0" axis="axisRow" fieldPosition="7"/>
    </format>
    <format dxfId="501">
      <pivotArea field="10" type="button" dataOnly="0" labelOnly="1" outline="0" axis="axisRow" fieldPosition="8"/>
    </format>
    <format dxfId="500">
      <pivotArea field="7" type="button" dataOnly="0" labelOnly="1" outline="0" axis="axisRow" fieldPosition="9"/>
    </format>
    <format dxfId="499">
      <pivotArea field="11" type="button" dataOnly="0" labelOnly="1" outline="0" axis="axisRow" fieldPosition="10"/>
    </format>
    <format dxfId="498">
      <pivotArea field="8" type="button" dataOnly="0" labelOnly="1" outline="0" axis="axisRow" fieldPosition="11"/>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E3CBDF-7B1C-4849-AE13-95C22A60C5E1}" name="PivotTable2"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B1:M2" firstHeaderRow="1" firstDataRow="1" firstDataCol="12"/>
  <pivotFields count="12">
    <pivotField name="$ItemNoLbl$" axis="axisRow" compact="0" outline="0" showAll="0" defaultSubtotal="0">
      <items count="1">
        <item x="0"/>
      </items>
    </pivotField>
    <pivotField name="$ItemDescLbl$" axis="axisRow" compact="0" outline="0" showAll="0" defaultSubtotal="0">
      <items count="1">
        <item x="0"/>
      </items>
    </pivotField>
    <pivotField name="$PostingDateLbl$" axis="axisRow" compact="0" outline="0" showAll="0" defaultSubtotal="0">
      <items count="1">
        <item x="0"/>
      </items>
    </pivotField>
    <pivotField name="$EntryTypeLbl$" axis="axisRow" compact="0" outline="0" showAll="0" defaultSubtotal="0">
      <items count="1">
        <item x="0"/>
      </items>
    </pivotField>
    <pivotField name="$DocumentNoLbl$" axis="axisRow" compact="0" outline="0" showAll="0" defaultSubtotal="0">
      <items count="1">
        <item x="0"/>
      </items>
    </pivotField>
    <pivotField name="$DescriptionLbl$" axis="axisRow" compact="0" outline="0" showAll="0" defaultSubtotal="0">
      <items count="1">
        <item x="0"/>
      </items>
    </pivotField>
    <pivotField name="$IncreasesLbl$" axis="axisRow" compact="0" outline="0" showAll="0" defaultSubtotal="0">
      <items count="1">
        <item x="0"/>
      </items>
    </pivotField>
    <pivotField name="$DecreasesLbl$" axis="axisRow" compact="0" outline="0" showAll="0" defaultSubtotal="0">
      <items count="1">
        <item x="0"/>
      </items>
    </pivotField>
    <pivotField name="$InventoryLbl$" axis="axisRow" compact="0" outline="0" showAll="0" defaultSubtotal="0">
      <items count="1">
        <item x="0"/>
      </items>
    </pivotField>
    <pivotField name="$EntryNoLbl$" axis="axisRow" compact="0" outline="0" showAll="0" defaultSubtotal="0">
      <items count="1">
        <item x="0"/>
      </items>
    </pivotField>
    <pivotField name="$TotalIncreasesLbl$" axis="axisRow" compact="0" outline="0" subtotalTop="0" showAll="0" defaultSubtotal="0">
      <items count="1">
        <item x="0"/>
      </items>
    </pivotField>
    <pivotField name="$TotalDecreasesLbl$" axis="axisRow" compact="0" outline="0" subtotalTop="0" showAll="0" defaultSubtotal="0">
      <items count="1">
        <item x="0"/>
      </items>
    </pivotField>
  </pivotFields>
  <rowFields count="12">
    <field x="0"/>
    <field x="1"/>
    <field x="9"/>
    <field x="2"/>
    <field x="3"/>
    <field x="4"/>
    <field x="5"/>
    <field x="6"/>
    <field x="10"/>
    <field x="7"/>
    <field x="11"/>
    <field x="8"/>
  </rowFields>
  <rowItems count="1">
    <i>
      <x/>
      <x/>
      <x/>
      <x/>
      <x/>
      <x/>
      <x/>
      <x/>
      <x/>
      <x/>
      <x/>
      <x/>
    </i>
  </rowItems>
  <colItems count="1">
    <i/>
  </colItems>
  <formats count="68">
    <format dxfId="497">
      <pivotArea type="all" dataOnly="0" outline="0" fieldPosition="0"/>
    </format>
    <format dxfId="496">
      <pivotArea outline="0" collapsedLevelsAreSubtotals="1" fieldPosition="0"/>
    </format>
    <format dxfId="495">
      <pivotArea field="0" type="button" dataOnly="0" labelOnly="1" outline="0" axis="axisRow" fieldPosition="0"/>
    </format>
    <format dxfId="494">
      <pivotArea field="1" type="button" dataOnly="0" labelOnly="1" outline="0" axis="axisRow" fieldPosition="1"/>
    </format>
    <format dxfId="493">
      <pivotArea field="2" type="button" dataOnly="0" labelOnly="1" outline="0" axis="axisRow" fieldPosition="3"/>
    </format>
    <format dxfId="492">
      <pivotArea field="3" type="button" dataOnly="0" labelOnly="1" outline="0" axis="axisRow" fieldPosition="4"/>
    </format>
    <format dxfId="491">
      <pivotArea field="4" type="button" dataOnly="0" labelOnly="1" outline="0" axis="axisRow" fieldPosition="5"/>
    </format>
    <format dxfId="490">
      <pivotArea field="5" type="button" dataOnly="0" labelOnly="1" outline="0" axis="axisRow" fieldPosition="6"/>
    </format>
    <format dxfId="489">
      <pivotArea field="9" type="button" dataOnly="0" labelOnly="1" outline="0" axis="axisRow" fieldPosition="2"/>
    </format>
    <format dxfId="488">
      <pivotArea field="8" type="button" dataOnly="0" labelOnly="1" outline="0" axis="axisRow" fieldPosition="11"/>
    </format>
    <format dxfId="487">
      <pivotArea dataOnly="0" labelOnly="1" outline="0" fieldPosition="0">
        <references count="1">
          <reference field="0" count="0"/>
        </references>
      </pivotArea>
    </format>
    <format dxfId="486">
      <pivotArea dataOnly="0" labelOnly="1" grandRow="1" outline="0" fieldPosition="0"/>
    </format>
    <format dxfId="485">
      <pivotArea dataOnly="0" labelOnly="1" outline="0" fieldPosition="0">
        <references count="2">
          <reference field="0" count="0" selected="0"/>
          <reference field="1" count="0"/>
        </references>
      </pivotArea>
    </format>
    <format dxfId="484">
      <pivotArea dataOnly="0" labelOnly="1" outline="0" fieldPosition="0">
        <references count="3">
          <reference field="0" count="0" selected="0"/>
          <reference field="1" count="0" selected="0"/>
          <reference field="2" count="0"/>
        </references>
      </pivotArea>
    </format>
    <format dxfId="483">
      <pivotArea dataOnly="0" labelOnly="1" outline="0" fieldPosition="0">
        <references count="4">
          <reference field="0" count="0" selected="0"/>
          <reference field="1" count="0" selected="0"/>
          <reference field="2" count="0" selected="0"/>
          <reference field="3" count="0"/>
        </references>
      </pivotArea>
    </format>
    <format dxfId="482">
      <pivotArea dataOnly="0" labelOnly="1" outline="0" fieldPosition="0">
        <references count="5">
          <reference field="0" count="0" selected="0"/>
          <reference field="1" count="0" selected="0"/>
          <reference field="2" count="0" selected="0"/>
          <reference field="3" count="0" selected="0"/>
          <reference field="4" count="0"/>
        </references>
      </pivotArea>
    </format>
    <format dxfId="481">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480">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9" count="0"/>
        </references>
      </pivotArea>
    </format>
    <format dxfId="479">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8" count="0"/>
          <reference field="9" count="0" selected="0"/>
        </references>
      </pivotArea>
    </format>
    <format dxfId="478">
      <pivotArea type="all" dataOnly="0" outline="0" fieldPosition="0"/>
    </format>
    <format dxfId="477">
      <pivotArea outline="0" collapsedLevelsAreSubtotals="1" fieldPosition="0"/>
    </format>
    <format dxfId="476">
      <pivotArea field="0" type="button" dataOnly="0" labelOnly="1" outline="0" axis="axisRow" fieldPosition="0"/>
    </format>
    <format dxfId="475">
      <pivotArea field="1" type="button" dataOnly="0" labelOnly="1" outline="0" axis="axisRow" fieldPosition="1"/>
    </format>
    <format dxfId="474">
      <pivotArea field="2" type="button" dataOnly="0" labelOnly="1" outline="0" axis="axisRow" fieldPosition="3"/>
    </format>
    <format dxfId="473">
      <pivotArea field="3" type="button" dataOnly="0" labelOnly="1" outline="0" axis="axisRow" fieldPosition="4"/>
    </format>
    <format dxfId="472">
      <pivotArea field="4" type="button" dataOnly="0" labelOnly="1" outline="0" axis="axisRow" fieldPosition="5"/>
    </format>
    <format dxfId="471">
      <pivotArea field="5" type="button" dataOnly="0" labelOnly="1" outline="0" axis="axisRow" fieldPosition="6"/>
    </format>
    <format dxfId="470">
      <pivotArea field="9" type="button" dataOnly="0" labelOnly="1" outline="0" axis="axisRow" fieldPosition="2"/>
    </format>
    <format dxfId="469">
      <pivotArea field="8" type="button" dataOnly="0" labelOnly="1" outline="0" axis="axisRow" fieldPosition="11"/>
    </format>
    <format dxfId="468">
      <pivotArea dataOnly="0" labelOnly="1" outline="0" fieldPosition="0">
        <references count="1">
          <reference field="0" count="0"/>
        </references>
      </pivotArea>
    </format>
    <format dxfId="467">
      <pivotArea dataOnly="0" labelOnly="1" grandRow="1" outline="0" fieldPosition="0"/>
    </format>
    <format dxfId="466">
      <pivotArea dataOnly="0" labelOnly="1" outline="0" fieldPosition="0">
        <references count="2">
          <reference field="0" count="0" selected="0"/>
          <reference field="1" count="0"/>
        </references>
      </pivotArea>
    </format>
    <format dxfId="465">
      <pivotArea dataOnly="0" labelOnly="1" outline="0" fieldPosition="0">
        <references count="3">
          <reference field="0" count="0" selected="0"/>
          <reference field="1" count="0" selected="0"/>
          <reference field="2" count="0"/>
        </references>
      </pivotArea>
    </format>
    <format dxfId="464">
      <pivotArea dataOnly="0" labelOnly="1" outline="0" fieldPosition="0">
        <references count="4">
          <reference field="0" count="0" selected="0"/>
          <reference field="1" count="0" selected="0"/>
          <reference field="2" count="0" selected="0"/>
          <reference field="3" count="0"/>
        </references>
      </pivotArea>
    </format>
    <format dxfId="463">
      <pivotArea dataOnly="0" labelOnly="1" outline="0" fieldPosition="0">
        <references count="5">
          <reference field="0" count="0" selected="0"/>
          <reference field="1" count="0" selected="0"/>
          <reference field="2" count="0" selected="0"/>
          <reference field="3" count="0" selected="0"/>
          <reference field="4" count="0"/>
        </references>
      </pivotArea>
    </format>
    <format dxfId="462">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461">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9" count="0"/>
        </references>
      </pivotArea>
    </format>
    <format dxfId="460">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8" count="0"/>
          <reference field="9" count="0" selected="0"/>
        </references>
      </pivotArea>
    </format>
    <format dxfId="459">
      <pivotArea field="0" type="button" dataOnly="0" labelOnly="1" outline="0" axis="axisRow" fieldPosition="0"/>
    </format>
    <format dxfId="458">
      <pivotArea field="1" type="button" dataOnly="0" labelOnly="1" outline="0" axis="axisRow" fieldPosition="1"/>
    </format>
    <format dxfId="457">
      <pivotArea field="2" type="button" dataOnly="0" labelOnly="1" outline="0" axis="axisRow" fieldPosition="3"/>
    </format>
    <format dxfId="456">
      <pivotArea field="3" type="button" dataOnly="0" labelOnly="1" outline="0" axis="axisRow" fieldPosition="4"/>
    </format>
    <format dxfId="455">
      <pivotArea field="4" type="button" dataOnly="0" labelOnly="1" outline="0" axis="axisRow" fieldPosition="5"/>
    </format>
    <format dxfId="454">
      <pivotArea field="5" type="button" dataOnly="0" labelOnly="1" outline="0" axis="axisRow" fieldPosition="6"/>
    </format>
    <format dxfId="453">
      <pivotArea field="9" type="button" dataOnly="0" labelOnly="1" outline="0" axis="axisRow" fieldPosition="2"/>
    </format>
    <format dxfId="452">
      <pivotArea field="8" type="button" dataOnly="0" labelOnly="1" outline="0" axis="axisRow" fieldPosition="11"/>
    </format>
    <format dxfId="451">
      <pivotArea field="9" type="button" dataOnly="0" labelOnly="1" outline="0" axis="axisRow" fieldPosition="2"/>
    </format>
    <format dxfId="450">
      <pivotArea field="8" type="button" dataOnly="0" labelOnly="1" outline="0" axis="axisRow" fieldPosition="11"/>
    </format>
    <format dxfId="449">
      <pivotArea field="6" type="button" dataOnly="0" labelOnly="1" outline="0" axis="axisRow" fieldPosition="7"/>
    </format>
    <format dxfId="448">
      <pivotArea field="10" type="button" dataOnly="0" labelOnly="1" outline="0" axis="axisRow" fieldPosition="8"/>
    </format>
    <format dxfId="447">
      <pivotArea field="7" type="button" dataOnly="0" labelOnly="1" outline="0" axis="axisRow" fieldPosition="9"/>
    </format>
    <format dxfId="446">
      <pivotArea field="11" type="button" dataOnly="0" labelOnly="1" outline="0" axis="axisRow" fieldPosition="10"/>
    </format>
    <format dxfId="445">
      <pivotArea field="8" type="button" dataOnly="0" labelOnly="1" outline="0" axis="axisRow" fieldPosition="11"/>
    </format>
    <format dxfId="444">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reference field="9" count="0" selected="0"/>
        </references>
      </pivotArea>
    </format>
    <format dxfId="443">
      <pivotArea dataOnly="0" labelOnly="1" outline="0" fieldPosition="0">
        <references count="9">
          <reference field="0" count="0" selected="0"/>
          <reference field="1" count="0" selected="0"/>
          <reference field="2" count="0" selected="0"/>
          <reference field="3" count="0" selected="0"/>
          <reference field="4" count="0" selected="0"/>
          <reference field="5" count="0" selected="0"/>
          <reference field="6" count="0" selected="0"/>
          <reference field="9" count="0" selected="0"/>
          <reference field="10" count="0"/>
        </references>
      </pivotArea>
    </format>
    <format dxfId="442">
      <pivotArea dataOnly="0" labelOnly="1"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reference field="9" count="0" selected="0"/>
          <reference field="10" count="0" selected="0"/>
        </references>
      </pivotArea>
    </format>
    <format dxfId="441">
      <pivotArea dataOnly="0" labelOnly="1" outline="0" fieldPosition="0">
        <references count="11">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9" count="0" selected="0"/>
          <reference field="10" count="0" selected="0"/>
          <reference field="11" count="0"/>
        </references>
      </pivotArea>
    </format>
    <format dxfId="440">
      <pivotArea dataOnly="0" labelOnly="1" outline="0" fieldPosition="0">
        <references count="12">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reference field="9" count="0" selected="0"/>
          <reference field="10" count="0" selected="0"/>
          <reference field="11" count="0" selected="0"/>
        </references>
      </pivotArea>
    </format>
    <format dxfId="439">
      <pivotArea field="6" type="button" dataOnly="0" labelOnly="1" outline="0" axis="axisRow" fieldPosition="7"/>
    </format>
    <format dxfId="438">
      <pivotArea field="10" type="button" dataOnly="0" labelOnly="1" outline="0" axis="axisRow" fieldPosition="8"/>
    </format>
    <format dxfId="437">
      <pivotArea field="7" type="button" dataOnly="0" labelOnly="1" outline="0" axis="axisRow" fieldPosition="9"/>
    </format>
    <format dxfId="436">
      <pivotArea field="11" type="button" dataOnly="0" labelOnly="1" outline="0" axis="axisRow" fieldPosition="10"/>
    </format>
    <format dxfId="435">
      <pivotArea field="8" type="button" dataOnly="0" labelOnly="1" outline="0" axis="axisRow" fieldPosition="11"/>
    </format>
    <format dxfId="434">
      <pivotArea field="6" type="button" dataOnly="0" labelOnly="1" outline="0" axis="axisRow" fieldPosition="7"/>
    </format>
    <format dxfId="433">
      <pivotArea field="10" type="button" dataOnly="0" labelOnly="1" outline="0" axis="axisRow" fieldPosition="8"/>
    </format>
    <format dxfId="432">
      <pivotArea field="7" type="button" dataOnly="0" labelOnly="1" outline="0" axis="axisRow" fieldPosition="9"/>
    </format>
    <format dxfId="431">
      <pivotArea field="11" type="button" dataOnly="0" labelOnly="1" outline="0" axis="axisRow" fieldPosition="10"/>
    </format>
    <format dxfId="430">
      <pivotArea field="8" type="button" dataOnly="0" labelOnly="1" outline="0" axis="axisRow" fieldPosition="11"/>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FB88D608-3E05-41F1-A3C6-5ABBD44C9418}" autoFormatId="16" applyNumberFormats="0" applyBorderFormats="0" applyFontFormats="0" applyPatternFormats="0" applyAlignmentFormats="0" applyWidthHeightFormats="0">
  <queryTableRefresh nextId="30">
    <queryTableFields count="12">
      <queryTableField id="5" name="No_Item" tableColumnId="5"/>
      <queryTableField id="13" name="Description_Item" tableColumnId="13"/>
      <queryTableField id="17" name="PostingDate_ItemLedgEntry" tableColumnId="17"/>
      <queryTableField id="18" name="EntryType_ItemLedgEntry" tableColumnId="18"/>
      <queryTableField id="19" name="DocumentNo_PItemLedgEntry" tableColumnId="19"/>
      <queryTableField id="20" name="Description_ItemLedgEntry" tableColumnId="20"/>
      <queryTableField id="21" name="IncreasesQty" tableColumnId="21"/>
      <queryTableField id="22" name="DecreasesQty" tableColumnId="22"/>
      <queryTableField id="23" name="ItemOnHand" tableColumnId="23"/>
      <queryTableField id="24" name="EntryNo_ItemLedgerEntry" tableColumnId="24"/>
      <queryTableField id="28" name="TotalIncreasesQty" tableColumnId="1"/>
      <queryTableField id="29" name="TotalDecreasesQty"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Item" xr10:uid="{A950E889-C2E9-41CC-AC1B-976849225DF3}" sourceName="No_Item">
  <pivotTables>
    <pivotTable tabId="9" name="PivotTable2"/>
  </pivotTables>
  <data>
    <tabular pivotCacheId="1594800449"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umentNo_PItemLedgEntry" xr10:uid="{C86E6C09-FB09-4D8E-B6C2-C50250AD4933}" sourceName="DocumentNo_PItemLedgEntry">
  <pivotTables>
    <pivotTable tabId="9" name="PivotTable2"/>
  </pivotTables>
  <data>
    <tabular pivotCacheId="1594800449"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Item" xr10:uid="{0A20116E-7A0A-4F17-BE22-D8005C90FC0A}" sourceName="Description_Item">
  <pivotTables>
    <pivotTable tabId="9" name="PivotTable2"/>
  </pivotTables>
  <data>
    <tabular pivotCacheId="1594800449"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ryType_ItemLedgEntry" xr10:uid="{2E0E3D1E-4A17-4662-9295-C2C8BFD4A130}" sourceName="EntryType_ItemLedgEntry">
  <pivotTables>
    <pivotTable tabId="9" name="PivotTable2"/>
  </pivotTables>
  <data>
    <tabular pivotCacheId="1594800449"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NoCaptionLbl$" xr10:uid="{6E7DD1CA-0D29-44E1-AE62-E768146A684B}" cache="Slicer_No_Item" caption="$ItemNoLbl$" style="Business Central Reports Slicer Style (Template)" rowHeight="270000"/>
  <slicer name="$DocumentNoCaptionLbl$" xr10:uid="{89597F9D-4A97-4DEB-9627-1EA258AAAD3C}" cache="Slicer_DocumentNo_PItemLedgEntry" caption="$DocumentNoLbl$" style="Business Central Reports Slicer Style (Template)" rowHeight="270000"/>
  <slicer name="$ItemDescLbl$" xr10:uid="{1DF94FCC-DEA8-410F-A98F-1F088DC0C2B4}" cache="Slicer_Description_Item" caption="$ItemDescLbl$" style="Business Central Reports Slicer Style (Template)" rowHeight="270000"/>
  <slicer name="$EntryTypeLbl$" xr10:uid="{E98BBDA3-8B79-440D-B25C-10A7F77C903D}" cache="Slicer_EntryType_ItemLedgEntry" caption="$EntryTypeLbl$" style="Business Central Reports Slicer Style (Template)" rowHeight="27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A357E9-E52B-4F54-AF6C-3ECFC1B4E8A9}" name="InventoryTransDetail_Query" displayName="InventoryTransDetail_Query" ref="A1:L2" tableType="queryTable" totalsRowShown="0">
  <autoFilter ref="A1:L2" xr:uid="{F4A357E9-E52B-4F54-AF6C-3ECFC1B4E8A9}"/>
  <tableColumns count="12">
    <tableColumn id="5" xr3:uid="{EB97F6B9-AFAB-4B09-B8C3-3943CAB00207}" uniqueName="5" name="No_Item" queryTableFieldId="5" dataDxfId="429"/>
    <tableColumn id="13" xr3:uid="{4120B028-24F1-479D-B6CC-C3B2A14DB6C8}" uniqueName="13" name="Description_Item" queryTableFieldId="13" dataDxfId="428"/>
    <tableColumn id="17" xr3:uid="{CB116CD8-45FA-4060-AB4B-41482D5E6D01}" uniqueName="17" name="PostingDate_ItemLedgEntry" queryTableFieldId="17" dataDxfId="427"/>
    <tableColumn id="18" xr3:uid="{026B82DE-D494-4254-9B60-00D05D9AB6DF}" uniqueName="18" name="EntryType_ItemLedgEntry" queryTableFieldId="18" dataDxfId="426"/>
    <tableColumn id="19" xr3:uid="{98E779D3-4219-4BE0-B487-5C4DCD05F5D8}" uniqueName="19" name="DocumentNo_PItemLedgEntry" queryTableFieldId="19" dataDxfId="425"/>
    <tableColumn id="20" xr3:uid="{016D2F04-44EA-4926-A3F0-C0C0D43EC5F5}" uniqueName="20" name="Description_ItemLedgEntry" queryTableFieldId="20" dataDxfId="424"/>
    <tableColumn id="21" xr3:uid="{554C25C0-8EC8-464C-9E36-928642187CE6}" uniqueName="21" name="IncreasesQty" queryTableFieldId="21" dataDxfId="423"/>
    <tableColumn id="22" xr3:uid="{A322ABB8-6D55-4067-8830-09E488E30146}" uniqueName="22" name="DecreasesQty" queryTableFieldId="22" dataDxfId="422"/>
    <tableColumn id="23" xr3:uid="{5D7645C3-AFF8-42EF-9AC2-5F3161FD79FE}" uniqueName="23" name="ItemOnHand" queryTableFieldId="23" dataDxfId="421"/>
    <tableColumn id="24" xr3:uid="{3130AC76-7592-41EB-BAE6-112526454374}" uniqueName="24" name="EntryNo_ItemLedgerEntry" queryTableFieldId="24" dataDxfId="420"/>
    <tableColumn id="1" xr3:uid="{3EA9A75B-3451-4CB3-A56C-51DDD1144177}" uniqueName="1" name="TotalIncreasesQty" queryTableFieldId="28" dataDxfId="419"/>
    <tableColumn id="2" xr3:uid="{72066D10-C9DB-4898-B0F0-F62351CC7015}" uniqueName="2" name="TotalDecreasesQty" queryTableFieldId="29" dataDxfId="4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L2" totalsRowShown="0">
  <autoFilter ref="A1:L2" xr:uid="{41D726F2-778D-4B1C-A5EA-875FED73D050}"/>
  <tableColumns count="12">
    <tableColumn id="5" xr3:uid="{21867904-D69E-41E3-B5BE-D9B124B8D7E4}" name="No_Item"/>
    <tableColumn id="13" xr3:uid="{21867904-D69E-41E3-B5BE-D9B124B8D7E4}" name="Description_Item"/>
    <tableColumn id="17" xr3:uid="{21867904-D69E-41E3-B5BE-D9B124B8D7E4}" name="PostingDate_ItemLedgEntry"/>
    <tableColumn id="18" xr3:uid="{21867904-D69E-41E3-B5BE-D9B124B8D7E4}" name="EntryType_ItemLedgEntry"/>
    <tableColumn id="19" xr3:uid="{21867904-D69E-41E3-B5BE-D9B124B8D7E4}" name="DocumentNo_PItemLedgEntry"/>
    <tableColumn id="20" xr3:uid="{21867904-D69E-41E3-B5BE-D9B124B8D7E4}" name="Description_ItemLedgEntry"/>
    <tableColumn id="21" xr3:uid="{21867904-D69E-41E3-B5BE-D9B124B8D7E4}" name="IncreasesQty"/>
    <tableColumn id="22" xr3:uid="{21867904-D69E-41E3-B5BE-D9B124B8D7E4}" name="DecreasesQty"/>
    <tableColumn id="23" xr3:uid="{21867904-D69E-41E3-B5BE-D9B124B8D7E4}" name="ItemOnHand"/>
    <tableColumn id="24" xr3:uid="{21867904-D69E-41E3-B5BE-D9B124B8D7E4}" name="EntryNo_ItemLedgerEntry"/>
    <tableColumn id="1" xr3:uid="{EA791E21-FA87-4604-A2B2-AF4C4375507E}" name="TotalIncreasesQty"/>
    <tableColumn id="2" xr3:uid="{24E69045-EE4B-4458-BB59-091DDD932170}" name="TotalDecreasesQty"/>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417">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416">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415">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414">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BE79C-7666-47D7-A77D-47124803A003}">
  <sheetPr>
    <pageSetUpPr fitToPage="1"/>
  </sheetPr>
  <dimension ref="A2:M7"/>
  <sheetViews>
    <sheetView showGridLines="0" tabSelected="1" workbookViewId="0"/>
  </sheetViews>
  <sheetFormatPr defaultRowHeight="20.399999999999999" x14ac:dyDescent="0.45"/>
  <cols>
    <col min="1" max="1" width="9.19921875" style="9" customWidth="1"/>
    <col min="2" max="2" width="20.69921875" customWidth="1"/>
    <col min="3" max="3" width="30.69921875" customWidth="1"/>
    <col min="4" max="7" width="15.69921875" customWidth="1"/>
    <col min="8" max="8" width="30.69921875" customWidth="1"/>
    <col min="9" max="12" width="15.69921875" customWidth="1"/>
    <col min="13" max="13" width="25.69921875" customWidth="1"/>
  </cols>
  <sheetData>
    <row r="2" spans="2:13" ht="27.6" thickBot="1" x14ac:dyDescent="0.5">
      <c r="B2" s="10" t="s">
        <v>81</v>
      </c>
      <c r="L2" s="11"/>
      <c r="M2" s="12" t="str" cm="1">
        <f t="array" ref="M2">ReportRequest.CompanyName</f>
        <v>Company name Value</v>
      </c>
    </row>
    <row r="3" spans="2:13" ht="21" thickTop="1" x14ac:dyDescent="0.45">
      <c r="L3" s="11"/>
      <c r="M3" s="11"/>
    </row>
    <row r="4" spans="2:13" x14ac:dyDescent="0.45">
      <c r="B4" s="16" t="e" cm="1">
        <f t="array" ref="B4">ItemFilterHeading</f>
        <v>#N/A</v>
      </c>
      <c r="C4" s="15"/>
      <c r="L4" s="13" t="e" cm="1">
        <f t="array" ref="L4">Caption.DataRetrievedLbl</f>
        <v>#NAME?</v>
      </c>
      <c r="M4" s="14" t="str" cm="1">
        <f t="array" ref="M4">ReportRequest.DateLocal</f>
        <v>Date (Local) Value</v>
      </c>
    </row>
    <row r="6" spans="2:13" x14ac:dyDescent="0.45">
      <c r="B6" s="23" t="s">
        <v>82</v>
      </c>
      <c r="C6" s="23" t="s">
        <v>83</v>
      </c>
      <c r="D6" s="24" t="s">
        <v>84</v>
      </c>
      <c r="E6" s="23" t="s">
        <v>85</v>
      </c>
      <c r="F6" s="23" t="s">
        <v>86</v>
      </c>
      <c r="G6" s="23" t="s">
        <v>87</v>
      </c>
      <c r="H6" s="21" t="s">
        <v>88</v>
      </c>
      <c r="I6" s="22" t="s">
        <v>90</v>
      </c>
      <c r="J6" s="22" t="s">
        <v>94</v>
      </c>
      <c r="K6" s="22" t="s">
        <v>91</v>
      </c>
      <c r="L6" s="22" t="s">
        <v>95</v>
      </c>
      <c r="M6" s="22" t="s">
        <v>89</v>
      </c>
    </row>
    <row r="7" spans="2:13" x14ac:dyDescent="0.45">
      <c r="B7" s="7"/>
      <c r="C7" s="7"/>
      <c r="D7" s="7">
        <v>0</v>
      </c>
      <c r="E7" s="7"/>
      <c r="F7" s="7"/>
      <c r="G7" s="7"/>
      <c r="H7" s="7"/>
      <c r="I7" s="7">
        <v>0</v>
      </c>
      <c r="J7" s="7">
        <v>0</v>
      </c>
      <c r="K7" s="7">
        <v>0</v>
      </c>
      <c r="L7" s="7">
        <v>0</v>
      </c>
      <c r="M7" s="7">
        <v>0</v>
      </c>
    </row>
  </sheetData>
  <pageMargins left="0.25" right="0.25" top="0.75" bottom="0.75" header="0.3" footer="0.3"/>
  <pageSetup paperSize="9" scale="38"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54E90-0C7B-4E12-9EC9-B4CB32A21E92}">
  <dimension ref="A1:M2"/>
  <sheetViews>
    <sheetView showGridLines="0" workbookViewId="0"/>
  </sheetViews>
  <sheetFormatPr defaultRowHeight="20.399999999999999" x14ac:dyDescent="0.45"/>
  <cols>
    <col min="1" max="1" width="50.69921875" style="9" customWidth="1"/>
    <col min="2" max="2" width="20.69921875" customWidth="1"/>
    <col min="3" max="3" width="30.69921875" customWidth="1"/>
    <col min="4" max="7" width="15.69921875" customWidth="1"/>
    <col min="8" max="8" width="30.69921875" customWidth="1"/>
    <col min="9" max="12" width="15.69921875" customWidth="1"/>
    <col min="13" max="13" width="12.296875" bestFit="1" customWidth="1"/>
  </cols>
  <sheetData>
    <row r="1" spans="2:13" x14ac:dyDescent="0.45">
      <c r="B1" s="23" t="s">
        <v>82</v>
      </c>
      <c r="C1" s="23" t="s">
        <v>83</v>
      </c>
      <c r="D1" s="24" t="s">
        <v>84</v>
      </c>
      <c r="E1" s="23" t="s">
        <v>85</v>
      </c>
      <c r="F1" s="23" t="s">
        <v>86</v>
      </c>
      <c r="G1" s="23" t="s">
        <v>87</v>
      </c>
      <c r="H1" s="23" t="s">
        <v>88</v>
      </c>
      <c r="I1" s="24" t="s">
        <v>90</v>
      </c>
      <c r="J1" s="24" t="s">
        <v>94</v>
      </c>
      <c r="K1" s="24" t="s">
        <v>91</v>
      </c>
      <c r="L1" s="24" t="s">
        <v>95</v>
      </c>
      <c r="M1" s="24" t="s">
        <v>89</v>
      </c>
    </row>
    <row r="2" spans="2:13" x14ac:dyDescent="0.45">
      <c r="B2" s="7"/>
      <c r="C2" s="7"/>
      <c r="D2" s="7">
        <v>0</v>
      </c>
      <c r="E2" s="7"/>
      <c r="F2" s="7"/>
      <c r="G2" s="7"/>
      <c r="H2" s="7"/>
      <c r="I2" s="7">
        <v>0</v>
      </c>
      <c r="J2" s="7">
        <v>0</v>
      </c>
      <c r="K2" s="7">
        <v>0</v>
      </c>
      <c r="L2" s="7">
        <v>0</v>
      </c>
      <c r="M2" s="7">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AD1F2-746E-4F23-9D8D-1A3310C9D460}">
  <sheetPr>
    <pageSetUpPr fitToPage="1"/>
  </sheetPr>
  <dimension ref="A1:C8"/>
  <sheetViews>
    <sheetView showGridLines="0" zoomScaleNormal="100" workbookViewId="0"/>
  </sheetViews>
  <sheetFormatPr defaultColWidth="8.59765625" defaultRowHeight="20.100000000000001" customHeight="1" x14ac:dyDescent="0.4"/>
  <cols>
    <col min="1" max="1" width="17.3984375" style="8" customWidth="1"/>
    <col min="2" max="2" width="25.59765625" style="8" customWidth="1"/>
    <col min="3" max="3" width="8.59765625" style="4"/>
    <col min="4" max="16384" width="8.59765625" style="8"/>
  </cols>
  <sheetData>
    <row r="1" spans="1:2" ht="20.100000000000001" customHeight="1" x14ac:dyDescent="0.4">
      <c r="A1" s="2" t="s">
        <v>75</v>
      </c>
      <c r="B1" s="3" t="str" cm="1">
        <f t="array" ref="B1">ReportRequest.EnvironmentName</f>
        <v>Environment name Value</v>
      </c>
    </row>
    <row r="2" spans="1:2" ht="20.100000000000001" customHeight="1" x14ac:dyDescent="0.4">
      <c r="A2" s="2" t="s">
        <v>76</v>
      </c>
      <c r="B2" s="3" t="str" cm="1">
        <f t="array" ref="B2">ReportRequest.CompanyName</f>
        <v>Company name Value</v>
      </c>
    </row>
    <row r="3" spans="1:2" ht="20.100000000000001" customHeight="1" x14ac:dyDescent="0.4">
      <c r="A3" s="2" t="s">
        <v>77</v>
      </c>
      <c r="B3" s="3" t="str" cm="1">
        <f t="array" ref="B3">ReportRequest.UserName</f>
        <v>User name Value</v>
      </c>
    </row>
    <row r="4" spans="1:2" ht="20.100000000000001" customHeight="1" x14ac:dyDescent="0.4">
      <c r="A4" s="2" t="s">
        <v>78</v>
      </c>
      <c r="B4" s="5" t="str" cm="1">
        <f t="array" ref="B4">ReportRequest.DateLocal</f>
        <v>Date (Local) Value</v>
      </c>
    </row>
    <row r="5" spans="1:2" ht="20.100000000000001" customHeight="1" x14ac:dyDescent="0.4">
      <c r="A5" s="2"/>
      <c r="B5" s="6" t="str" cm="1">
        <f t="array" ref="B5">ReportRequest.DateLocal</f>
        <v>Date (Local) Value</v>
      </c>
    </row>
    <row r="6" spans="1:2" ht="20.100000000000001" customHeight="1" x14ac:dyDescent="0.4">
      <c r="A6" s="2" t="s">
        <v>79</v>
      </c>
      <c r="B6" s="3" t="str" cm="1">
        <f t="array" ref="B6">ReportMetadata.ObjectCaption</f>
        <v>Object Caption Value</v>
      </c>
    </row>
    <row r="7" spans="1:2" ht="20.100000000000001" customHeight="1" x14ac:dyDescent="0.4">
      <c r="A7" s="2" t="s">
        <v>80</v>
      </c>
      <c r="B7" s="20" t="str">
        <f>HYPERLINK(_xlfn.CONCAT("https://learn.microsoft.com/dynamics365/business-central/reports/report-",ReportMetadata.ObjectID))</f>
        <v>https://learn.microsoft.com/dynamics365/business-central/reports/report-Object ID Value</v>
      </c>
    </row>
    <row r="8" spans="1:2" ht="20.100000000000001" customHeight="1" x14ac:dyDescent="0.4">
      <c r="A8" s="2"/>
      <c r="B8" s="7"/>
    </row>
  </sheetData>
  <printOptions horizontalCentered="1"/>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2DE7D-CA80-4030-9EDF-84AAF28859C8}">
  <dimension ref="A1:L2"/>
  <sheetViews>
    <sheetView workbookViewId="0"/>
  </sheetViews>
  <sheetFormatPr defaultRowHeight="16.8" x14ac:dyDescent="0.4"/>
  <cols>
    <col min="1" max="1" width="10" bestFit="1" customWidth="1"/>
    <col min="2" max="2" width="17.296875" bestFit="1" customWidth="1"/>
    <col min="3" max="3" width="26.796875" bestFit="1" customWidth="1"/>
    <col min="4" max="4" width="25.09765625" bestFit="1" customWidth="1"/>
    <col min="5" max="5" width="28.8984375" bestFit="1" customWidth="1"/>
    <col min="6" max="6" width="26.09765625" bestFit="1" customWidth="1"/>
    <col min="7" max="7" width="13.8984375" bestFit="1" customWidth="1"/>
    <col min="8" max="8" width="14.5" bestFit="1" customWidth="1"/>
    <col min="9" max="9" width="13.8984375" bestFit="1" customWidth="1"/>
    <col min="10" max="10" width="25.09765625" bestFit="1" customWidth="1"/>
    <col min="11" max="11" width="18.3984375" bestFit="1" customWidth="1"/>
    <col min="12" max="12" width="19.09765625" bestFit="1" customWidth="1"/>
    <col min="13" max="13" width="21.296875" customWidth="1"/>
    <col min="14" max="14" width="20.69921875" customWidth="1"/>
    <col min="15" max="15" width="17.296875" bestFit="1" customWidth="1"/>
    <col min="16" max="16" width="14.09765625" bestFit="1" customWidth="1"/>
    <col min="17" max="17" width="11.3984375" bestFit="1" customWidth="1"/>
    <col min="18" max="18" width="21.796875" bestFit="1" customWidth="1"/>
    <col min="19" max="19" width="26.796875" bestFit="1" customWidth="1"/>
    <col min="20" max="20" width="25.09765625" bestFit="1" customWidth="1"/>
    <col min="21" max="21" width="28.8984375" bestFit="1" customWidth="1"/>
    <col min="22" max="22" width="26.09765625" bestFit="1" customWidth="1"/>
    <col min="23" max="23" width="13.8984375" customWidth="1"/>
    <col min="24" max="24" width="14.5" customWidth="1"/>
    <col min="25" max="25" width="13.8984375" customWidth="1"/>
    <col min="26" max="26" width="25.09765625" bestFit="1" customWidth="1"/>
    <col min="27" max="27" width="25.59765625" bestFit="1" customWidth="1"/>
    <col min="28" max="28" width="25.09765625" bestFit="1" customWidth="1"/>
    <col min="29" max="29" width="18.3984375" bestFit="1" customWidth="1"/>
  </cols>
  <sheetData>
    <row r="1" spans="1:12" x14ac:dyDescent="0.4">
      <c r="A1" t="s">
        <v>64</v>
      </c>
      <c r="B1" t="s">
        <v>65</v>
      </c>
      <c r="C1" t="s">
        <v>66</v>
      </c>
      <c r="D1" t="s">
        <v>67</v>
      </c>
      <c r="E1" t="s">
        <v>68</v>
      </c>
      <c r="F1" t="s">
        <v>69</v>
      </c>
      <c r="G1" t="s">
        <v>70</v>
      </c>
      <c r="H1" t="s">
        <v>71</v>
      </c>
      <c r="I1" t="s">
        <v>72</v>
      </c>
      <c r="J1" t="s">
        <v>73</v>
      </c>
      <c r="K1" t="s">
        <v>92</v>
      </c>
      <c r="L1" t="s">
        <v>93</v>
      </c>
    </row>
    <row r="2" spans="1:12" x14ac:dyDescent="0.4">
      <c r="A2" t="s">
        <v>74</v>
      </c>
      <c r="B2" t="s">
        <v>74</v>
      </c>
      <c r="C2" t="s">
        <v>74</v>
      </c>
      <c r="D2" t="s">
        <v>74</v>
      </c>
      <c r="E2" t="s">
        <v>74</v>
      </c>
      <c r="F2" t="s">
        <v>74</v>
      </c>
      <c r="G2">
        <v>0</v>
      </c>
      <c r="H2">
        <v>0</v>
      </c>
      <c r="I2">
        <v>0</v>
      </c>
      <c r="J2">
        <v>0</v>
      </c>
      <c r="K2">
        <v>0</v>
      </c>
      <c r="L2">
        <v>0</v>
      </c>
    </row>
  </sheetData>
  <phoneticPr fontId="1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workbookViewId="0">
      <pane ySplit="1" topLeftCell="A2" activePane="bottomLeft" state="frozen"/>
      <selection pane="bottomLeft"/>
    </sheetView>
  </sheetViews>
  <sheetFormatPr defaultRowHeight="16.8" x14ac:dyDescent="0.4"/>
  <cols>
    <col min="1" max="1" width="18.3984375" customWidth="1"/>
  </cols>
  <sheetData>
    <row r="1" spans="1:12" x14ac:dyDescent="0.4">
      <c r="A1" t="s">
        <v>64</v>
      </c>
      <c r="B1" t="s">
        <v>65</v>
      </c>
      <c r="C1" t="s">
        <v>66</v>
      </c>
      <c r="D1" t="s">
        <v>67</v>
      </c>
      <c r="E1" t="s">
        <v>68</v>
      </c>
      <c r="F1" t="s">
        <v>69</v>
      </c>
      <c r="G1" t="s">
        <v>70</v>
      </c>
      <c r="H1" t="s">
        <v>71</v>
      </c>
      <c r="I1" t="s">
        <v>72</v>
      </c>
      <c r="J1" t="s">
        <v>73</v>
      </c>
      <c r="K1" s="17" t="s">
        <v>92</v>
      </c>
      <c r="L1" s="17" t="s">
        <v>93</v>
      </c>
    </row>
    <row r="2" spans="1:12" x14ac:dyDescent="0.4">
      <c r="A2" t="s">
        <v>74</v>
      </c>
      <c r="B2" t="s">
        <v>74</v>
      </c>
      <c r="C2" t="s">
        <v>74</v>
      </c>
      <c r="D2" t="s">
        <v>74</v>
      </c>
      <c r="E2" t="s">
        <v>74</v>
      </c>
      <c r="F2" t="s">
        <v>74</v>
      </c>
      <c r="G2" s="18">
        <v>0</v>
      </c>
      <c r="H2" s="18">
        <v>0</v>
      </c>
      <c r="I2" s="18">
        <v>0</v>
      </c>
      <c r="J2" s="19">
        <v>0</v>
      </c>
      <c r="K2" s="18">
        <v>0</v>
      </c>
      <c r="L2" s="18">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heetViews>
  <sheetFormatPr defaultRowHeight="16.8" x14ac:dyDescent="0.4"/>
  <cols>
    <col min="1" max="1" width="16.8984375" customWidth="1"/>
    <col min="2" max="2" width="11.3984375" customWidth="1"/>
  </cols>
  <sheetData>
    <row r="1" spans="1:3" x14ac:dyDescent="0.4">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heetViews>
  <sheetFormatPr defaultRowHeight="16.8" x14ac:dyDescent="0.4"/>
  <cols>
    <col min="1" max="1" width="10" customWidth="1"/>
    <col min="2" max="2" width="17.3984375" customWidth="1"/>
  </cols>
  <sheetData>
    <row r="1" spans="1:2" x14ac:dyDescent="0.4">
      <c r="A1" t="s">
        <v>3</v>
      </c>
      <c r="B1" t="s">
        <v>1</v>
      </c>
    </row>
    <row r="2" spans="1:2" x14ac:dyDescent="0.4">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heetViews>
  <sheetFormatPr defaultRowHeight="16.8" x14ac:dyDescent="0.4"/>
  <cols>
    <col min="1" max="1" width="25.59765625" customWidth="1"/>
    <col min="2" max="2" width="40.59765625" customWidth="1"/>
    <col min="3" max="3" width="5.59765625" customWidth="1"/>
    <col min="4" max="4" width="25.59765625" customWidth="1"/>
    <col min="5" max="5" width="40.59765625" customWidth="1"/>
    <col min="6" max="6" width="5.59765625" customWidth="1"/>
    <col min="7" max="7" width="25.59765625" customWidth="1"/>
    <col min="8" max="8" width="40.59765625" customWidth="1"/>
    <col min="9" max="9" width="5.59765625" customWidth="1"/>
    <col min="10" max="10" width="40.59765625" customWidth="1"/>
    <col min="11" max="11" width="25.59765625" customWidth="1"/>
  </cols>
  <sheetData>
    <row r="1" spans="1:11" x14ac:dyDescent="0.4">
      <c r="A1" s="1" t="s">
        <v>6</v>
      </c>
      <c r="B1" s="1" t="s">
        <v>7</v>
      </c>
      <c r="D1" s="1" t="s">
        <v>26</v>
      </c>
      <c r="E1" s="1" t="s">
        <v>27</v>
      </c>
      <c r="G1" s="1" t="s">
        <v>4</v>
      </c>
      <c r="H1" s="1" t="s">
        <v>5</v>
      </c>
      <c r="J1" s="1" t="s">
        <v>45</v>
      </c>
      <c r="K1" s="1" t="s">
        <v>46</v>
      </c>
    </row>
    <row r="2" spans="1:11" x14ac:dyDescent="0.4">
      <c r="A2" t="s">
        <v>8</v>
      </c>
      <c r="B2" t="s">
        <v>9</v>
      </c>
      <c r="D2" t="s">
        <v>48</v>
      </c>
      <c r="E2" t="s">
        <v>49</v>
      </c>
      <c r="G2" t="s">
        <v>4</v>
      </c>
      <c r="H2" t="s">
        <v>5</v>
      </c>
      <c r="J2" t="s">
        <v>45</v>
      </c>
      <c r="K2" t="s">
        <v>46</v>
      </c>
    </row>
    <row r="3" spans="1:11" x14ac:dyDescent="0.4">
      <c r="A3" t="s">
        <v>10</v>
      </c>
      <c r="B3" t="s">
        <v>11</v>
      </c>
      <c r="D3" t="s">
        <v>28</v>
      </c>
      <c r="E3" t="s">
        <v>29</v>
      </c>
    </row>
    <row r="4" spans="1:11" x14ac:dyDescent="0.4">
      <c r="A4" t="s">
        <v>12</v>
      </c>
      <c r="B4" t="s">
        <v>13</v>
      </c>
      <c r="D4" t="s">
        <v>30</v>
      </c>
      <c r="E4" t="s">
        <v>31</v>
      </c>
    </row>
    <row r="5" spans="1:11" x14ac:dyDescent="0.4">
      <c r="A5" t="s">
        <v>14</v>
      </c>
      <c r="B5" t="s">
        <v>15</v>
      </c>
      <c r="D5" t="s">
        <v>32</v>
      </c>
      <c r="E5" t="s">
        <v>33</v>
      </c>
    </row>
    <row r="6" spans="1:11" x14ac:dyDescent="0.4">
      <c r="A6" t="s">
        <v>16</v>
      </c>
      <c r="B6" t="s">
        <v>17</v>
      </c>
      <c r="D6" t="s">
        <v>34</v>
      </c>
      <c r="E6" t="s">
        <v>35</v>
      </c>
    </row>
    <row r="7" spans="1:11" x14ac:dyDescent="0.4">
      <c r="A7" t="s">
        <v>18</v>
      </c>
      <c r="B7" t="s">
        <v>19</v>
      </c>
      <c r="D7" t="s">
        <v>50</v>
      </c>
      <c r="E7" t="s">
        <v>51</v>
      </c>
    </row>
    <row r="8" spans="1:11" x14ac:dyDescent="0.4">
      <c r="A8" t="s">
        <v>58</v>
      </c>
      <c r="B8" t="s">
        <v>59</v>
      </c>
      <c r="D8" t="s">
        <v>36</v>
      </c>
      <c r="E8" t="s">
        <v>37</v>
      </c>
    </row>
    <row r="9" spans="1:11" x14ac:dyDescent="0.4">
      <c r="A9" t="s">
        <v>20</v>
      </c>
      <c r="B9" t="s">
        <v>21</v>
      </c>
      <c r="D9" t="s">
        <v>38</v>
      </c>
      <c r="E9" t="s">
        <v>39</v>
      </c>
    </row>
    <row r="10" spans="1:11" x14ac:dyDescent="0.4">
      <c r="A10" t="s">
        <v>22</v>
      </c>
      <c r="B10" t="s">
        <v>23</v>
      </c>
      <c r="D10" t="s">
        <v>40</v>
      </c>
      <c r="E10" t="s">
        <v>41</v>
      </c>
    </row>
    <row r="11" spans="1:11" x14ac:dyDescent="0.4">
      <c r="A11" t="s">
        <v>24</v>
      </c>
      <c r="B11" t="s">
        <v>25</v>
      </c>
      <c r="D11" t="s">
        <v>60</v>
      </c>
      <c r="E11" t="s">
        <v>61</v>
      </c>
    </row>
    <row r="12" spans="1:11" x14ac:dyDescent="0.4">
      <c r="D12" t="s">
        <v>62</v>
      </c>
      <c r="E12" t="s">
        <v>63</v>
      </c>
    </row>
    <row r="13" spans="1:11" x14ac:dyDescent="0.4">
      <c r="D13" t="s">
        <v>0</v>
      </c>
      <c r="E13" t="s">
        <v>42</v>
      </c>
    </row>
    <row r="14" spans="1:11" x14ac:dyDescent="0.4">
      <c r="D14" t="s">
        <v>43</v>
      </c>
      <c r="E14" t="s">
        <v>44</v>
      </c>
    </row>
    <row r="15" spans="1:11" x14ac:dyDescent="0.4">
      <c r="D15" t="s">
        <v>52</v>
      </c>
      <c r="E15" t="s">
        <v>53</v>
      </c>
    </row>
    <row r="16" spans="1:11" x14ac:dyDescent="0.4">
      <c r="D16" t="s">
        <v>54</v>
      </c>
      <c r="E16" t="s">
        <v>55</v>
      </c>
    </row>
    <row r="17" spans="4:5" x14ac:dyDescent="0.4">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B33047-D8FB-4A86-B74E-3BA6259A111B}">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$InventoryTransDetailPrintLbl$</vt:lpstr>
      <vt:lpstr>$InvTransDetailAnalysisLbl$</vt:lpstr>
      <vt:lpstr>$AboutTheReportLbl$</vt:lpstr>
      <vt:lpstr>InventoryTransDetail_Query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Adeline Soerjonoto</cp:lastModifiedBy>
  <cp:lastPrinted>2025-11-18T03:12:28Z</cp:lastPrinted>
  <dcterms:modified xsi:type="dcterms:W3CDTF">2025-11-19T23:11:38Z</dcterms:modified>
</cp:coreProperties>
</file>
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Inventory\Reports\"/>
    </mc:Choice>
  </mc:AlternateContent>
  <xr:revisionPtr revIDLastSave="0" documentId="13_ncr:1_{A1BAC257-FFCA-4C9B-B27E-DBE96F031C71}" xr6:coauthVersionLast="47" xr6:coauthVersionMax="47" xr10:uidLastSave="{00000000-0000-0000-0000-000000000000}"/>
  <bookViews>
    <workbookView xWindow="-108" yWindow="-108" windowWidth="30936" windowHeight="16776" xr2:uid="{00000000-000D-0000-FFFF-FFFF00000000}"/>
  </bookViews>
  <sheets>
    <sheet name="$InvVendorPurchPrintLbl$" sheetId="7" r:id="rId1"/>
    <sheet name="$InvVendorPurchAnalysisLbl$" sheetId="8" r:id="rId2"/>
    <sheet name="$AboutTheReportLbl$" sheetId="5" r:id="rId3"/>
    <sheet name="InventoryVendorPurchases_Query" sheetId="6"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FilterHeading" xml:space="preserve"> _xlfn.XLOOKUP("CustFilterHeading",#REF!,#REF!)</definedName>
    <definedName name="DataRetrieved">#REF!</definedName>
    <definedName name="DateFilter" xml:space="preserve"> _xlfn.XLOOKUP("DateFilter",#REF!,#REF!)</definedName>
    <definedName name="DatePeriod" xml:space="preserve"> _xlfn.XLOOKUP("PeriodText",#REF!,#REF!)</definedName>
    <definedName name="DuplicateEndDateFilter" xml:space="preserve"> _xlfn.XLOOKUP("BalanceAsOfDateFilter",#REF!,#REF!)</definedName>
    <definedName name="EndDateFilter" xml:space="preserve"> _xlfn.XLOOKUP("BalanceAsOfDateFilter",#REF!,#REF!)</definedName>
    <definedName name="ExternalData_1" localSheetId="3" hidden="1">InventoryVendorPurchases_Query!$A$1:$H$2</definedName>
    <definedName name="ItemFilter">_xlfn.XLOOKUP("ItemFilter", ReportRequestPageValues[Request Page Option], ReportRequestPageValues[Request Page Option Value])</definedName>
    <definedName name="ItemLedgEntryFilter">_xlfn.XLOOKUP("ItemLedgEntryFilter", ReportRequestPageValues[Request Page Option], ReportRequestPageValues[Request Page Option Value])</definedName>
    <definedName name="PurchLineFilterHeading" xml:space="preserve"> _xlfn.XLOOKUP("PurchLineFilterHeading",#REF!,#REF!)</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sc_Item">#N/A</definedName>
    <definedName name="Slicer_No_Item">#N/A</definedName>
    <definedName name="Slicer_SourceNo_ValueEntry">#N/A</definedName>
    <definedName name="Slicer_VendName">#N/A</definedName>
    <definedName name="StartDate" xml:space="preserve"> _xlfn.XLOOKUP("StartDate",#REF!,#REF!)</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7" l="1" a="1"/>
  <c r="H4" i="7" s="1"/>
  <c r="B5" i="7" a="1"/>
  <c r="B5" i="7" s="1"/>
  <c r="B4" i="7" a="1"/>
  <c r="B4" i="7" s="1"/>
  <c r="I4" i="7" a="1"/>
  <c r="I4" i="7" s="1"/>
  <c r="I2" i="7" a="1"/>
  <c r="I2" i="7" s="1"/>
  <c r="B7" i="5"/>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FA369-EDA6-41CE-93F3-BB43E02CA69D}" keepAlive="1" name="Query - InventoryVendorPurchases_Query" description="Connection to the 'InventoryVendorPurchases_Query' query in the workbook." type="5" refreshedVersion="8" refreshOnLoad="1" saveData="1">
    <dbPr connection="Provider=Microsoft.Mashup.OleDb.1;Data Source=$Workbook$;Location=InventoryVendorPurchases_Query;Extended Properties=&quot;&quot;" command="SELECT * FROM [InventoryVendorPurchase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<sst xmlns="http://schemas.openxmlformats.org/spreadsheetml/2006/main" count="124" uniqueCount="90">
  <si>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</si>
  <si>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</si>
  <si>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</si>
  <si>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</si>
  <si>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</si>
  <si>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</si>
  <si>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</si>
  <si>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</si>
  <si>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</si>
  <si>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</si>
  <si>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</si>
  <si>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</si>
  <si>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</si>
  <si>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</si>
  <si>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</si>
  <si>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</si>
  <si>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</si>
  <si>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</si>
  <si>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</si>
  <si>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</si>
  <si>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</si>
  <si>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</si>
  <si>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</si>
  <si>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</si>
  <si>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</si>
  <si>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</si>
  <si>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</si>
  <si>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</si>
  <si>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</si>
  <si>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</si>
  <si>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</si>
  <si>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</si>
  <si>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</si>
  <si>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</si>
  <si>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</si>
  <si>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</si>
  <si>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</si>
  <si>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</si>
  <si>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</si>
  <si>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</si>
  <si>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</si>
  <si>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</si>
  <si>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</si>
  <si>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</si>
  <si>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</si>
  <si>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</si>
  <si>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</si>
  <si>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</si>
  <si>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</si>
  <si>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</si>
  <si>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</si>
  <si>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</si>
  <si>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</si>
  <si>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</si>
  <si>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</si>
  <si>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</si>
  <si>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</si>
  <si>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</si>
  <si>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</si>
  <si>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</si>
  <si>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</si>
  <si>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</si>
  <si>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</si>
  <si>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</si>
  <si>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No_Item</t>
  </si>
  <si>
    <t>Desc_Item</t>
  </si>
  <si>
    <t>BaseUOM_Item</t>
  </si>
  <si>
    <t>SourceNo_ValueEntry</t>
  </si>
  <si>
    <t>VendName</t>
  </si>
  <si>
    <t>InvQty_ValueEntry</t>
  </si>
  <si>
    <t>CostAmtAct_ValueEntry</t>
  </si>
  <si>
    <t>DiscAmt_ValueEntry</t>
  </si>
  <si>
    <t/>
  </si>
  <si>
    <t>$EnvironmentLbl$</t>
  </si>
  <si>
    <t>$CompanyLbl$</t>
  </si>
  <si>
    <t>$UserLbl$</t>
  </si>
  <si>
    <t>$RunOnLbl$</t>
  </si>
  <si>
    <t>$ReportNameLbl$</t>
  </si>
  <si>
    <t>$DocumentationLbl$</t>
  </si>
  <si>
    <t>$InvVendorPurchLbl$</t>
  </si>
  <si>
    <t>Grand Total</t>
  </si>
  <si>
    <t>$ItemNoLbl$</t>
  </si>
  <si>
    <t>$DescriptionLbl$</t>
  </si>
  <si>
    <t>$VendorNoLbl$</t>
  </si>
  <si>
    <t>$BaseUOM_Item$</t>
  </si>
  <si>
    <t>$VendName$</t>
  </si>
  <si>
    <t>$InvQty_ValueEntry$</t>
  </si>
  <si>
    <t>$CostAmtAct_ValueEntry$</t>
  </si>
  <si>
    <t>$DiscAmt_ValueEntry$</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</si>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</sst>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3"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rgb="FF212121"/>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5" fillId="0" borderId="0" applyNumberFormat="0" applyFill="0" applyBorder="0" applyAlignment="0" applyProtection="0"/>
    <xf numFmtId="0" fontId="1" fillId="0" borderId="0"/>
    <xf numFmtId="0" fontId="8" fillId="0" borderId="1" applyNumberFormat="0" applyFill="0" applyAlignment="0" applyProtection="0"/>
  </cellStyleXfs>
  <cellXfs count="20">
    <xf numFmtId="0" fontId="0" fillId="0" borderId="0" xfId="0"/>
    <xf numFmtId="49" fontId="2" fillId="2" borderId="0" xfId="0" applyNumberFormat="1" applyFont="1" applyFill="1"/>
    <xf numFmtId="4" fontId="0" fillId="0" borderId="0" xfId="0" applyNumberFormat="1"/>
    <xf numFmtId="0" fontId="3" fillId="0" borderId="0" xfId="0" applyFont="1" applyAlignment="1">
      <alignment vertical="center"/>
    </xf>
    <xf numFmtId="0" fontId="4" fillId="0" borderId="0" xfId="0" applyFont="1" applyAlignment="1">
      <alignment vertical="center"/>
    </xf>
    <xf numFmtId="0" fontId="6" fillId="0" borderId="0" xfId="1"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7" fillId="0" borderId="0" xfId="2" applyFont="1" applyAlignment="1">
      <alignment vertical="center"/>
    </xf>
    <xf numFmtId="0" fontId="0" fillId="0" borderId="0" xfId="0" applyAlignment="1">
      <alignment vertical="center"/>
    </xf>
    <xf numFmtId="0" fontId="9" fillId="0" borderId="1" xfId="3"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0" applyFont="1" applyAlignment="1">
      <alignment vertical="center"/>
    </xf>
    <xf numFmtId="0" fontId="12" fillId="0" borderId="0" xfId="0" pivotButton="1" applyFont="1" applyAlignment="1">
      <alignment vertical="center"/>
    </xf>
    <xf numFmtId="0" fontId="12" fillId="0" borderId="0" xfId="0" applyFont="1" applyAlignment="1">
      <alignment horizontal="right" vertical="center"/>
    </xf>
    <xf numFmtId="0" fontId="12" fillId="0" borderId="0" xfId="0" applyFont="1" applyAlignment="1">
      <alignment vertical="center"/>
    </xf>
    <xf numFmtId="0" fontId="4" fillId="0" borderId="0" xfId="0" applyNumberFormat="1" applyFont="1" applyAlignment="1">
      <alignment vertical="center"/>
    </xf>
    <xf numFmtId="0" fontId="12" fillId="0" borderId="0" xfId="0" applyNumberFormat="1" applyFont="1" applyAlignment="1">
      <alignment vertical="center"/>
    </xf>
  </cellXfs>
  <cellStyles count="4">
    <cellStyle name="Heading 2 2" xfId="3" xr:uid="{2DEACC1E-E4DA-4443-9156-FB60091E1748}"/>
    <cellStyle name="Hyperlink" xfId="1" builtinId="8"/>
    <cellStyle name="Normal" xfId="0" builtinId="0"/>
    <cellStyle name="Normal 2" xfId="2" xr:uid="{C2EC451E-CCBC-4817-8BE2-60D00FED080F}"/>
  </cellStyles>
  <dxfs count="171">
    <dxf>
      <font>
        <name val="Segoe UI Semibold"/>
        <scheme val="major"/>
      </font>
    </dxf>
    <dxf>
      <font>
        <name val="Segoe UI"/>
        <family val="2"/>
        <scheme val="minor"/>
      </font>
    </dxf>
    <dxf>
      <font>
        <name val="Segoe UI Semibold"/>
        <scheme val="major"/>
      </font>
    </dxf>
    <dxf>
      <font>
        <name val="Segoe UI"/>
        <family val="2"/>
        <scheme val="min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name val="Segoe UI Semibold"/>
        <scheme val="major"/>
      </font>
    </dxf>
    <dxf>
      <font>
        <name val="Segoe UI Semibold"/>
        <scheme val="major"/>
      </font>
    </dxf>
    <dxf>
      <font>
        <name val="Segoe UI Semibold"/>
        <scheme val="maj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5" xr9:uid="{6342BF9C-27CD-4EF6-9B38-9259A4D9B366}">
      <tableStyleElement type="wholeTable" dxfId="170"/>
      <tableStyleElement type="headerRow" dxfId="169"/>
      <tableStyleElement type="totalRow" dxfId="168"/>
      <tableStyleElement type="secondRowStripe" dxfId="167"/>
      <tableStyleElement type="secondSubtotalRow" dxfId="166"/>
    </tableStyle>
    <tableStyle name="Business Central Reports Slicer Style (Template)" pivot="0" table="0" count="10" xr9:uid="{CEC636AE-F383-45A2-B262-04E5EBE15445}">
      <tableStyleElement type="wholeTable" dxfId="165"/>
      <tableStyleElement type="headerRow" dxfId="164"/>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1821810</xdr:colOff>
      <xdr:row>9</xdr:row>
      <xdr:rowOff>210970</xdr:rowOff>
    </xdr:to>
    <mc:AlternateContent xmlns:mc="http://schemas.openxmlformats.org/markup-compatibility/2006" xmlns:a14="http://schemas.microsoft.com/office/drawing/2010/main">
      <mc:Choice Requires="a14">
        <xdr:graphicFrame macro="">
          <xdr:nvGraphicFramePr>
            <xdr:cNvPr id="2" name="$ItemNoLbl$">
              <a:extLst>
                <a:ext uri="{FF2B5EF4-FFF2-40B4-BE49-F238E27FC236}">
                  <a16:creationId xmlns:a16="http://schemas.microsoft.com/office/drawing/2014/main" id="{85414F26-9353-EAC7-68EB-5F8A49FA30D7}"/>
                </a:ext>
              </a:extLst>
            </xdr:cNvPr>
            <xdr:cNvGraphicFramePr/>
          </xdr:nvGraphicFramePr>
          <xdr:xfrm>
            <a:off x="0" y="0"/>
            <a:ext cx="0" cy="0"/>
          </xdr:xfrm>
          <a:graphic>
            <a:graphicData uri="http://schemas.microsoft.com/office/drawing/2010/slicer">
              <sle:slicer xmlns:sle="http://schemas.microsoft.com/office/drawing/2010/slicer" name="$ItemNoLbl$"/>
            </a:graphicData>
          </a:graphic>
        </xdr:graphicFrame>
      </mc:Choice>
      <mc:Fallback xmlns="">
        <xdr:sp macro="" textlink="">
          <xdr:nvSpPr>
            <xdr:cNvPr id="0" name=""/>
            <xdr:cNvSpPr>
              <a:spLocks noTextEdit="1"/>
            </xdr:cNvSpPr>
          </xdr:nvSpPr>
          <xdr:spPr>
            <a:xfrm>
              <a:off x="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3679820</xdr:colOff>
      <xdr:row>9</xdr:row>
      <xdr:rowOff>210970</xdr:rowOff>
    </xdr:to>
    <mc:AlternateContent xmlns:mc="http://schemas.openxmlformats.org/markup-compatibility/2006" xmlns:a14="http://schemas.microsoft.com/office/drawing/2010/main">
      <mc:Choice Requires="a14">
        <xdr:graphicFrame macro="">
          <xdr:nvGraphicFramePr>
            <xdr:cNvPr id="3" name="$DescriptionLbl$">
              <a:extLst>
                <a:ext uri="{FF2B5EF4-FFF2-40B4-BE49-F238E27FC236}">
                  <a16:creationId xmlns:a16="http://schemas.microsoft.com/office/drawing/2014/main" id="{14BAD9D2-8FC8-2C73-0953-D2F7846920F1}"/>
                </a:ext>
              </a:extLst>
            </xdr:cNvPr>
            <xdr:cNvGraphicFramePr/>
          </xdr:nvGraphicFramePr>
          <xdr:xfrm>
            <a:off x="0" y="0"/>
            <a:ext cx="0" cy="0"/>
          </xdr:xfrm>
          <a:graphic>
            <a:graphicData uri="http://schemas.microsoft.com/office/drawing/2010/slicer">
              <sle:slicer xmlns:sle="http://schemas.microsoft.com/office/drawing/2010/slicer" name="$DescriptionLbl$"/>
            </a:graphicData>
          </a:graphic>
        </xdr:graphicFrame>
      </mc:Choice>
      <mc:Fallback xmlns="">
        <xdr:sp macro="" textlink="">
          <xdr:nvSpPr>
            <xdr:cNvPr id="0" name=""/>
            <xdr:cNvSpPr>
              <a:spLocks noTextEdit="1"/>
            </xdr:cNvSpPr>
          </xdr:nvSpPr>
          <xdr:spPr>
            <a:xfrm>
              <a:off x="186690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248920</xdr:rowOff>
    </xdr:from>
    <xdr:to>
      <xdr:col>0</xdr:col>
      <xdr:colOff>1812920</xdr:colOff>
      <xdr:row>19</xdr:row>
      <xdr:rowOff>199540</xdr:rowOff>
    </xdr:to>
    <mc:AlternateContent xmlns:mc="http://schemas.openxmlformats.org/markup-compatibility/2006" xmlns:a14="http://schemas.microsoft.com/office/drawing/2010/main">
      <mc:Choice Requires="a14">
        <xdr:graphicFrame macro="">
          <xdr:nvGraphicFramePr>
            <xdr:cNvPr id="4" name="$VendorNoLbl$">
              <a:extLst>
                <a:ext uri="{FF2B5EF4-FFF2-40B4-BE49-F238E27FC236}">
                  <a16:creationId xmlns:a16="http://schemas.microsoft.com/office/drawing/2014/main" id="{3F64A01C-1C4A-EF7F-3D04-8877D9CCE950}"/>
                </a:ext>
              </a:extLst>
            </xdr:cNvPr>
            <xdr:cNvGraphicFramePr/>
          </xdr:nvGraphicFramePr>
          <xdr:xfrm>
            <a:off x="0" y="0"/>
            <a:ext cx="0" cy="0"/>
          </xdr:xfrm>
          <a:graphic>
            <a:graphicData uri="http://schemas.microsoft.com/office/drawing/2010/slicer">
              <sle:slicer xmlns:sle="http://schemas.microsoft.com/office/drawing/2010/slicer" name="$VendorNoLbl$"/>
            </a:graphicData>
          </a:graphic>
        </xdr:graphicFrame>
      </mc:Choice>
      <mc:Fallback xmlns="">
        <xdr:sp macro="" textlink="">
          <xdr:nvSpPr>
            <xdr:cNvPr id="0" name=""/>
            <xdr:cNvSpPr>
              <a:spLocks noTextEdit="1"/>
            </xdr:cNvSpPr>
          </xdr:nvSpPr>
          <xdr:spPr>
            <a:xfrm>
              <a:off x="0" y="2657475"/>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9</xdr:row>
      <xdr:rowOff>248920</xdr:rowOff>
    </xdr:from>
    <xdr:to>
      <xdr:col>0</xdr:col>
      <xdr:colOff>3679820</xdr:colOff>
      <xdr:row>19</xdr:row>
      <xdr:rowOff>199540</xdr:rowOff>
    </xdr:to>
    <mc:AlternateContent xmlns:mc="http://schemas.openxmlformats.org/markup-compatibility/2006" xmlns:a14="http://schemas.microsoft.com/office/drawing/2010/main">
      <mc:Choice Requires="a14">
        <xdr:graphicFrame macro="">
          <xdr:nvGraphicFramePr>
            <xdr:cNvPr id="5" name="$VendName$">
              <a:extLst>
                <a:ext uri="{FF2B5EF4-FFF2-40B4-BE49-F238E27FC236}">
                  <a16:creationId xmlns:a16="http://schemas.microsoft.com/office/drawing/2014/main" id="{DC28D158-3882-F082-F86B-7E685761A661}"/>
                </a:ext>
              </a:extLst>
            </xdr:cNvPr>
            <xdr:cNvGraphicFramePr/>
          </xdr:nvGraphicFramePr>
          <xdr:xfrm>
            <a:off x="0" y="0"/>
            <a:ext cx="0" cy="0"/>
          </xdr:xfrm>
          <a:graphic>
            <a:graphicData uri="http://schemas.microsoft.com/office/drawing/2010/slicer">
              <sle:slicer xmlns:sle="http://schemas.microsoft.com/office/drawing/2010/slicer" name="$VendName$"/>
            </a:graphicData>
          </a:graphic>
        </xdr:graphicFrame>
      </mc:Choice>
      <mc:Fallback xmlns="">
        <xdr:sp macro="" textlink="">
          <xdr:nvSpPr>
            <xdr:cNvPr id="0" name=""/>
            <xdr:cNvSpPr>
              <a:spLocks noTextEdit="1"/>
            </xdr:cNvSpPr>
          </xdr:nvSpPr>
          <xdr:spPr>
            <a:xfrm>
              <a:off x="1866900" y="2657475"/>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12136342592" createdVersion="8" refreshedVersion="8" minRefreshableVersion="3" recordCount="1" xr:uid="{1BC99892-3E17-4D58-AE81-A509186AE66F}">
  <cacheSource type="worksheet">
    <worksheetSource name="InventoryVendorPurchases_Query"/>
  </cacheSource>
  <cacheFields count="8">
    <cacheField name="No_Item" numFmtId="0">
      <sharedItems count="1">
        <s v=""/>
      </sharedItems>
    </cacheField>
    <cacheField name="Desc_Item" numFmtId="0">
      <sharedItems count="1">
        <s v=""/>
      </sharedItems>
    </cacheField>
    <cacheField name="BaseUOM_Item" numFmtId="0">
      <sharedItems count="1">
        <s v=""/>
      </sharedItems>
    </cacheField>
    <cacheField name="SourceNo_ValueEntry" numFmtId="0">
      <sharedItems count="1">
        <s v=""/>
      </sharedItems>
    </cacheField>
    <cacheField name="VendName" numFmtId="0">
      <sharedItems count="1">
        <s v=""/>
      </sharedItems>
    </cacheField>
    <cacheField name="InvQty_ValueEntry" numFmtId="0">
      <sharedItems containsSemiMixedTypes="0" containsString="0" containsNumber="1" containsInteger="1" minValue="0" maxValue="0"/>
    </cacheField>
    <cacheField name="CostAmtAct_ValueEntry" numFmtId="0">
      <sharedItems containsSemiMixedTypes="0" containsString="0" containsNumber="1" containsInteger="1" minValue="0" maxValue="0"/>
    </cacheField>
    <cacheField name="DiscAmt_ValueEntry"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972746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686F8-B328-41EC-B0C5-89B0DB06360E}" name="PivotTable1" cacheId="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7:I10" firstHeaderRow="0" firstDataRow="1" firstDataCol="5"/>
  <pivotFields count="8">
    <pivotField name="$ItemNoLbl$" axis="axisRow" compact="0" outline="0" showAll="0" defaultSubtotal="0">
      <items count="1">
        <item x="0"/>
      </items>
    </pivotField>
    <pivotField name="$DescriptionLbl$" axis="axisRow" compact="0" outline="0" showAll="0">
      <items count="2">
        <item x="0"/>
        <item t="default"/>
      </items>
    </pivotField>
    <pivotField name="$BaseUOM_Item$" axis="axisRow" compact="0" outline="0" showAll="0" defaultSubtotal="0">
      <items count="1">
        <item x="0"/>
      </items>
      <extLst>
        <ext xmlns:x14="http://schemas.microsoft.com/office/spreadsheetml/2009/9/main" uri="{2946ED86-A175-432a-8AC1-64E0C546D7DE}">
          <x14:pivotField fillDownLabels="1"/>
        </ext>
      </extLst>
    </pivotField>
    <pivotField name="$VendorNoLbl$" axis="axisRow" compact="0" outline="0" showAll="0" defaultSubtotal="0">
      <items count="1">
        <item x="0"/>
      </items>
    </pivotField>
    <pivotField name="$VendNam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s>
  <rowFields count="5">
    <field x="0"/>
    <field x="1"/>
    <field x="2"/>
    <field x="3"/>
    <field x="4"/>
  </rowFields>
  <rowItems count="3">
    <i>
      <x/>
      <x/>
      <x/>
      <x/>
      <x/>
    </i>
    <i t="default" r="1">
      <x/>
    </i>
    <i t="grand">
      <x/>
    </i>
  </rowItems>
  <colFields count="1">
    <field x="-2"/>
  </colFields>
  <colItems count="3">
    <i>
      <x/>
    </i>
    <i i="1">
      <x v="1"/>
    </i>
    <i i="2">
      <x v="2"/>
    </i>
  </colItems>
  <dataFields count="3">
    <dataField name="$InvQty_ValueEntry$" fld="5" baseField="0" baseItem="0"/>
    <dataField name="$CostAmtAct_ValueEntry$" fld="6" baseField="0" baseItem="0"/>
    <dataField name="$DiscAmt_ValueEntry$" fld="7" baseField="0" baseItem="0"/>
  </dataFields>
  <formats count="38">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field="1" type="button" dataOnly="0" labelOnly="1" outline="0" axis="axisRow" fieldPosition="1"/>
    </format>
    <format dxfId="159">
      <pivotArea field="2" type="button" dataOnly="0" labelOnly="1" outline="0" axis="axisRow" fieldPosition="2"/>
    </format>
    <format dxfId="158">
      <pivotArea field="3" type="button" dataOnly="0" labelOnly="1" outline="0" axis="axisRow" fieldPosition="3"/>
    </format>
    <format dxfId="157">
      <pivotArea field="4" type="button" dataOnly="0" labelOnly="1" outline="0" axis="axisRow" fieldPosition="4"/>
    </format>
    <format dxfId="156">
      <pivotArea dataOnly="0" labelOnly="1" outline="0" fieldPosition="0">
        <references count="1">
          <reference field="0" count="0"/>
        </references>
      </pivotArea>
    </format>
    <format dxfId="155">
      <pivotArea dataOnly="0" labelOnly="1" grandRow="1" outline="0" fieldPosition="0"/>
    </format>
    <format dxfId="154">
      <pivotArea dataOnly="0" labelOnly="1" outline="0" fieldPosition="0">
        <references count="2">
          <reference field="0" count="0" selected="0"/>
          <reference field="1" count="0"/>
        </references>
      </pivotArea>
    </format>
    <format dxfId="153">
      <pivotArea dataOnly="0" labelOnly="1" outline="0" fieldPosition="0">
        <references count="3">
          <reference field="0" count="0" selected="0"/>
          <reference field="1" count="0" selected="0"/>
          <reference field="2" count="0"/>
        </references>
      </pivotArea>
    </format>
    <format dxfId="152">
      <pivotArea dataOnly="0" labelOnly="1" outline="0" fieldPosition="0">
        <references count="4">
          <reference field="0" count="0" selected="0"/>
          <reference field="1" count="0" selected="0"/>
          <reference field="2" count="0" selected="0"/>
          <reference field="3" count="0"/>
        </references>
      </pivotArea>
    </format>
    <format dxfId="151">
      <pivotArea dataOnly="0" labelOnly="1" outline="0" fieldPosition="0">
        <references count="5">
          <reference field="0" count="0" selected="0"/>
          <reference field="1" count="0" selected="0"/>
          <reference field="2" count="0" selected="0"/>
          <reference field="3" count="0" selected="0"/>
          <reference field="4" count="0"/>
        </references>
      </pivotArea>
    </format>
    <format dxfId="150">
      <pivotArea dataOnly="0" labelOnly="1" outline="0" fieldPosition="0">
        <references count="1">
          <reference field="4294967294" count="3">
            <x v="0"/>
            <x v="1"/>
            <x v="2"/>
          </reference>
        </references>
      </pivotArea>
    </format>
    <format dxfId="149">
      <pivotArea field="0" type="button" dataOnly="0" labelOnly="1" outline="0" axis="axisRow" fieldPosition="0"/>
    </format>
    <format dxfId="148">
      <pivotArea field="1" type="button" dataOnly="0" labelOnly="1" outline="0" axis="axisRow" fieldPosition="1"/>
    </format>
    <format dxfId="147">
      <pivotArea field="2" type="button" dataOnly="0" labelOnly="1" outline="0" axis="axisRow" fieldPosition="2"/>
    </format>
    <format dxfId="146">
      <pivotArea field="3" type="button" dataOnly="0" labelOnly="1" outline="0" axis="axisRow" fieldPosition="3"/>
    </format>
    <format dxfId="145">
      <pivotArea field="4" type="button" dataOnly="0" labelOnly="1" outline="0" axis="axisRow" fieldPosition="4"/>
    </format>
    <format dxfId="144">
      <pivotArea dataOnly="0" labelOnly="1" outline="0" fieldPosition="0">
        <references count="1">
          <reference field="4294967294" count="3">
            <x v="0"/>
            <x v="1"/>
            <x v="2"/>
          </reference>
        </references>
      </pivotArea>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field="1" type="button" dataOnly="0" labelOnly="1" outline="0" axis="axisRow" fieldPosition="1"/>
    </format>
    <format dxfId="139">
      <pivotArea field="2" type="button" dataOnly="0" labelOnly="1" outline="0" axis="axisRow" fieldPosition="2"/>
    </format>
    <format dxfId="138">
      <pivotArea field="3" type="button" dataOnly="0" labelOnly="1" outline="0" axis="axisRow" fieldPosition="3"/>
    </format>
    <format dxfId="137">
      <pivotArea field="4" type="button" dataOnly="0" labelOnly="1" outline="0" axis="axisRow" fieldPosition="4"/>
    </format>
    <format dxfId="136">
      <pivotArea dataOnly="0" labelOnly="1" outline="0" fieldPosition="0">
        <references count="1">
          <reference field="0" count="0"/>
        </references>
      </pivotArea>
    </format>
    <format dxfId="135">
      <pivotArea dataOnly="0" labelOnly="1" grandRow="1" outline="0" fieldPosition="0"/>
    </format>
    <format dxfId="134">
      <pivotArea dataOnly="0" labelOnly="1" outline="0" fieldPosition="0">
        <references count="2">
          <reference field="0" count="0" selected="0"/>
          <reference field="1" count="0"/>
        </references>
      </pivotArea>
    </format>
    <format dxfId="133">
      <pivotArea dataOnly="0" labelOnly="1" outline="0" fieldPosition="0">
        <references count="3">
          <reference field="0" count="0" selected="0"/>
          <reference field="1" count="0" selected="0"/>
          <reference field="2" count="0"/>
        </references>
      </pivotArea>
    </format>
    <format dxfId="132">
      <pivotArea dataOnly="0" labelOnly="1" outline="0" fieldPosition="0">
        <references count="4">
          <reference field="0" count="0" selected="0"/>
          <reference field="1" count="0" selected="0"/>
          <reference field="2" count="0" selected="0"/>
          <reference field="3" count="0"/>
        </references>
      </pivotArea>
    </format>
    <format dxfId="131">
      <pivotArea dataOnly="0" labelOnly="1" outline="0" fieldPosition="0">
        <references count="5">
          <reference field="0" count="0" selected="0"/>
          <reference field="1" count="0" selected="0"/>
          <reference field="2" count="0" selected="0"/>
          <reference field="3" count="0" selected="0"/>
          <reference field="4" count="0"/>
        </references>
      </pivotArea>
    </format>
    <format dxfId="130">
      <pivotArea dataOnly="0" labelOnly="1" outline="0" fieldPosition="0">
        <references count="1">
          <reference field="4294967294" count="3">
            <x v="0"/>
            <x v="1"/>
            <x v="2"/>
          </reference>
        </references>
      </pivotArea>
    </format>
    <format dxfId="129">
      <pivotArea dataOnly="0" labelOnly="1" outline="0" fieldPosition="0">
        <references count="1">
          <reference field="4294967294" count="3">
            <x v="0"/>
            <x v="1"/>
            <x v="2"/>
          </reference>
        </references>
      </pivotArea>
    </format>
    <format dxfId="128">
      <pivotArea outline="0" fieldPosition="0">
        <references count="2">
          <reference field="0" count="0" selected="0"/>
          <reference field="1" count="0" selected="0" defaultSubtotal="1"/>
        </references>
      </pivotArea>
    </format>
    <format dxfId="127">
      <pivotArea dataOnly="0" labelOnly="1" outline="0" fieldPosition="0">
        <references count="2">
          <reference field="0" count="0" selected="0"/>
          <reference field="1" count="0" defaultSubtotal="1"/>
        </references>
      </pivotArea>
    </format>
    <format dxfId="3">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1451B-B61E-44DA-B284-60966B29F061}" name="PivotTable1" cacheId="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I4" firstHeaderRow="0" firstDataRow="1" firstDataCol="5"/>
  <pivotFields count="8">
    <pivotField name="$ItemNoLbl$" axis="axisRow" compact="0" outline="0" showAll="0" defaultSubtotal="0">
      <items count="1">
        <item x="0"/>
      </items>
    </pivotField>
    <pivotField name="$DescriptionLbl$" axis="axisRow" compact="0" outline="0" showAll="0">
      <items count="2">
        <item x="0"/>
        <item t="default"/>
      </items>
    </pivotField>
    <pivotField name="$BaseUOM_Item$" axis="axisRow" compact="0" outline="0" showAll="0" defaultSubtotal="0">
      <items count="1">
        <item x="0"/>
      </items>
      <extLst>
        <ext xmlns:x14="http://schemas.microsoft.com/office/spreadsheetml/2009/9/main" uri="{2946ED86-A175-432a-8AC1-64E0C546D7DE}">
          <x14:pivotField fillDownLabels="1"/>
        </ext>
      </extLst>
    </pivotField>
    <pivotField name="$VendorNoLbl$" axis="axisRow" compact="0" outline="0" showAll="0" defaultSubtotal="0">
      <items count="1">
        <item x="0"/>
      </items>
    </pivotField>
    <pivotField name="$VendNam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s>
  <rowFields count="5">
    <field x="0"/>
    <field x="1"/>
    <field x="2"/>
    <field x="3"/>
    <field x="4"/>
  </rowFields>
  <rowItems count="3">
    <i>
      <x/>
      <x/>
      <x/>
      <x/>
      <x/>
    </i>
    <i t="default" r="1">
      <x/>
    </i>
    <i t="grand">
      <x/>
    </i>
  </rowItems>
  <colFields count="1">
    <field x="-2"/>
  </colFields>
  <colItems count="3">
    <i>
      <x/>
    </i>
    <i i="1">
      <x v="1"/>
    </i>
    <i i="2">
      <x v="2"/>
    </i>
  </colItems>
  <dataFields count="3">
    <dataField name="$InvQty_ValueEntry$" fld="5" baseField="0" baseItem="0"/>
    <dataField name="$CostAmtAct_ValueEntry$" fld="6" baseField="0" baseItem="0"/>
    <dataField name="$DiscAmt_ValueEntry$" fld="7" baseField="0" baseItem="0"/>
  </dataFields>
  <formats count="38">
    <format dxfId="126">
      <pivotArea type="all" dataOnly="0" outline="0" fieldPosition="0"/>
    </format>
    <format dxfId="125">
      <pivotArea outline="0" collapsedLevelsAreSubtotals="1" fieldPosition="0"/>
    </format>
    <format dxfId="124">
      <pivotArea field="0" type="button" dataOnly="0" labelOnly="1" outline="0" axis="axisRow" fieldPosition="0"/>
    </format>
    <format dxfId="123">
      <pivotArea field="1" type="button" dataOnly="0" labelOnly="1" outline="0" axis="axisRow" fieldPosition="1"/>
    </format>
    <format dxfId="122">
      <pivotArea field="2" type="button" dataOnly="0" labelOnly="1" outline="0" axis="axisRow" fieldPosition="2"/>
    </format>
    <format dxfId="121">
      <pivotArea field="3" type="button" dataOnly="0" labelOnly="1" outline="0" axis="axisRow" fieldPosition="3"/>
    </format>
    <format dxfId="120">
      <pivotArea field="4" type="button" dataOnly="0" labelOnly="1" outline="0" axis="axisRow" fieldPosition="4"/>
    </format>
    <format dxfId="119">
      <pivotArea dataOnly="0" labelOnly="1" outline="0" fieldPosition="0">
        <references count="1">
          <reference field="0" count="0"/>
        </references>
      </pivotArea>
    </format>
    <format dxfId="118">
      <pivotArea dataOnly="0" labelOnly="1" grandRow="1" outline="0" fieldPosition="0"/>
    </format>
    <format dxfId="117">
      <pivotArea dataOnly="0" labelOnly="1" outline="0" fieldPosition="0">
        <references count="2">
          <reference field="0" count="0" selected="0"/>
          <reference field="1" count="0"/>
        </references>
      </pivotArea>
    </format>
    <format dxfId="116">
      <pivotArea dataOnly="0" labelOnly="1" outline="0" fieldPosition="0">
        <references count="3">
          <reference field="0" count="0" selected="0"/>
          <reference field="1" count="0" selected="0"/>
          <reference field="2" count="0"/>
        </references>
      </pivotArea>
    </format>
    <format dxfId="115">
      <pivotArea dataOnly="0" labelOnly="1" outline="0" fieldPosition="0">
        <references count="4">
          <reference field="0" count="0" selected="0"/>
          <reference field="1" count="0" selected="0"/>
          <reference field="2" count="0" selected="0"/>
          <reference field="3" count="0"/>
        </references>
      </pivotArea>
    </format>
    <format dxfId="114">
      <pivotArea dataOnly="0" labelOnly="1" outline="0" fieldPosition="0">
        <references count="5">
          <reference field="0" count="0" selected="0"/>
          <reference field="1" count="0" selected="0"/>
          <reference field="2" count="0" selected="0"/>
          <reference field="3" count="0" selected="0"/>
          <reference field="4" count="0"/>
        </references>
      </pivotArea>
    </format>
    <format dxfId="113">
      <pivotArea dataOnly="0" labelOnly="1" outline="0" fieldPosition="0">
        <references count="1">
          <reference field="4294967294" count="3">
            <x v="0"/>
            <x v="1"/>
            <x v="2"/>
          </reference>
        </references>
      </pivotArea>
    </format>
    <format dxfId="112">
      <pivotArea field="0" type="button" dataOnly="0" labelOnly="1" outline="0" axis="axisRow" fieldPosition="0"/>
    </format>
    <format dxfId="111">
      <pivotArea field="1" type="button" dataOnly="0" labelOnly="1" outline="0" axis="axisRow" fieldPosition="1"/>
    </format>
    <format dxfId="110">
      <pivotArea field="2" type="button" dataOnly="0" labelOnly="1" outline="0" axis="axisRow" fieldPosition="2"/>
    </format>
    <format dxfId="109">
      <pivotArea field="3" type="button" dataOnly="0" labelOnly="1" outline="0" axis="axisRow" fieldPosition="3"/>
    </format>
    <format dxfId="108">
      <pivotArea field="4" type="button" dataOnly="0" labelOnly="1" outline="0" axis="axisRow" fieldPosition="4"/>
    </format>
    <format dxfId="107">
      <pivotArea dataOnly="0" labelOnly="1" outline="0" fieldPosition="0">
        <references count="1">
          <reference field="4294967294" count="3">
            <x v="0"/>
            <x v="1"/>
            <x v="2"/>
          </reference>
        </references>
      </pivotArea>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field="1" type="button" dataOnly="0" labelOnly="1" outline="0" axis="axisRow" fieldPosition="1"/>
    </format>
    <format dxfId="102">
      <pivotArea field="2" type="button" dataOnly="0" labelOnly="1" outline="0" axis="axisRow" fieldPosition="2"/>
    </format>
    <format dxfId="101">
      <pivotArea field="3" type="button" dataOnly="0" labelOnly="1" outline="0" axis="axisRow" fieldPosition="3"/>
    </format>
    <format dxfId="100">
      <pivotArea field="4" type="button" dataOnly="0" labelOnly="1" outline="0" axis="axisRow" fieldPosition="4"/>
    </format>
    <format dxfId="99">
      <pivotArea dataOnly="0" labelOnly="1" outline="0" fieldPosition="0">
        <references count="1">
          <reference field="0" count="0"/>
        </references>
      </pivotArea>
    </format>
    <format dxfId="98">
      <pivotArea dataOnly="0" labelOnly="1" grandRow="1" outline="0" fieldPosition="0"/>
    </format>
    <format dxfId="97">
      <pivotArea dataOnly="0" labelOnly="1" outline="0" fieldPosition="0">
        <references count="2">
          <reference field="0" count="0" selected="0"/>
          <reference field="1" count="0"/>
        </references>
      </pivotArea>
    </format>
    <format dxfId="96">
      <pivotArea dataOnly="0" labelOnly="1" outline="0" fieldPosition="0">
        <references count="3">
          <reference field="0" count="0" selected="0"/>
          <reference field="1" count="0" selected="0"/>
          <reference field="2" count="0"/>
        </references>
      </pivotArea>
    </format>
    <format dxfId="95">
      <pivotArea dataOnly="0" labelOnly="1" outline="0" fieldPosition="0">
        <references count="4">
          <reference field="0" count="0" selected="0"/>
          <reference field="1" count="0" selected="0"/>
          <reference field="2" count="0" selected="0"/>
          <reference field="3" count="0"/>
        </references>
      </pivotArea>
    </format>
    <format dxfId="94">
      <pivotArea dataOnly="0" labelOnly="1" outline="0" fieldPosition="0">
        <references count="5">
          <reference field="0" count="0" selected="0"/>
          <reference field="1" count="0" selected="0"/>
          <reference field="2" count="0" selected="0"/>
          <reference field="3" count="0" selected="0"/>
          <reference field="4" count="0"/>
        </references>
      </pivotArea>
    </format>
    <format dxfId="93">
      <pivotArea dataOnly="0" labelOnly="1" outline="0" fieldPosition="0">
        <references count="1">
          <reference field="4294967294" count="3">
            <x v="0"/>
            <x v="1"/>
            <x v="2"/>
          </reference>
        </references>
      </pivotArea>
    </format>
    <format dxfId="92">
      <pivotArea dataOnly="0" labelOnly="1" outline="0" fieldPosition="0">
        <references count="1">
          <reference field="4294967294" count="3">
            <x v="0"/>
            <x v="1"/>
            <x v="2"/>
          </reference>
        </references>
      </pivotArea>
    </format>
    <format dxfId="91">
      <pivotArea outline="0" fieldPosition="0">
        <references count="2">
          <reference field="0" count="0" selected="0"/>
          <reference field="1" count="0" selected="0" defaultSubtotal="1"/>
        </references>
      </pivotArea>
    </format>
    <format dxfId="90">
      <pivotArea dataOnly="0" labelOnly="1" outline="0" fieldPosition="0">
        <references count="2">
          <reference field="0" count="0" selected="0"/>
          <reference field="1" count="0" defaultSubtotal="1"/>
        </references>
      </pivotArea>
    </format>
    <format dxfId="1">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59DB2C43-CF21-46CF-9A85-D62B107355A7}" autoFormatId="16" applyNumberFormats="0" applyBorderFormats="0" applyFontFormats="0" applyPatternFormats="0" applyAlignmentFormats="0" applyWidthHeightFormats="0">
  <queryTableRefresh nextId="9">
    <queryTableFields count="8">
      <queryTableField id="1" name="No_Item" tableColumnId="1"/>
      <queryTableField id="2" name="Desc_Item" tableColumnId="2"/>
      <queryTableField id="3" name="BaseUOM_Item" tableColumnId="3"/>
      <queryTableField id="4" name="SourceNo_ValueEntry" tableColumnId="4"/>
      <queryTableField id="5" name="VendName" tableColumnId="5"/>
      <queryTableField id="6" name="InvQty_ValueEntry" tableColumnId="6"/>
      <queryTableField id="7" name="CostAmtAct_ValueEntry" tableColumnId="7"/>
      <queryTableField id="8" name="DiscAmt_ValueEnt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03F8B1A6-F59A-48FB-B1A4-2CA5E9799276}" sourceName="No_Item">
  <pivotTables>
    <pivotTable tabId="8" name="PivotTable1"/>
  </pivotTables>
  <data>
    <tabular pivotCacheId="972746117"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_Item" xr10:uid="{58701FF0-1D3D-435E-B5FC-3801F88AB5F0}" sourceName="Desc_Item">
  <pivotTables>
    <pivotTable tabId="8" name="PivotTable1"/>
  </pivotTables>
  <data>
    <tabular pivotCacheId="972746117"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No_ValueEntry" xr10:uid="{5621F831-0ADC-4F2D-AB50-72297E0F69C6}" sourceName="SourceNo_ValueEntry">
  <pivotTables>
    <pivotTable tabId="8" name="PivotTable1"/>
  </pivotTables>
  <data>
    <tabular pivotCacheId="972746117"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Name" xr10:uid="{076056DF-D398-4C28-8FD6-2244F2EFEE79}" sourceName="VendName">
  <pivotTables>
    <pivotTable tabId="8" name="PivotTable1"/>
  </pivotTables>
  <data>
    <tabular pivotCacheId="972746117"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Lbl$" xr10:uid="{9762415A-8A00-4507-82A7-7A0C775480E9}" cache="Slicer_No_Item" caption="$ItemNoLbl$" style="Business Central Reports Slicer Style (Template)" rowHeight="273050"/>
  <slicer name="$DescriptionLbl$" xr10:uid="{DD77857E-B3FE-41F4-9E6F-D379EEB582D1}" cache="Slicer_Desc_Item" caption="$DescriptionLbl$" style="Business Central Reports Slicer Style (Template)" rowHeight="273050"/>
  <slicer name="$VendorNoLbl$" xr10:uid="{67F79058-DE0E-4812-ADCC-87470504F23E}" cache="Slicer_SourceNo_ValueEntry" caption="$VendorNoLbl$" style="Business Central Reports Slicer Style (Template)" rowHeight="273050"/>
  <slicer name="$VendName$" xr10:uid="{DF576BEE-A442-48CE-B06D-BB5C6FA7C6AE}" cache="Slicer_VendName" caption="$VendNam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5A145B-94C1-46E3-A8ED-D7306318DD56}" name="InventoryVendorPurchases_Query" displayName="InventoryVendorPurchases_Query" ref="A1:H2" tableType="queryTable" totalsRowShown="0">
  <autoFilter ref="A1:H2" xr:uid="{035A145B-94C1-46E3-A8ED-D7306318DD56}"/>
  <tableColumns count="8">
    <tableColumn id="1" xr3:uid="{871F0A51-81F9-401D-BE80-B9B69659C371}" uniqueName="1" name="No_Item" queryTableFieldId="1" dataDxfId="89"/>
    <tableColumn id="2" xr3:uid="{B49BE366-EBCC-43DA-A1E2-37BCF83B9761}" uniqueName="2" name="Desc_Item" queryTableFieldId="2" dataDxfId="88"/>
    <tableColumn id="3" xr3:uid="{AE2D3DC4-AFBA-4E36-ADFB-A294EAA4A6F4}" uniqueName="3" name="BaseUOM_Item" queryTableFieldId="3" dataDxfId="87"/>
    <tableColumn id="4" xr3:uid="{12847B76-BBEC-45B6-8ACF-4F8D559949DA}" uniqueName="4" name="SourceNo_ValueEntry" queryTableFieldId="4" dataDxfId="86"/>
    <tableColumn id="5" xr3:uid="{CD80CB52-ECA2-4F2B-99EF-F9654EABFC6C}" uniqueName="5" name="VendName" queryTableFieldId="5" dataDxfId="85"/>
    <tableColumn id="6" xr3:uid="{8AE012D4-E98A-45D3-8D59-A801745B4A55}" uniqueName="6" name="InvQty_ValueEntry" queryTableFieldId="6"/>
    <tableColumn id="7" xr3:uid="{9954FCD4-4193-44AD-89A3-B8E9E912A68F}" uniqueName="7" name="CostAmtAct_ValueEntry" queryTableFieldId="7"/>
    <tableColumn id="8" xr3:uid="{88D2E0AD-434F-4673-B15A-BD647F447E84}" uniqueName="8" name="DiscAmt_ValueEntry"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H2" totalsRowShown="0" headerRowDxfId="84">
  <autoFilter ref="A1:H2" xr:uid="{41D726F2-778D-4B1C-A5EA-875FED73D050}"/>
  <tableColumns count="8">
    <tableColumn id="1" xr3:uid="{21867904-D69E-41E3-B5BE-D9B124B8D7E4}" name="No_Item"/>
    <tableColumn id="2" xr3:uid="{21867904-D69E-41E3-B5BE-D9B124B8D7E4}" name="Desc_Item"/>
    <tableColumn id="3" xr3:uid="{21867904-D69E-41E3-B5BE-D9B124B8D7E4}" name="BaseUOM_Item"/>
    <tableColumn id="4" xr3:uid="{21867904-D69E-41E3-B5BE-D9B124B8D7E4}" name="SourceNo_ValueEntry"/>
    <tableColumn id="5" xr3:uid="{21867904-D69E-41E3-B5BE-D9B124B8D7E4}" name="VendName"/>
    <tableColumn id="6" xr3:uid="{21867904-D69E-41E3-B5BE-D9B124B8D7E4}" name="InvQty_ValueEntry"/>
    <tableColumn id="7" xr3:uid="{21867904-D69E-41E3-B5BE-D9B124B8D7E4}" name="CostAmtAct_ValueEntry"/>
    <tableColumn id="8" xr3:uid="{21867904-D69E-41E3-B5BE-D9B124B8D7E4}" name="DiscAmt_ValueEntry"/>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83">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82">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1">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0">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BF12-FF2A-410A-A756-B3F9A7702278}">
  <sheetPr>
    <pageSetUpPr fitToPage="1"/>
  </sheetPr>
  <dimension ref="A2:I10"/>
  <sheetViews>
    <sheetView showGridLines="0" tabSelected="1" workbookViewId="0"/>
  </sheetViews>
  <sheetFormatPr defaultColWidth="8.69921875" defaultRowHeight="20.399999999999999" x14ac:dyDescent="0.4"/>
  <cols>
    <col min="1" max="1" width="9.09765625" style="14" customWidth="1"/>
    <col min="2" max="2" width="12.69921875" style="10" bestFit="1" customWidth="1"/>
    <col min="3" max="3" width="33.8984375" style="10" customWidth="1"/>
    <col min="4" max="4" width="19.296875" style="10" bestFit="1" customWidth="1"/>
    <col min="5" max="5" width="13.09765625" style="10" customWidth="1"/>
    <col min="6" max="6" width="30.69921875" style="10" customWidth="1"/>
    <col min="7" max="7" width="14.5" style="10" bestFit="1" customWidth="1"/>
    <col min="8" max="8" width="17.5" style="10" bestFit="1" customWidth="1"/>
    <col min="9" max="9" width="25.59765625" style="10" customWidth="1"/>
    <col min="10" max="16384" width="8.69921875" style="10"/>
  </cols>
  <sheetData>
    <row r="2" spans="2:9" ht="27.6" thickBot="1" x14ac:dyDescent="0.45">
      <c r="B2" s="9" t="s">
        <v>79</v>
      </c>
      <c r="I2" s="11" t="str" cm="1">
        <f t="array" ref="I2">ReportRequest.CompanyName</f>
        <v>Company name Value</v>
      </c>
    </row>
    <row r="3" spans="2:9" ht="21" thickTop="1" x14ac:dyDescent="0.4"/>
    <row r="4" spans="2:9" x14ac:dyDescent="0.4">
      <c r="B4" s="6" t="e" cm="1">
        <f t="array" ref="B4">ItemFilter</f>
        <v>#N/A</v>
      </c>
      <c r="H4" s="12" t="e" cm="1">
        <f t="array" ref="H4">Caption.DataRetrievedLbl</f>
        <v>#NAME?</v>
      </c>
      <c r="I4" s="13" t="str" cm="1">
        <f t="array" ref="I4">ReportRequest.DateLocal</f>
        <v>Date (Local) Value</v>
      </c>
    </row>
    <row r="5" spans="2:9" x14ac:dyDescent="0.4">
      <c r="B5" s="6" t="e" cm="1">
        <f t="array" ref="B5">ItemLedgEntryFilter</f>
        <v>#N/A</v>
      </c>
      <c r="H5" s="12"/>
      <c r="I5" s="13"/>
    </row>
    <row r="7" spans="2:9" x14ac:dyDescent="0.4">
      <c r="B7" s="15" t="s">
        <v>81</v>
      </c>
      <c r="C7" s="15" t="s">
        <v>82</v>
      </c>
      <c r="D7" s="15" t="s">
        <v>84</v>
      </c>
      <c r="E7" s="15" t="s">
        <v>83</v>
      </c>
      <c r="F7" s="15" t="s">
        <v>85</v>
      </c>
      <c r="G7" s="16" t="s">
        <v>86</v>
      </c>
      <c r="H7" s="16" t="s">
        <v>87</v>
      </c>
      <c r="I7" s="16" t="s">
        <v>88</v>
      </c>
    </row>
    <row r="8" spans="2:9" x14ac:dyDescent="0.4">
      <c r="B8" s="4"/>
      <c r="C8" s="4"/>
      <c r="D8" s="4"/>
      <c r="E8" s="4"/>
      <c r="F8" s="4"/>
      <c r="G8" s="18">
        <v>0</v>
      </c>
      <c r="H8" s="18">
        <v>0</v>
      </c>
      <c r="I8" s="18">
        <v>0</v>
      </c>
    </row>
    <row r="9" spans="2:9" x14ac:dyDescent="0.4">
      <c r="B9" s="4"/>
      <c r="C9" s="17" t="s">
        <v>89</v>
      </c>
      <c r="D9" s="17"/>
      <c r="E9" s="17"/>
      <c r="F9" s="17"/>
      <c r="G9" s="19">
        <v>0</v>
      </c>
      <c r="H9" s="19">
        <v>0</v>
      </c>
      <c r="I9" s="19">
        <v>0</v>
      </c>
    </row>
    <row r="10" spans="2:9" x14ac:dyDescent="0.4">
      <c r="B10" s="4" t="s">
        <v>80</v>
      </c>
      <c r="C10" s="4"/>
      <c r="D10" s="4"/>
      <c r="E10" s="4"/>
      <c r="F10" s="4"/>
      <c r="G10" s="18">
        <v>0</v>
      </c>
      <c r="H10" s="18">
        <v>0</v>
      </c>
      <c r="I10" s="18">
        <v>0</v>
      </c>
    </row>
  </sheetData>
  <pageMargins left="0.25" right="0.25" top="0.75" bottom="0.75" header="0.3" footer="0.3"/>
  <pageSetup paperSize="9" scale="5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F5749-53C8-40B9-A3F5-86C9EE7CDADF}">
  <dimension ref="A1:I4"/>
  <sheetViews>
    <sheetView showGridLines="0" workbookViewId="0"/>
  </sheetViews>
  <sheetFormatPr defaultColWidth="8.69921875" defaultRowHeight="20.399999999999999" x14ac:dyDescent="0.4"/>
  <cols>
    <col min="1" max="1" width="50.59765625" style="14" customWidth="1"/>
    <col min="2" max="2" width="12.69921875" style="10" bestFit="1" customWidth="1"/>
    <col min="3" max="3" width="33.8984375" style="10" customWidth="1"/>
    <col min="4" max="4" width="19.296875" style="10" bestFit="1" customWidth="1"/>
    <col min="5" max="5" width="13.09765625" style="10" customWidth="1"/>
    <col min="6" max="6" width="30.69921875" style="10" customWidth="1"/>
    <col min="7" max="7" width="14.5" style="10" bestFit="1" customWidth="1"/>
    <col min="8" max="8" width="17.5" style="10" bestFit="1" customWidth="1"/>
    <col min="9" max="9" width="25.59765625" style="10" customWidth="1"/>
    <col min="10" max="16384" width="8.69921875" style="10"/>
  </cols>
  <sheetData>
    <row r="1" spans="2:9" x14ac:dyDescent="0.4">
      <c r="B1" s="15" t="s">
        <v>81</v>
      </c>
      <c r="C1" s="15" t="s">
        <v>82</v>
      </c>
      <c r="D1" s="15" t="s">
        <v>84</v>
      </c>
      <c r="E1" s="15" t="s">
        <v>83</v>
      </c>
      <c r="F1" s="15" t="s">
        <v>85</v>
      </c>
      <c r="G1" s="16" t="s">
        <v>86</v>
      </c>
      <c r="H1" s="16" t="s">
        <v>87</v>
      </c>
      <c r="I1" s="16" t="s">
        <v>88</v>
      </c>
    </row>
    <row r="2" spans="2:9" x14ac:dyDescent="0.4">
      <c r="B2" s="4"/>
      <c r="C2" s="4"/>
      <c r="D2" s="4"/>
      <c r="E2" s="4"/>
      <c r="F2" s="4"/>
      <c r="G2" s="18">
        <v>0</v>
      </c>
      <c r="H2" s="18">
        <v>0</v>
      </c>
      <c r="I2" s="18">
        <v>0</v>
      </c>
    </row>
    <row r="3" spans="2:9" x14ac:dyDescent="0.4">
      <c r="B3" s="4"/>
      <c r="C3" s="17" t="s">
        <v>89</v>
      </c>
      <c r="D3" s="17"/>
      <c r="E3" s="17"/>
      <c r="F3" s="17"/>
      <c r="G3" s="19">
        <v>0</v>
      </c>
      <c r="H3" s="19">
        <v>0</v>
      </c>
      <c r="I3" s="19">
        <v>0</v>
      </c>
    </row>
    <row r="4" spans="2:9" x14ac:dyDescent="0.4">
      <c r="B4" s="4" t="s">
        <v>80</v>
      </c>
      <c r="C4" s="4"/>
      <c r="D4" s="4"/>
      <c r="E4" s="4"/>
      <c r="F4" s="4"/>
      <c r="G4" s="18">
        <v>0</v>
      </c>
      <c r="H4" s="18">
        <v>0</v>
      </c>
      <c r="I4" s="18">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1971F-A9A9-462F-9A73-752B105FEA38}">
  <dimension ref="A1:B8"/>
  <sheetViews>
    <sheetView showGridLines="0" workbookViewId="0"/>
  </sheetViews>
  <sheetFormatPr defaultRowHeight="19.95" customHeight="1" x14ac:dyDescent="0.4"/>
  <cols>
    <col min="1" max="1" width="17.296875" customWidth="1"/>
    <col min="2" max="2" width="25.59765625" customWidth="1"/>
  </cols>
  <sheetData>
    <row r="1" spans="1:2" ht="19.95" customHeight="1" x14ac:dyDescent="0.4">
      <c r="A1" s="3" t="s">
        <v>73</v>
      </c>
      <c r="B1" s="6" t="str" cm="1">
        <f t="array" ref="B1">ReportRequest.EnvironmentName</f>
        <v>Environment name Value</v>
      </c>
    </row>
    <row r="2" spans="1:2" ht="19.95" customHeight="1" x14ac:dyDescent="0.4">
      <c r="A2" s="3" t="s">
        <v>74</v>
      </c>
      <c r="B2" s="6" t="str" cm="1">
        <f t="array" ref="B2">ReportRequest.CompanyName</f>
        <v>Company name Value</v>
      </c>
    </row>
    <row r="3" spans="1:2" ht="19.95" customHeight="1" x14ac:dyDescent="0.4">
      <c r="A3" s="3" t="s">
        <v>75</v>
      </c>
      <c r="B3" s="6" t="str" cm="1">
        <f t="array" ref="B3">ReportRequest.UserName</f>
        <v>User name Value</v>
      </c>
    </row>
    <row r="4" spans="1:2" ht="19.95" customHeight="1" x14ac:dyDescent="0.4">
      <c r="A4" s="3" t="s">
        <v>76</v>
      </c>
      <c r="B4" s="7" t="str" cm="1">
        <f t="array" ref="B4">ReportRequest.DateLocal</f>
        <v>Date (Local) Value</v>
      </c>
    </row>
    <row r="5" spans="1:2" ht="19.95" customHeight="1" x14ac:dyDescent="0.4">
      <c r="A5" s="3"/>
      <c r="B5" s="8" t="str" cm="1">
        <f t="array" ref="B5">ReportRequest.DateLocal</f>
        <v>Date (Local) Value</v>
      </c>
    </row>
    <row r="6" spans="1:2" ht="19.95" customHeight="1" x14ac:dyDescent="0.4">
      <c r="A6" s="3" t="s">
        <v>77</v>
      </c>
      <c r="B6" s="6" t="str" cm="1">
        <f t="array" ref="B6">ReportMetadata.ObjectCaption</f>
        <v>Object Caption Value</v>
      </c>
    </row>
    <row r="7" spans="1:2" ht="19.95" customHeight="1" x14ac:dyDescent="0.4">
      <c r="A7" s="3" t="s">
        <v>78</v>
      </c>
      <c r="B7" s="5" t="str">
        <f>HYPERLINK(_xlfn.CONCAT("https://learn.microsoft.com/dynamics365/business-central/reports/report-",ReportMetadata.ObjectID))</f>
        <v>https://learn.microsoft.com/dynamics365/business-central/reports/report-Object ID Value</v>
      </c>
    </row>
    <row r="8" spans="1:2" ht="19.95" customHeight="1" x14ac:dyDescent="0.4">
      <c r="A8" s="3"/>
      <c r="B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0910-64E5-4977-9416-F8A3B088C6F0}">
  <dimension ref="A1:H2"/>
  <sheetViews>
    <sheetView workbookViewId="0"/>
  </sheetViews>
  <sheetFormatPr defaultRowHeight="16.8" x14ac:dyDescent="0.4"/>
  <cols>
    <col min="1" max="1" width="10" bestFit="1" customWidth="1"/>
    <col min="2" max="2" width="11.5" bestFit="1" customWidth="1"/>
    <col min="3" max="3" width="16" bestFit="1" customWidth="1"/>
    <col min="4" max="4" width="21.3984375" bestFit="1" customWidth="1"/>
    <col min="5" max="5" width="12.296875" bestFit="1" customWidth="1"/>
    <col min="6" max="6" width="18.796875" bestFit="1" customWidth="1"/>
    <col min="7" max="7" width="23.3984375" bestFit="1" customWidth="1"/>
    <col min="8" max="8" width="20.19921875" bestFit="1" customWidth="1"/>
  </cols>
  <sheetData>
    <row r="1" spans="1:8" x14ac:dyDescent="0.4">
      <c r="A1" t="s">
        <v>64</v>
      </c>
      <c r="B1" t="s">
        <v>65</v>
      </c>
      <c r="C1" t="s">
        <v>66</v>
      </c>
      <c r="D1" t="s">
        <v>67</v>
      </c>
      <c r="E1" t="s">
        <v>68</v>
      </c>
      <c r="F1" t="s">
        <v>69</v>
      </c>
      <c r="G1" t="s">
        <v>70</v>
      </c>
      <c r="H1" t="s">
        <v>71</v>
      </c>
    </row>
    <row r="2" spans="1:8" x14ac:dyDescent="0.4">
      <c r="A2" t="s">
        <v>72</v>
      </c>
      <c r="B2" t="s">
        <v>72</v>
      </c>
      <c r="C2" t="s">
        <v>72</v>
      </c>
      <c r="D2" t="s">
        <v>72</v>
      </c>
      <c r="E2" t="s">
        <v>72</v>
      </c>
      <c r="F2">
        <v>0</v>
      </c>
      <c r="G2">
        <v>0</v>
      </c>
      <c r="H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pane ySplit="1" topLeftCell="A2" activePane="bottomLeft" state="frozen"/>
      <selection pane="bottomLeft"/>
    </sheetView>
  </sheetViews>
  <sheetFormatPr defaultRowHeight="16.8" x14ac:dyDescent="0.4"/>
  <cols>
    <col min="1" max="1" width="10.19921875" bestFit="1" customWidth="1"/>
    <col min="2" max="2" width="11.796875" bestFit="1" customWidth="1"/>
    <col min="3" max="3" width="16.296875" bestFit="1" customWidth="1"/>
    <col min="4" max="4" width="21.69921875" bestFit="1" customWidth="1"/>
    <col min="5" max="5" width="12.59765625" bestFit="1" customWidth="1"/>
    <col min="6" max="6" width="19.19921875" bestFit="1" customWidth="1"/>
    <col min="7" max="7" width="23.796875" bestFit="1" customWidth="1"/>
    <col min="8" max="8" width="20.59765625" bestFit="1" customWidth="1"/>
  </cols>
  <sheetData>
    <row r="1" spans="1:8" x14ac:dyDescent="0.4">
      <c r="A1" t="s">
        <v>64</v>
      </c>
      <c r="B1" t="s">
        <v>65</v>
      </c>
      <c r="C1" t="s">
        <v>66</v>
      </c>
      <c r="D1" t="s">
        <v>67</v>
      </c>
      <c r="E1" t="s">
        <v>68</v>
      </c>
      <c r="F1" t="s">
        <v>69</v>
      </c>
      <c r="G1" t="s">
        <v>70</v>
      </c>
      <c r="H1" t="s">
        <v>71</v>
      </c>
    </row>
    <row r="2" spans="1:8" x14ac:dyDescent="0.4">
      <c r="A2" t="s">
        <v>72</v>
      </c>
      <c r="B2" t="s">
        <v>72</v>
      </c>
      <c r="C2" t="s">
        <v>72</v>
      </c>
      <c r="D2" t="s">
        <v>72</v>
      </c>
      <c r="E2" t="s">
        <v>72</v>
      </c>
      <c r="F2" s="2">
        <v>0</v>
      </c>
      <c r="G2" s="2">
        <v>0</v>
      </c>
      <c r="H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E38" sqref="E38"/>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E38" sqref="E38"/>
    </sheetView>
  </sheetViews>
  <sheetFormatPr defaultRowHeight="16.8" x14ac:dyDescent="0.4"/>
  <cols>
    <col min="1" max="1" width="10.19921875"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E38" sqref="E38"/>
    </sheetView>
  </sheetViews>
  <sheetFormatPr defaultRowHeight="16.8" x14ac:dyDescent="0.4"/>
  <cols>
    <col min="1" max="1" width="25.69921875" customWidth="1"/>
    <col min="2" max="2" width="40.69921875" customWidth="1"/>
    <col min="3" max="3" width="5.69921875" customWidth="1"/>
    <col min="4" max="4" width="25.69921875" customWidth="1"/>
    <col min="5" max="5" width="40.69921875" customWidth="1"/>
    <col min="6" max="6" width="5.69921875" customWidth="1"/>
    <col min="7" max="7" width="25.69921875" customWidth="1"/>
    <col min="8" max="8" width="40.69921875" customWidth="1"/>
    <col min="9" max="9" width="5.69921875" customWidth="1"/>
    <col min="10" max="10" width="40.69921875" customWidth="1"/>
    <col min="11" max="11" width="25.6992187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6ACD85-001B-4422-A4AC-279E076C43C4}">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$InvVendorPurchPrintLbl$</vt:lpstr>
      <vt:lpstr>$InvVendorPurchAnalysisLbl$</vt:lpstr>
      <vt:lpstr>$AboutTheReportLbl$</vt:lpstr>
      <vt:lpstr>InventoryVendorPurchases_Query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2025-11-24T05:05:34Z</cp:lastPrinted>
  <dcterms:modified xsi:type="dcterms:W3CDTF">2026-02-23T03:41:49Z</dcterms:modified>
</cp:coreProperties>
</file>
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daniel.williams\Source\Gold\Yellowstone.Dan\app\Inventory\Reports\"/>
    </mc:Choice>
  </mc:AlternateContent>
  <xr:revisionPtr revIDLastSave="0" documentId="13_ncr:1_{D6FA8549-2E18-4141-A87F-10B613F8B8D0}" xr6:coauthVersionLast="47" xr6:coauthVersionMax="47" xr10:uidLastSave="{00000000-0000-0000-0000-000000000000}"/>
  <bookViews>
    <workbookView xWindow="-14130" yWindow="-16320" windowWidth="29040" windowHeight="15720" xr2:uid="{00000000-000D-0000-FFFF-FFFF00000000}"/>
  </bookViews>
  <sheets>
    <sheet name="$InventoryPurchOrdersPrintLbl$" sheetId="5" r:id="rId1"/>
    <sheet name="$InvPurchOrdersAnalysisLbl$" sheetId="9" r:id="rId2"/>
    <sheet name="$AboutTheReportLbl$" sheetId="7" r:id="rId3"/>
    <sheet name="InventoryPurchaseOrders_Query" sheetId="8" state="hidden" r:id="rId4"/>
    <sheet name="Data" sheetId="1" state="hidden" r:id="rId5"/>
    <sheet name="TranslationData" sheetId="2" state="hidden" r:id="rId6"/>
    <sheet name="CaptionData" sheetId="3" state="hidden" r:id="rId7"/>
    <sheet name="Aggregated Metadata" sheetId="4" state="hidden" r:id="rId8"/>
  </sheets>
  <definedNames>
    <definedName name="Caption.AboutTheReportLabel" comment="Use this function to get the AboutTheReportLabel from the CaptionData table in the CaptionData worksheet">_xlfn.XLOOKUP("AboutTheReportLabel",#REF!,#REF!,"none",)</definedName>
    <definedName name="Caption.Capacity" comment="Use this function to get the Capacity from the CaptionData table in the CaptionData worksheet">_xlfn.XLOOKUP("Capacity",#REF!,#REF!,"none",)</definedName>
    <definedName name="Caption.CompanyLabel" comment="Use this function to get the CompanyLabel from the CaptionData table in the CaptionData worksheet">_xlfn.XLOOKUP("CompanyLabel",#REF!,#REF!,"none",)</definedName>
    <definedName name="Caption.Consumption" comment="Use this function to get the Consumption from the CaptionData table in the CaptionData worksheet">_xlfn.XLOOKUP("Consumption",#REF!,#REF!,"none",)</definedName>
    <definedName name="Caption.CostPostedToGL" comment="Use this function to get the CostPostedToGL from the CaptionData table in the CaptionData worksheet">_xlfn.XLOOKUP("CostPostedToGL",#REF!,#REF!,"none",)</definedName>
    <definedName name="Caption.CurrReportPageNo" comment="Use this function to get the CurrReportPageNo from the CaptionData table in the CaptionData worksheet">_xlfn.XLOOKUP("CurrReportPageNo",#REF!,#REF!,"none",)</definedName>
    <definedName name="Caption.Desc_ProductionOrder" comment="Use this function to get the Desc_ProductionOrder from the CaptionData table in the CaptionData worksheet">_xlfn.XLOOKUP("Desc_ProductionOrder",#REF!,#REF!,"none",)</definedName>
    <definedName name="Caption.DocumentationLabel" comment="Use this function to get the DocumentationLabel from the CaptionData table in the CaptionData worksheet">_xlfn.XLOOKUP("DocumentationLabel",#REF!,#REF!,"none",)</definedName>
    <definedName name="Caption.EndDate" comment="Use this function to get the EndDate from the CaptionData table in the CaptionData worksheet">_xlfn.XLOOKUP("EndDate",#REF!,#REF!,"none",)</definedName>
    <definedName name="Caption.EndDateHeader" comment="Use this function to get the EndDateHeader from the CaptionData table in the CaptionData worksheet">_xlfn.XLOOKUP("EndDateHeader",#REF!,#REF!,"none",)</definedName>
    <definedName name="Caption.EnvironmentLabel" comment="Use this function to get the EnvironmentLabel from the CaptionData table in the CaptionData worksheet">_xlfn.XLOOKUP("EnvironmentLabel",#REF!,#REF!,"none",)</definedName>
    <definedName name="Caption.InventoryValuationWIP" comment="Use this function to get the InventoryValuationWIP from the CaptionData table in the CaptionData worksheet">_xlfn.XLOOKUP("InventoryValuationWIP",#REF!,#REF!,"none",)</definedName>
    <definedName name="Caption.No_ProductionOrder" comment="Use this function to get the No_ProductionOrder from the CaptionData table in the CaptionData worksheet">_xlfn.XLOOKUP("No_ProductionOrder",#REF!,#REF!,"none",)</definedName>
    <definedName name="Caption.Output" comment="Use this function to get the Output from the CaptionData table in the CaptionData worksheet">_xlfn.XLOOKUP("Output",#REF!,#REF!,"none",)</definedName>
    <definedName name="Caption.ProdOrderWipLabel" comment="Use this function to get the ProdOrderWipLabel from the CaptionData table in the CaptionData worksheet">_xlfn.XLOOKUP("ProdOrderWipLabel",#REF!,#REF!,"none",)</definedName>
    <definedName name="Caption.ProdOrderWipPrintLabel" comment="Use this function to get the ProdOrderWipPrintLabel from the CaptionData table in the CaptionData worksheet">_xlfn.XLOOKUP("ProdOrderWipPrintLabel",#REF!,#REF!,"none",)</definedName>
    <definedName name="Caption.ReportNameLabel" comment="Use this function to get the ReportNameLabel from the CaptionData table in the CaptionData worksheet">_xlfn.XLOOKUP("ReportNameLabel",#REF!,#REF!,"none",)</definedName>
    <definedName name="Caption.RunOnLabel" comment="Use this function to get the RunOnLabel from the CaptionData table in the CaptionData worksheet">_xlfn.XLOOKUP("RunOnLabel",#REF!,#REF!,"none",)</definedName>
    <definedName name="Caption.SourceNo_ProductionOrder" comment="Use this function to get the SourceNo_ProductionOrder from the CaptionData table in the CaptionData worksheet">_xlfn.XLOOKUP("SourceNo_ProductionOrder",#REF!,#REF!,"none",)</definedName>
    <definedName name="Caption.SrcType_ProductionOrder" comment="Use this function to get the SrcType_ProductionOrder from the CaptionData table in the CaptionData worksheet">_xlfn.XLOOKUP("SrcType_ProductionOrder",#REF!,#REF!,"none",)</definedName>
    <definedName name="Caption.StartDate" comment="Use this function to get the StartDate from the CaptionData table in the CaptionData worksheet">_xlfn.XLOOKUP("StartDate",#REF!,#REF!,"none",)</definedName>
    <definedName name="Caption.StartDateHeader" comment="Use this function to get the StartDateHeader from the CaptionData table in the CaptionData worksheet">_xlfn.XLOOKUP("StartDateHeader",#REF!,#REF!,"none",)</definedName>
    <definedName name="Caption.Status_ProductionOrder" comment="Use this function to get the Status_ProductionOrder from the CaptionData table in the CaptionData worksheet">_xlfn.XLOOKUP("Status_ProductionOrder",#REF!,#REF!,"none",)</definedName>
    <definedName name="Caption.Total" comment="Use this function to get the Total from the CaptionData table in the CaptionData worksheet">_xlfn.XLOOKUP("Total",#REF!,#REF!,"none",)</definedName>
    <definedName name="Caption.UserLabel" comment="Use this function to get the UserLabel from the CaptionData table in the CaptionData worksheet">_xlfn.XLOOKUP("UserLabel",#REF!,#REF!,"none",)</definedName>
    <definedName name="CustFilterHeading" xml:space="preserve"> _xlfn.XLOOKUP("CustFilterHeading",#REF!,#REF!)</definedName>
    <definedName name="DataRetrieved">#REF!</definedName>
    <definedName name="DateFilter" xml:space="preserve"> _xlfn.XLOOKUP("DateFilter",#REF!,#REF!)</definedName>
    <definedName name="DatePeriod" xml:space="preserve"> _xlfn.XLOOKUP("PeriodText",#REF!,#REF!)</definedName>
    <definedName name="DuplicateEndDateFilter" xml:space="preserve"> _xlfn.XLOOKUP("BalanceAsOfDateFilter",#REF!,#REF!)</definedName>
    <definedName name="EndDateFilter" xml:space="preserve"> _xlfn.XLOOKUP("BalanceAsOfDateFilter",#REF!,#REF!)</definedName>
    <definedName name="ExternalData_1" localSheetId="3" hidden="1">InventoryPurchaseOrders_Query!$A$1:$L$2</definedName>
    <definedName name="ItemFilterHeading">_xlfn.XLOOKUP("ItemFilterHeading", ReportRequestPageValues[Request Page Option], ReportRequestPageValues[Request Page Option Value])</definedName>
    <definedName name="PurchLineFilterHeading">_xlfn.XLOOKUP("PurchLineFilterHeading", ReportRequestPageValues[Request Page Option], ReportRequestPageValues[Request Page Option Value])</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Description_Item">#N/A</definedName>
    <definedName name="Slicer_DocumentNo_PurchaseLine">#N/A</definedName>
    <definedName name="Slicer_ItemNo">#N/A</definedName>
    <definedName name="Slicer_PattoName_PurchaseLine">#N/A</definedName>
    <definedName name="StartDate" xml:space="preserve"> _xlfn.XLOOKUP("StartDate",#REF!,#REF!)</definedName>
    <definedName name="ValueEntryFilterHeading" xml:space="preserve"> _xlfn.XLOOKUP("ValueEntryFilterHeading",#REF!,#REF!)</definedName>
  </definedNames>
  <calcPr calcId="191029"/>
  <pivotCaches>
    <pivotCache cacheId="14"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5" l="1" a="1"/>
  <c r="L4" i="5" s="1"/>
  <c r="B5" i="5" a="1"/>
  <c r="B5" i="5" s="1"/>
  <c r="B4" i="5" a="1"/>
  <c r="B4" i="5" s="1"/>
  <c r="B7" i="7"/>
  <c r="B6" i="7" a="1"/>
  <c r="B6" i="7" s="1"/>
  <c r="B5" i="7" a="1"/>
  <c r="B5" i="7" s="1"/>
  <c r="B4" i="7" a="1"/>
  <c r="B4" i="7" s="1"/>
  <c r="B3" i="7" a="1"/>
  <c r="B3" i="7" s="1"/>
  <c r="B2" i="7" a="1"/>
  <c r="B2" i="7" s="1"/>
  <c r="B1" i="7" a="1"/>
  <c r="B1" i="7" s="1"/>
  <c r="M2" i="5" a="1"/>
  <c r="M2" i="5" s="1"/>
  <c r="M4" i="5" a="1"/>
  <c r="M4"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673F2D-F6EE-42AF-9804-8ABBC5C69CCD}" keepAlive="1" name="Query - InventoryPurchaseOrders_Query" description="Connection to the 'InventoryPurchaseOrders_Query' query in the workbook." type="5" refreshedVersion="8" refreshOnLoad="1" saveData="1">
    <dbPr connection="Provider=Microsoft.Mashup.OleDb.1;Data Source=$Workbook$;Location=InventoryPurchaseOrders_Query;Extended Properties=&quot;&quot;" command="SELECT * FROM [InventoryPurchaseOrders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<sst xmlns="http://schemas.openxmlformats.org/spreadsheetml/2006/main" count="158" uniqueCount="108">
  <si>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</si>
  <si>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</si>
  <si>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</si>
  <si>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</si>
  <si>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</si>
  <si>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</si>
  <si>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</si>
  <si>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</si>
  <si>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</si>
  <si>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</si>
  <si>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</si>
  <si>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</si>
  <si>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</si>
  <si>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</si>
  <si>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</si>
  <si>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</si>
  <si>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</si>
  <si>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</si>
  <si>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</si>
  <si>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</si>
  <si>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</si>
  <si>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</si>
  <si>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</si>
  <si>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</si>
  <si>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</si>
  <si>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</si>
  <si>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</si>
  <si>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</si>
  <si>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</si>
  <si>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</si>
  <si>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</si>
  <si>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</si>
  <si>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</si>
  <si>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</si>
  <si>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</si>
  <si>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</si>
  <si>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</si>
  <si>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</si>
  <si>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</si>
  <si>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</si>
  <si>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</si>
  <si>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</si>
  <si>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</si>
  <si>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</si>
  <si>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</si>
  <si>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</si>
  <si>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</si>
  <si>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</si>
  <si>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</si>
  <si>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</si>
  <si>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</si>
  <si>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</si>
  <si>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</si>
  <si>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</si>
  <si>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</si>
  <si>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</si>
  <si>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</si>
  <si>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</si>
  <si>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</si>
  <si>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</si>
  <si>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</si>
  <si>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</si>
  <si>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</si>
  <si>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</si>
  <si>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CompanyName</t>
  </si>
  <si>
    <t>ItemTableCaptItemFilter</t>
  </si>
  <si>
    <t>ItemNo</t>
  </si>
  <si>
    <t>Description_Item</t>
  </si>
  <si>
    <t>OutstandingAmt_PurchLine</t>
  </si>
  <si>
    <t>VariantFilter_Item</t>
  </si>
  <si>
    <t>LocationFilter_Item</t>
  </si>
  <si>
    <t>GlobalDim1Filter_Item</t>
  </si>
  <si>
    <t>GlobalDim2Filter_Item</t>
  </si>
  <si>
    <t>ItemBinFilter</t>
  </si>
  <si>
    <t>DocumentNo_PurchaseLine</t>
  </si>
  <si>
    <t>PattoName_PurchaseLine</t>
  </si>
  <si>
    <t>ExpReceiptDt_PurchaseLine</t>
  </si>
  <si>
    <t>Quantity_PurchaseLine</t>
  </si>
  <si>
    <t>OutStandingQty_PurchLine</t>
  </si>
  <si>
    <t>BackOrderQty</t>
  </si>
  <si>
    <t>DirectUnitCost_PurchLine</t>
  </si>
  <si>
    <t>LineDiscount_PurchaseLine</t>
  </si>
  <si>
    <t>InvDiscountAmt_PurchLine</t>
  </si>
  <si>
    <t>OutstandingAmt1_PurchLine</t>
  </si>
  <si>
    <t>Description1_Item</t>
  </si>
  <si>
    <t>Totals_OutstandingAmount</t>
  </si>
  <si>
    <t/>
  </si>
  <si>
    <t>$InventoryPurchOrdersLbl$</t>
  </si>
  <si>
    <t>Grand Total</t>
  </si>
  <si>
    <t>$ItemNoLbl$</t>
  </si>
  <si>
    <t>$ItemDescLbl$</t>
  </si>
  <si>
    <t>$VendorLbl$</t>
  </si>
  <si>
    <t>$DirectUnitCost_PurchLine$</t>
  </si>
  <si>
    <t>$OutStandingQty_PurchLine$</t>
  </si>
  <si>
    <t>$Quantity_PurchaseLine$</t>
  </si>
  <si>
    <t>$ExpectedReceiptDateLbl$</t>
  </si>
  <si>
    <t>$QtyOnBackOrderLbl$</t>
  </si>
  <si>
    <t>$LineDiscountLbl$</t>
  </si>
  <si>
    <t>$InvDiscountAmountLbl$</t>
  </si>
  <si>
    <t>$AmtOnOrderInclVATLbl$</t>
  </si>
  <si>
    <t>$EnvironmentLbl$</t>
  </si>
  <si>
    <t>$CompanyLbl$</t>
  </si>
  <si>
    <t>$UserLbl$</t>
  </si>
  <si>
    <t>$RunOnLbl$</t>
  </si>
  <si>
    <t>$ReportNameLbl$</t>
  </si>
  <si>
    <t>$DocumentationLbl$</t>
  </si>
  <si>
    <t>$DocumentNo_PurchaseLine$</t>
  </si>
  <si>
    <t>PurchaseLineFilter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</si>
</sst>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3" x14ac:knownFonts="1">
    <font>
      <sz val="11"/>
      <name val="Segoe UI"/>
      <family val="2"/>
      <scheme val="minor"/>
    </font>
    <font>
      <sz val="11"/>
      <color theme="1"/>
      <name val="Segoe UI"/>
      <family val="2"/>
      <scheme val="minor"/>
    </font>
    <font>
      <b/>
      <sz val="11"/>
      <name val="Segoe UI"/>
      <family val="2"/>
      <scheme val="minor"/>
    </font>
    <font>
      <u/>
      <sz val="11"/>
      <color theme="10"/>
      <name val="Segoe UI"/>
      <family val="2"/>
      <scheme val="minor"/>
    </font>
    <font>
      <b/>
      <sz val="13"/>
      <color theme="1"/>
      <name val="Segoe UI"/>
      <family val="2"/>
      <scheme val="minor"/>
    </font>
    <font>
      <b/>
      <sz val="10"/>
      <color theme="1"/>
      <name val="Segoe UI Semibold"/>
      <family val="2"/>
      <scheme val="major"/>
    </font>
    <font>
      <sz val="10"/>
      <color rgb="FF212121"/>
      <name val="Segoe UI"/>
      <family val="2"/>
      <scheme val="minor"/>
    </font>
    <font>
      <b/>
      <sz val="18"/>
      <color rgb="FF212121"/>
      <name val="Segoe UI Semibold"/>
      <family val="2"/>
      <scheme val="major"/>
    </font>
    <font>
      <sz val="10"/>
      <name val="Segoe UI"/>
      <family val="2"/>
      <scheme val="minor"/>
    </font>
    <font>
      <sz val="10"/>
      <color theme="1"/>
      <name val="Segoe UI Semibold"/>
      <family val="2"/>
      <scheme val="major"/>
    </font>
    <font>
      <sz val="10"/>
      <name val="Segoe UI Semibold"/>
      <scheme val="major"/>
    </font>
    <font>
      <sz val="14"/>
      <name val="Segoe UI"/>
      <family val="2"/>
      <scheme val="minor"/>
    </font>
    <font>
      <u/>
      <sz val="10"/>
      <color theme="10"/>
      <name val="Segoe UI"/>
      <family val="2"/>
      <scheme val="min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4">
    <xf numFmtId="0" fontId="0" fillId="0" borderId="0"/>
    <xf numFmtId="0" fontId="3" fillId="0" borderId="0" applyNumberFormat="0" applyFill="0" applyBorder="0" applyAlignment="0" applyProtection="0"/>
    <xf numFmtId="0" fontId="4" fillId="0" borderId="1" applyNumberFormat="0" applyFill="0" applyAlignment="0" applyProtection="0"/>
    <xf numFmtId="0" fontId="1" fillId="0" borderId="0"/>
  </cellStyleXfs>
  <cellXfs count="20">
    <xf numFmtId="0" fontId="0" fillId="0" borderId="0" xfId="0"/>
    <xf numFmtId="49" fontId="2" fillId="2" borderId="0" xfId="0" applyNumberFormat="1" applyFont="1" applyFill="1"/>
    <xf numFmtId="4" fontId="0" fillId="0" borderId="0" xfId="0" applyNumberFormat="1"/>
    <xf numFmtId="0" fontId="5" fillId="0" borderId="1" xfId="2" applyFont="1" applyAlignment="1">
      <alignment horizontal="right" vertical="center"/>
    </xf>
    <xf numFmtId="0" fontId="6" fillId="0" borderId="0" xfId="0" applyFont="1" applyAlignment="1">
      <alignment horizontal="right" vertical="center"/>
    </xf>
    <xf numFmtId="164" fontId="6" fillId="0" borderId="0" xfId="0" applyNumberFormat="1" applyFont="1" applyAlignment="1">
      <alignment horizontal="right" vertical="center"/>
    </xf>
    <xf numFmtId="0" fontId="7" fillId="0" borderId="0" xfId="3" applyFont="1" applyAlignment="1">
      <alignment vertical="center"/>
    </xf>
    <xf numFmtId="0" fontId="8" fillId="0" borderId="0" xfId="0" applyFont="1" applyAlignment="1">
      <alignment vertical="center"/>
    </xf>
    <xf numFmtId="0" fontId="9" fillId="0" borderId="0" xfId="0" applyFont="1" applyAlignment="1">
      <alignment vertical="center"/>
    </xf>
    <xf numFmtId="0" fontId="8" fillId="0" borderId="0" xfId="0" applyFont="1" applyAlignment="1">
      <alignment horizontal="left" vertical="center"/>
    </xf>
    <xf numFmtId="164" fontId="8" fillId="0" borderId="0" xfId="0" applyNumberFormat="1" applyFont="1" applyAlignment="1">
      <alignment horizontal="left" vertical="center"/>
    </xf>
    <xf numFmtId="165" fontId="8" fillId="0" borderId="0" xfId="0" applyNumberFormat="1" applyFont="1" applyAlignment="1">
      <alignment horizontal="left" vertical="center"/>
    </xf>
    <xf numFmtId="0" fontId="0" fillId="0" borderId="0" xfId="0" applyAlignment="1">
      <alignment vertical="center"/>
    </xf>
    <xf numFmtId="0" fontId="10" fillId="0" borderId="0" xfId="0" pivotButton="1" applyFont="1" applyAlignment="1">
      <alignment vertical="center"/>
    </xf>
    <xf numFmtId="0" fontId="10" fillId="0" borderId="0" xfId="0" pivotButton="1" applyFont="1" applyAlignment="1">
      <alignment horizontal="right" vertical="center"/>
    </xf>
    <xf numFmtId="0" fontId="8" fillId="0" borderId="0" xfId="0" applyFont="1" applyAlignment="1">
      <alignment horizontal="right" vertical="center"/>
    </xf>
    <xf numFmtId="0" fontId="11" fillId="0" borderId="0" xfId="0" applyFont="1" applyAlignment="1">
      <alignment vertical="center"/>
    </xf>
    <xf numFmtId="0" fontId="10" fillId="0" borderId="0" xfId="0" applyFont="1" applyAlignment="1">
      <alignment horizontal="right" vertical="center"/>
    </xf>
    <xf numFmtId="0" fontId="12" fillId="0" borderId="0" xfId="1" applyFont="1" applyAlignment="1">
      <alignment horizontal="left" vertical="center"/>
    </xf>
    <xf numFmtId="0" fontId="8" fillId="0" borderId="0" xfId="0" applyNumberFormat="1" applyFont="1" applyAlignment="1">
      <alignment vertical="center"/>
    </xf>
  </cellXfs>
  <cellStyles count="4">
    <cellStyle name="Heading 2 2" xfId="2" xr:uid="{195C557C-F40D-4450-9DDF-7957B5DE8957}"/>
    <cellStyle name="Hyperlink" xfId="1" builtinId="8"/>
    <cellStyle name="Normal" xfId="0" builtinId="0"/>
    <cellStyle name="Normal 2" xfId="3" xr:uid="{252BD08D-DEF8-4338-B3AC-F3BFBA91CB1C}"/>
  </cellStyles>
  <dxfs count="188">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4" xr9:uid="{CEA5725F-A48C-43BD-BA0E-51FB08F3DB3B}">
      <tableStyleElement type="wholeTable" dxfId="187"/>
      <tableStyleElement type="headerRow" dxfId="186"/>
      <tableStyleElement type="totalRow" dxfId="185"/>
      <tableStyleElement type="secondRowStripe" dxfId="184"/>
    </tableStyle>
    <tableStyle name="Business Central Reports Slicer Style (Template)" pivot="0" table="0" count="10" xr9:uid="{2EBD51BE-A132-4ABB-9F41-709CC24E13BE}">
      <tableStyleElement type="wholeTable" dxfId="183"/>
      <tableStyleElement type="headerRow" dxfId="182"/>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1812920</xdr:colOff>
      <xdr:row>10</xdr:row>
      <xdr:rowOff>61110</xdr:rowOff>
    </xdr:to>
    <mc:AlternateContent xmlns:mc="http://schemas.openxmlformats.org/markup-compatibility/2006" xmlns:a14="http://schemas.microsoft.com/office/drawing/2010/main">
      <mc:Choice Requires="a14">
        <xdr:graphicFrame macro="">
          <xdr:nvGraphicFramePr>
            <xdr:cNvPr id="2" name="$ItemNoLbl$">
              <a:extLst>
                <a:ext uri="{FF2B5EF4-FFF2-40B4-BE49-F238E27FC236}">
                  <a16:creationId xmlns:a16="http://schemas.microsoft.com/office/drawing/2014/main" id="{231F1C5F-05B9-C10E-853F-86E58B1A0EF2}"/>
                </a:ext>
              </a:extLst>
            </xdr:cNvPr>
            <xdr:cNvGraphicFramePr/>
          </xdr:nvGraphicFramePr>
          <xdr:xfrm>
            <a:off x="0" y="0"/>
            <a:ext cx="0" cy="0"/>
          </xdr:xfrm>
          <a:graphic>
            <a:graphicData uri="http://schemas.microsoft.com/office/drawing/2010/slicer">
              <sle:slicer xmlns:sle="http://schemas.microsoft.com/office/drawing/2010/slicer" name="$ItemNoLbl$"/>
            </a:graphicData>
          </a:graphic>
        </xdr:graphicFrame>
      </mc:Choice>
      <mc:Fallback xmlns="">
        <xdr:sp macro="" textlink="">
          <xdr:nvSpPr>
            <xdr:cNvPr id="0" name=""/>
            <xdr:cNvSpPr>
              <a:spLocks noTextEdit="1"/>
            </xdr:cNvSpPr>
          </xdr:nvSpPr>
          <xdr:spPr>
            <a:xfrm>
              <a:off x="0" y="0"/>
              <a:ext cx="1812920" cy="262143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1856740</xdr:colOff>
      <xdr:row>0</xdr:row>
      <xdr:rowOff>0</xdr:rowOff>
    </xdr:from>
    <xdr:to>
      <xdr:col>0</xdr:col>
      <xdr:colOff>3648070</xdr:colOff>
      <xdr:row>10</xdr:row>
      <xdr:rowOff>63650</xdr:rowOff>
    </xdr:to>
    <mc:AlternateContent xmlns:mc="http://schemas.openxmlformats.org/markup-compatibility/2006" xmlns:a14="http://schemas.microsoft.com/office/drawing/2010/main">
      <mc:Choice Requires="a14">
        <xdr:graphicFrame macro="">
          <xdr:nvGraphicFramePr>
            <xdr:cNvPr id="3" name="$ItemDescLbl$">
              <a:extLst>
                <a:ext uri="{FF2B5EF4-FFF2-40B4-BE49-F238E27FC236}">
                  <a16:creationId xmlns:a16="http://schemas.microsoft.com/office/drawing/2014/main" id="{E8702053-C6AD-E348-360F-51FBF6A052F5}"/>
                </a:ext>
              </a:extLst>
            </xdr:cNvPr>
            <xdr:cNvGraphicFramePr/>
          </xdr:nvGraphicFramePr>
          <xdr:xfrm>
            <a:off x="0" y="0"/>
            <a:ext cx="0" cy="0"/>
          </xdr:xfrm>
          <a:graphic>
            <a:graphicData uri="http://schemas.microsoft.com/office/drawing/2010/slicer">
              <sle:slicer xmlns:sle="http://schemas.microsoft.com/office/drawing/2010/slicer" name="$ItemDescLbl$"/>
            </a:graphicData>
          </a:graphic>
        </xdr:graphicFrame>
      </mc:Choice>
      <mc:Fallback xmlns="">
        <xdr:sp macro="" textlink="">
          <xdr:nvSpPr>
            <xdr:cNvPr id="0" name=""/>
            <xdr:cNvSpPr>
              <a:spLocks noTextEdit="1"/>
            </xdr:cNvSpPr>
          </xdr:nvSpPr>
          <xdr:spPr>
            <a:xfrm>
              <a:off x="1856740" y="0"/>
              <a:ext cx="1791330" cy="262397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10</xdr:row>
      <xdr:rowOff>101600</xdr:rowOff>
    </xdr:from>
    <xdr:to>
      <xdr:col>0</xdr:col>
      <xdr:colOff>1812920</xdr:colOff>
      <xdr:row>20</xdr:row>
      <xdr:rowOff>180490</xdr:rowOff>
    </xdr:to>
    <mc:AlternateContent xmlns:mc="http://schemas.openxmlformats.org/markup-compatibility/2006" xmlns:a14="http://schemas.microsoft.com/office/drawing/2010/main">
      <mc:Choice Requires="a14">
        <xdr:graphicFrame macro="">
          <xdr:nvGraphicFramePr>
            <xdr:cNvPr id="4" name="$DocumentNo_PurchaseLine$">
              <a:extLst>
                <a:ext uri="{FF2B5EF4-FFF2-40B4-BE49-F238E27FC236}">
                  <a16:creationId xmlns:a16="http://schemas.microsoft.com/office/drawing/2014/main" id="{6DEA3377-C30A-CEB5-4A2F-B2A92684C7F7}"/>
                </a:ext>
              </a:extLst>
            </xdr:cNvPr>
            <xdr:cNvGraphicFramePr/>
          </xdr:nvGraphicFramePr>
          <xdr:xfrm>
            <a:off x="0" y="0"/>
            <a:ext cx="0" cy="0"/>
          </xdr:xfrm>
          <a:graphic>
            <a:graphicData uri="http://schemas.microsoft.com/office/drawing/2010/slicer">
              <sle:slicer xmlns:sle="http://schemas.microsoft.com/office/drawing/2010/slicer" name="$DocumentNo_PurchaseLine$"/>
            </a:graphicData>
          </a:graphic>
        </xdr:graphicFrame>
      </mc:Choice>
      <mc:Fallback xmlns="">
        <xdr:sp macro="" textlink="">
          <xdr:nvSpPr>
            <xdr:cNvPr id="0" name=""/>
            <xdr:cNvSpPr>
              <a:spLocks noTextEdit="1"/>
            </xdr:cNvSpPr>
          </xdr:nvSpPr>
          <xdr:spPr>
            <a:xfrm>
              <a:off x="0" y="2661920"/>
              <a:ext cx="1812920" cy="259349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1852930</xdr:colOff>
      <xdr:row>10</xdr:row>
      <xdr:rowOff>101600</xdr:rowOff>
    </xdr:from>
    <xdr:to>
      <xdr:col>0</xdr:col>
      <xdr:colOff>3683630</xdr:colOff>
      <xdr:row>20</xdr:row>
      <xdr:rowOff>190650</xdr:rowOff>
    </xdr:to>
    <mc:AlternateContent xmlns:mc="http://schemas.openxmlformats.org/markup-compatibility/2006" xmlns:a14="http://schemas.microsoft.com/office/drawing/2010/main">
      <mc:Choice Requires="a14">
        <xdr:graphicFrame macro="">
          <xdr:nvGraphicFramePr>
            <xdr:cNvPr id="5" name="$VendorLbl$">
              <a:extLst>
                <a:ext uri="{FF2B5EF4-FFF2-40B4-BE49-F238E27FC236}">
                  <a16:creationId xmlns:a16="http://schemas.microsoft.com/office/drawing/2014/main" id="{3F7FA3F8-F83D-35B0-B850-BC8E83DAEBC9}"/>
                </a:ext>
              </a:extLst>
            </xdr:cNvPr>
            <xdr:cNvGraphicFramePr/>
          </xdr:nvGraphicFramePr>
          <xdr:xfrm>
            <a:off x="0" y="0"/>
            <a:ext cx="0" cy="0"/>
          </xdr:xfrm>
          <a:graphic>
            <a:graphicData uri="http://schemas.microsoft.com/office/drawing/2010/slicer">
              <sle:slicer xmlns:sle="http://schemas.microsoft.com/office/drawing/2010/slicer" name="$VendorLbl$"/>
            </a:graphicData>
          </a:graphic>
        </xdr:graphicFrame>
      </mc:Choice>
      <mc:Fallback xmlns="">
        <xdr:sp macro="" textlink="">
          <xdr:nvSpPr>
            <xdr:cNvPr id="0" name=""/>
            <xdr:cNvSpPr>
              <a:spLocks noTextEdit="1"/>
            </xdr:cNvSpPr>
          </xdr:nvSpPr>
          <xdr:spPr>
            <a:xfrm>
              <a:off x="1852930" y="2661920"/>
              <a:ext cx="1830700" cy="26036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5978.591612962962" createdVersion="8" refreshedVersion="8" minRefreshableVersion="3" recordCount="1" xr:uid="{A3365E0C-432E-4195-978A-3DFA1AF9C884}">
  <cacheSource type="worksheet">
    <worksheetSource name="InventoryPurchaseOrders_Query"/>
  </cacheSource>
  <cacheFields count="12">
    <cacheField name="ItemNo" numFmtId="0">
      <sharedItems count="1">
        <s v=""/>
      </sharedItems>
    </cacheField>
    <cacheField name="Description_Item" numFmtId="0">
      <sharedItems count="1">
        <s v=""/>
      </sharedItems>
    </cacheField>
    <cacheField name="DocumentNo_PurchaseLine" numFmtId="0">
      <sharedItems count="1">
        <s v=""/>
      </sharedItems>
    </cacheField>
    <cacheField name="PattoName_PurchaseLine" numFmtId="0">
      <sharedItems count="1">
        <s v=""/>
      </sharedItems>
    </cacheField>
    <cacheField name="ExpReceiptDt_PurchaseLine" numFmtId="0">
      <sharedItems count="1">
        <s v=""/>
      </sharedItems>
    </cacheField>
    <cacheField name="Quantity_PurchaseLine" numFmtId="0">
      <sharedItems containsSemiMixedTypes="0" containsString="0" containsNumber="1" containsInteger="1" minValue="0" maxValue="0" count="1">
        <n v="0"/>
      </sharedItems>
    </cacheField>
    <cacheField name="OutStandingQty_PurchLine" numFmtId="0">
      <sharedItems containsSemiMixedTypes="0" containsString="0" containsNumber="1" containsInteger="1" minValue="0" maxValue="0" count="1">
        <n v="0"/>
      </sharedItems>
    </cacheField>
    <cacheField name="BackOrderQty" numFmtId="0">
      <sharedItems containsSemiMixedTypes="0" containsString="0" containsNumber="1" containsInteger="1" minValue="0" maxValue="0" count="1">
        <n v="0"/>
      </sharedItems>
    </cacheField>
    <cacheField name="DirectUnitCost_PurchLine" numFmtId="0">
      <sharedItems containsSemiMixedTypes="0" containsString="0" containsNumber="1" containsInteger="1" minValue="0" maxValue="0" count="1">
        <n v="0"/>
      </sharedItems>
    </cacheField>
    <cacheField name="LineDiscount_PurchaseLine" numFmtId="0">
      <sharedItems containsSemiMixedTypes="0" containsString="0" containsNumber="1" containsInteger="1" minValue="0" maxValue="0" count="1">
        <n v="0"/>
      </sharedItems>
    </cacheField>
    <cacheField name="InvDiscountAmt_PurchLine" numFmtId="0">
      <sharedItems containsSemiMixedTypes="0" containsString="0" containsNumber="1" containsInteger="1" minValue="0" maxValue="0" count="1">
        <n v="0"/>
      </sharedItems>
    </cacheField>
    <cacheField name="OutstandingAmt1_PurchLine"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678151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F86965-A07A-486F-8403-87762B78D24E}" name="PivotTable1" cacheId="14"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7:M9" firstHeaderRow="1" firstDataRow="1" firstDataCol="11"/>
  <pivotFields count="12">
    <pivotField name="$ItemNoLbl$" axis="axisRow" compact="0" outline="0" showAll="0" defaultSubtotal="0">
      <items count="1">
        <item x="0"/>
      </items>
    </pivotField>
    <pivotField name="$ItemDescLbl$" axis="axisRow" compact="0" outline="0" showAll="0" defaultSubtotal="0">
      <items count="1">
        <item x="0"/>
      </items>
    </pivotField>
    <pivotField name="$DocumentNo_PurchaseLine$" axis="axisRow" compact="0" outline="0" showAll="0" defaultSubtotal="0">
      <items count="1">
        <item x="0"/>
      </items>
      <extLst>
        <ext xmlns:x14="http://schemas.microsoft.com/office/spreadsheetml/2009/9/main" uri="{2946ED86-A175-432a-8AC1-64E0C546D7DE}">
          <x14:pivotField fillDownLabels="1"/>
        </ext>
      </extLst>
    </pivotField>
    <pivotField name="$VendorLbl$" axis="axisRow" compact="0" outline="0" showAll="0" defaultSubtotal="0">
      <items count="1">
        <item x="0"/>
      </items>
      <extLst>
        <ext xmlns:x14="http://schemas.microsoft.com/office/spreadsheetml/2009/9/main" uri="{2946ED86-A175-432a-8AC1-64E0C546D7DE}">
          <x14:pivotField fillDownLabels="1"/>
        </ext>
      </extLst>
    </pivotField>
    <pivotField name="$ExpectedReceiptDateLbl$" axis="axisRow" compact="0" outline="0" showAll="0" defaultSubtotal="0">
      <items count="1">
        <item x="0"/>
      </items>
      <extLst>
        <ext xmlns:x14="http://schemas.microsoft.com/office/spreadsheetml/2009/9/main" uri="{2946ED86-A175-432a-8AC1-64E0C546D7DE}">
          <x14:pivotField fillDownLabels="1"/>
        </ext>
      </extLst>
    </pivotField>
    <pivotField name="$Quantity_PurchaseLine$" axis="axisRow" compact="0" outline="0" showAll="0" defaultSubtotal="0">
      <items count="1">
        <item x="0"/>
      </items>
    </pivotField>
    <pivotField name="$OutStandingQty_PurchLine$" axis="axisRow" compact="0" outline="0" showAll="0" defaultSubtotal="0">
      <items count="1">
        <item x="0"/>
      </items>
    </pivotField>
    <pivotField name="$QtyOnBackOrderLbl$" axis="axisRow" compact="0" outline="0" showAll="0" defaultSubtotal="0">
      <items count="1">
        <item x="0"/>
      </items>
    </pivotField>
    <pivotField name="$DirectUnitCost_PurchLine$" axis="axisRow" compact="0" outline="0" showAll="0" defaultSubtotal="0">
      <items count="1">
        <item x="0"/>
      </items>
    </pivotField>
    <pivotField name="$LineDiscountLbl$" axis="axisRow" compact="0" outline="0" showAll="0" defaultSubtotal="0">
      <items count="1">
        <item x="0"/>
      </items>
    </pivotField>
    <pivotField name="$InvDiscountAmountLbl$" axis="axisRow" compact="0" outline="0" showAll="0" defaultSubtotal="0">
      <items count="1">
        <item x="0"/>
      </items>
    </pivotField>
    <pivotField dataField="1" compact="0" outline="0" showAll="0" defaultSubtotal="0"/>
  </pivotFields>
  <rowFields count="11">
    <field x="0"/>
    <field x="1"/>
    <field x="2"/>
    <field x="3"/>
    <field x="4"/>
    <field x="5"/>
    <field x="6"/>
    <field x="7"/>
    <field x="8"/>
    <field x="9"/>
    <field x="10"/>
  </rowFields>
  <rowItems count="2">
    <i>
      <x/>
      <x/>
      <x/>
      <x/>
      <x/>
      <x/>
      <x/>
      <x/>
      <x/>
      <x/>
      <x/>
    </i>
    <i t="grand">
      <x/>
    </i>
  </rowItems>
  <colItems count="1">
    <i/>
  </colItems>
  <dataFields count="1">
    <dataField name="$AmtOnOrderInclVATLbl$" fld="11" baseField="0" baseItem="0"/>
  </dataFields>
  <formats count="43">
    <format dxfId="181">
      <pivotArea field="0" type="button" dataOnly="0" labelOnly="1" outline="0" axis="axisRow" fieldPosition="0"/>
    </format>
    <format dxfId="180">
      <pivotArea field="1" type="button" dataOnly="0" labelOnly="1" outline="0" axis="axisRow" fieldPosition="1"/>
    </format>
    <format dxfId="179">
      <pivotArea field="2" type="button" dataOnly="0" labelOnly="1" outline="0" axis="axisRow" fieldPosition="2"/>
    </format>
    <format dxfId="178">
      <pivotArea field="3" type="button" dataOnly="0" labelOnly="1" outline="0" axis="axisRow" fieldPosition="3"/>
    </format>
    <format dxfId="177">
      <pivotArea field="4" type="button" dataOnly="0" labelOnly="1" outline="0" axis="axisRow" fieldPosition="4"/>
    </format>
    <format dxfId="176">
      <pivotArea dataOnly="0" labelOnly="1" outline="0" fieldPosition="0">
        <references count="1">
          <reference field="4294967294" count="1">
            <x v="0"/>
          </reference>
        </references>
      </pivotArea>
    </format>
    <format dxfId="175">
      <pivotArea type="all" dataOnly="0" outline="0" fieldPosition="0"/>
    </format>
    <format dxfId="174">
      <pivotArea outline="0" collapsedLevelsAreSubtotals="1" fieldPosition="0"/>
    </format>
    <format dxfId="173">
      <pivotArea field="0" type="button" dataOnly="0" labelOnly="1" outline="0" axis="axisRow" fieldPosition="0"/>
    </format>
    <format dxfId="172">
      <pivotArea field="1" type="button" dataOnly="0" labelOnly="1" outline="0" axis="axisRow" fieldPosition="1"/>
    </format>
    <format dxfId="171">
      <pivotArea field="2" type="button" dataOnly="0" labelOnly="1" outline="0" axis="axisRow" fieldPosition="2"/>
    </format>
    <format dxfId="170">
      <pivotArea field="3" type="button" dataOnly="0" labelOnly="1" outline="0" axis="axisRow" fieldPosition="3"/>
    </format>
    <format dxfId="169">
      <pivotArea field="4" type="button" dataOnly="0" labelOnly="1" outline="0" axis="axisRow" fieldPosition="4"/>
    </format>
    <format dxfId="168">
      <pivotArea dataOnly="0" labelOnly="1" outline="0" fieldPosition="0">
        <references count="1">
          <reference field="0" count="0"/>
        </references>
      </pivotArea>
    </format>
    <format dxfId="167">
      <pivotArea dataOnly="0" labelOnly="1" grandRow="1" outline="0" fieldPosition="0"/>
    </format>
    <format dxfId="166">
      <pivotArea dataOnly="0" labelOnly="1" outline="0" fieldPosition="0">
        <references count="2">
          <reference field="0" count="0" selected="0"/>
          <reference field="1" count="0"/>
        </references>
      </pivotArea>
    </format>
    <format dxfId="165">
      <pivotArea dataOnly="0" labelOnly="1" outline="0" fieldPosition="0">
        <references count="3">
          <reference field="0" count="0" selected="0"/>
          <reference field="1" count="0" selected="0"/>
          <reference field="2" count="0"/>
        </references>
      </pivotArea>
    </format>
    <format dxfId="164">
      <pivotArea dataOnly="0" labelOnly="1" outline="0" fieldPosition="0">
        <references count="4">
          <reference field="0" count="0" selected="0"/>
          <reference field="1" count="0" selected="0"/>
          <reference field="2" count="0" selected="0"/>
          <reference field="3" count="0"/>
        </references>
      </pivotArea>
    </format>
    <format dxfId="163">
      <pivotArea dataOnly="0" labelOnly="1" outline="0" fieldPosition="0">
        <references count="5">
          <reference field="0" count="0" selected="0"/>
          <reference field="1" count="0" selected="0"/>
          <reference field="2" count="0" selected="0"/>
          <reference field="3" count="0" selected="0"/>
          <reference field="4" count="0"/>
        </references>
      </pivotArea>
    </format>
    <format dxfId="162">
      <pivotArea dataOnly="0" labelOnly="1" outline="0" fieldPosition="0">
        <references count="1">
          <reference field="4294967294" count="1">
            <x v="0"/>
          </reference>
        </references>
      </pivotArea>
    </format>
    <format dxfId="161">
      <pivotArea field="4" type="button" dataOnly="0" labelOnly="1" outline="0" axis="axisRow" fieldPosition="4"/>
    </format>
    <format dxfId="160">
      <pivotArea dataOnly="0" labelOnly="1" outline="0" fieldPosition="0">
        <references count="5">
          <reference field="0" count="0" selected="0"/>
          <reference field="1" count="0" selected="0"/>
          <reference field="2" count="0" selected="0"/>
          <reference field="3" count="0" selected="0"/>
          <reference field="4" count="0"/>
        </references>
      </pivotArea>
    </format>
    <format dxfId="159">
      <pivotArea type="all" dataOnly="0" outline="0" fieldPosition="0"/>
    </format>
    <format dxfId="158">
      <pivotArea outline="0" collapsedLevelsAreSubtotals="1" fieldPosition="0"/>
    </format>
    <format dxfId="157">
      <pivotArea field="0" type="button" dataOnly="0" labelOnly="1" outline="0" axis="axisRow" fieldPosition="0"/>
    </format>
    <format dxfId="156">
      <pivotArea field="1" type="button" dataOnly="0" labelOnly="1" outline="0" axis="axisRow" fieldPosition="1"/>
    </format>
    <format dxfId="155">
      <pivotArea field="2" type="button" dataOnly="0" labelOnly="1" outline="0" axis="axisRow" fieldPosition="2"/>
    </format>
    <format dxfId="154">
      <pivotArea field="3" type="button" dataOnly="0" labelOnly="1" outline="0" axis="axisRow" fieldPosition="3"/>
    </format>
    <format dxfId="153">
      <pivotArea field="4" type="button" dataOnly="0" labelOnly="1" outline="0" axis="axisRow" fieldPosition="4"/>
    </format>
    <format dxfId="152">
      <pivotArea dataOnly="0" labelOnly="1" outline="0" fieldPosition="0">
        <references count="1">
          <reference field="0" count="0"/>
        </references>
      </pivotArea>
    </format>
    <format dxfId="151">
      <pivotArea dataOnly="0" labelOnly="1" grandRow="1" outline="0" fieldPosition="0"/>
    </format>
    <format dxfId="150">
      <pivotArea dataOnly="0" labelOnly="1" outline="0" fieldPosition="0">
        <references count="2">
          <reference field="0" count="0" selected="0"/>
          <reference field="1" count="0"/>
        </references>
      </pivotArea>
    </format>
    <format dxfId="149">
      <pivotArea dataOnly="0" labelOnly="1" outline="0" fieldPosition="0">
        <references count="3">
          <reference field="0" count="0" selected="0"/>
          <reference field="1" count="0" selected="0"/>
          <reference field="2" count="0"/>
        </references>
      </pivotArea>
    </format>
    <format dxfId="148">
      <pivotArea dataOnly="0" labelOnly="1" outline="0" fieldPosition="0">
        <references count="4">
          <reference field="0" count="0" selected="0"/>
          <reference field="1" count="0" selected="0"/>
          <reference field="2" count="0" selected="0"/>
          <reference field="3" count="0"/>
        </references>
      </pivotArea>
    </format>
    <format dxfId="147">
      <pivotArea dataOnly="0" labelOnly="1" outline="0" fieldPosition="0">
        <references count="5">
          <reference field="0" count="0" selected="0"/>
          <reference field="1" count="0" selected="0"/>
          <reference field="2" count="0" selected="0"/>
          <reference field="3" count="0" selected="0"/>
          <reference field="4" count="0"/>
        </references>
      </pivotArea>
    </format>
    <format dxfId="146">
      <pivotArea dataOnly="0" labelOnly="1" outline="0" fieldPosition="0">
        <references count="1">
          <reference field="4294967294" count="1">
            <x v="0"/>
          </reference>
        </references>
      </pivotArea>
    </format>
    <format dxfId="145">
      <pivotArea field="5" type="button" dataOnly="0" labelOnly="1" outline="0" axis="axisRow" fieldPosition="5"/>
    </format>
    <format dxfId="144">
      <pivotArea field="6" type="button" dataOnly="0" labelOnly="1" outline="0" axis="axisRow" fieldPosition="6"/>
    </format>
    <format dxfId="143">
      <pivotArea field="7" type="button" dataOnly="0" labelOnly="1" outline="0" axis="axisRow" fieldPosition="7"/>
    </format>
    <format dxfId="142">
      <pivotArea field="8" type="button" dataOnly="0" labelOnly="1" outline="0" axis="axisRow" fieldPosition="8"/>
    </format>
    <format dxfId="141">
      <pivotArea field="9" type="button" dataOnly="0" labelOnly="1" outline="0" axis="axisRow" fieldPosition="9"/>
    </format>
    <format dxfId="140">
      <pivotArea field="10" type="button" dataOnly="0" labelOnly="1" outline="0" axis="axisRow" fieldPosition="10"/>
    </format>
    <format dxfId="139">
      <pivotArea dataOnly="0" labelOnly="1" outline="0" axis="axisValues" fieldPosition="0"/>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4C63AE-3AD7-4B0D-9079-33234D00A0E5}" name="PivotTable1" cacheId="14"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M3" firstHeaderRow="1" firstDataRow="1" firstDataCol="11"/>
  <pivotFields count="12">
    <pivotField name="$ItemNoLbl$" axis="axisRow" compact="0" outline="0" showAll="0" defaultSubtotal="0">
      <items count="1">
        <item x="0"/>
      </items>
    </pivotField>
    <pivotField name="$ItemDescLbl$" axis="axisRow" compact="0" outline="0" showAll="0" defaultSubtotal="0">
      <items count="1">
        <item x="0"/>
      </items>
    </pivotField>
    <pivotField name="$DocumentNo_PurchaseLine$" axis="axisRow" compact="0" outline="0" showAll="0" defaultSubtotal="0">
      <items count="1">
        <item x="0"/>
      </items>
      <extLst>
        <ext xmlns:x14="http://schemas.microsoft.com/office/spreadsheetml/2009/9/main" uri="{2946ED86-A175-432a-8AC1-64E0C546D7DE}">
          <x14:pivotField fillDownLabels="1"/>
        </ext>
      </extLst>
    </pivotField>
    <pivotField name="$VendorLbl$" axis="axisRow" compact="0" outline="0" showAll="0" defaultSubtotal="0">
      <items count="1">
        <item x="0"/>
      </items>
      <extLst>
        <ext xmlns:x14="http://schemas.microsoft.com/office/spreadsheetml/2009/9/main" uri="{2946ED86-A175-432a-8AC1-64E0C546D7DE}">
          <x14:pivotField fillDownLabels="1"/>
        </ext>
      </extLst>
    </pivotField>
    <pivotField name="$ExpectedReceiptDateLbl$" axis="axisRow" compact="0" outline="0" showAll="0" defaultSubtotal="0">
      <items count="1">
        <item x="0"/>
      </items>
      <extLst>
        <ext xmlns:x14="http://schemas.microsoft.com/office/spreadsheetml/2009/9/main" uri="{2946ED86-A175-432a-8AC1-64E0C546D7DE}">
          <x14:pivotField fillDownLabels="1"/>
        </ext>
      </extLst>
    </pivotField>
    <pivotField name="$Quantity_PurchaseLine$" axis="axisRow" compact="0" outline="0" showAll="0" defaultSubtotal="0">
      <items count="1">
        <item x="0"/>
      </items>
    </pivotField>
    <pivotField name="$OutStandingQty_PurchLine$" axis="axisRow" compact="0" outline="0" showAll="0" defaultSubtotal="0">
      <items count="1">
        <item x="0"/>
      </items>
    </pivotField>
    <pivotField name="$QtyOnBackOrderLbl$" axis="axisRow" compact="0" outline="0" showAll="0" defaultSubtotal="0">
      <items count="1">
        <item x="0"/>
      </items>
    </pivotField>
    <pivotField name="$DirectUnitCost_PurchLine$" axis="axisRow" compact="0" outline="0" showAll="0" defaultSubtotal="0">
      <items count="1">
        <item x="0"/>
      </items>
    </pivotField>
    <pivotField name="$LineDiscountLbl$" axis="axisRow" compact="0" outline="0" showAll="0" defaultSubtotal="0">
      <items count="1">
        <item x="0"/>
      </items>
    </pivotField>
    <pivotField name="$InvDiscountAmountLbl$" axis="axisRow" compact="0" outline="0" showAll="0" defaultSubtotal="0">
      <items count="1">
        <item x="0"/>
      </items>
    </pivotField>
    <pivotField dataField="1" compact="0" outline="0" showAll="0" defaultSubtotal="0"/>
  </pivotFields>
  <rowFields count="11">
    <field x="0"/>
    <field x="1"/>
    <field x="2"/>
    <field x="3"/>
    <field x="4"/>
    <field x="5"/>
    <field x="6"/>
    <field x="7"/>
    <field x="8"/>
    <field x="9"/>
    <field x="10"/>
  </rowFields>
  <rowItems count="2">
    <i>
      <x/>
      <x/>
      <x/>
      <x/>
      <x/>
      <x/>
      <x/>
      <x/>
      <x/>
      <x/>
      <x/>
    </i>
    <i t="grand">
      <x/>
    </i>
  </rowItems>
  <colItems count="1">
    <i/>
  </colItems>
  <dataFields count="1">
    <dataField name="$AmtOnOrderInclVATLbl$" fld="11" baseField="0" baseItem="0"/>
  </dataFields>
  <formats count="43">
    <format dxfId="138">
      <pivotArea field="0" type="button" dataOnly="0" labelOnly="1" outline="0" axis="axisRow" fieldPosition="0"/>
    </format>
    <format dxfId="137">
      <pivotArea field="1" type="button" dataOnly="0" labelOnly="1" outline="0" axis="axisRow" fieldPosition="1"/>
    </format>
    <format dxfId="136">
      <pivotArea field="2" type="button" dataOnly="0" labelOnly="1" outline="0" axis="axisRow" fieldPosition="2"/>
    </format>
    <format dxfId="135">
      <pivotArea field="3" type="button" dataOnly="0" labelOnly="1" outline="0" axis="axisRow" fieldPosition="3"/>
    </format>
    <format dxfId="134">
      <pivotArea field="4" type="button" dataOnly="0" labelOnly="1" outline="0" axis="axisRow" fieldPosition="4"/>
    </format>
    <format dxfId="133">
      <pivotArea dataOnly="0" labelOnly="1" outline="0" fieldPosition="0">
        <references count="1">
          <reference field="4294967294" count="1">
            <x v="0"/>
          </reference>
        </references>
      </pivotArea>
    </format>
    <format dxfId="132">
      <pivotArea type="all" dataOnly="0" outline="0" fieldPosition="0"/>
    </format>
    <format dxfId="131">
      <pivotArea outline="0" collapsedLevelsAreSubtotals="1" fieldPosition="0"/>
    </format>
    <format dxfId="130">
      <pivotArea field="0" type="button" dataOnly="0" labelOnly="1" outline="0" axis="axisRow" fieldPosition="0"/>
    </format>
    <format dxfId="129">
      <pivotArea field="1" type="button" dataOnly="0" labelOnly="1" outline="0" axis="axisRow" fieldPosition="1"/>
    </format>
    <format dxfId="128">
      <pivotArea field="2" type="button" dataOnly="0" labelOnly="1" outline="0" axis="axisRow" fieldPosition="2"/>
    </format>
    <format dxfId="127">
      <pivotArea field="3" type="button" dataOnly="0" labelOnly="1" outline="0" axis="axisRow" fieldPosition="3"/>
    </format>
    <format dxfId="126">
      <pivotArea field="4" type="button" dataOnly="0" labelOnly="1" outline="0" axis="axisRow" fieldPosition="4"/>
    </format>
    <format dxfId="125">
      <pivotArea dataOnly="0" labelOnly="1" outline="0" fieldPosition="0">
        <references count="1">
          <reference field="0" count="0"/>
        </references>
      </pivotArea>
    </format>
    <format dxfId="124">
      <pivotArea dataOnly="0" labelOnly="1" grandRow="1" outline="0" fieldPosition="0"/>
    </format>
    <format dxfId="123">
      <pivotArea dataOnly="0" labelOnly="1" outline="0" fieldPosition="0">
        <references count="2">
          <reference field="0" count="0" selected="0"/>
          <reference field="1" count="0"/>
        </references>
      </pivotArea>
    </format>
    <format dxfId="122">
      <pivotArea dataOnly="0" labelOnly="1" outline="0" fieldPosition="0">
        <references count="3">
          <reference field="0" count="0" selected="0"/>
          <reference field="1" count="0" selected="0"/>
          <reference field="2" count="0"/>
        </references>
      </pivotArea>
    </format>
    <format dxfId="121">
      <pivotArea dataOnly="0" labelOnly="1" outline="0" fieldPosition="0">
        <references count="4">
          <reference field="0" count="0" selected="0"/>
          <reference field="1" count="0" selected="0"/>
          <reference field="2" count="0" selected="0"/>
          <reference field="3" count="0"/>
        </references>
      </pivotArea>
    </format>
    <format dxfId="120">
      <pivotArea dataOnly="0" labelOnly="1" outline="0" fieldPosition="0">
        <references count="5">
          <reference field="0" count="0" selected="0"/>
          <reference field="1" count="0" selected="0"/>
          <reference field="2" count="0" selected="0"/>
          <reference field="3" count="0" selected="0"/>
          <reference field="4" count="0"/>
        </references>
      </pivotArea>
    </format>
    <format dxfId="119">
      <pivotArea dataOnly="0" labelOnly="1" outline="0" fieldPosition="0">
        <references count="1">
          <reference field="4294967294" count="1">
            <x v="0"/>
          </reference>
        </references>
      </pivotArea>
    </format>
    <format dxfId="118">
      <pivotArea field="4" type="button" dataOnly="0" labelOnly="1" outline="0" axis="axisRow" fieldPosition="4"/>
    </format>
    <format dxfId="117">
      <pivotArea dataOnly="0" labelOnly="1" outline="0" fieldPosition="0">
        <references count="5">
          <reference field="0" count="0" selected="0"/>
          <reference field="1" count="0" selected="0"/>
          <reference field="2" count="0" selected="0"/>
          <reference field="3" count="0" selected="0"/>
          <reference field="4" count="0"/>
        </references>
      </pivotArea>
    </format>
    <format dxfId="116">
      <pivotArea type="all" dataOnly="0" outline="0" fieldPosition="0"/>
    </format>
    <format dxfId="115">
      <pivotArea outline="0" collapsedLevelsAreSubtotals="1" fieldPosition="0"/>
    </format>
    <format dxfId="114">
      <pivotArea field="0" type="button" dataOnly="0" labelOnly="1" outline="0" axis="axisRow" fieldPosition="0"/>
    </format>
    <format dxfId="113">
      <pivotArea field="1" type="button" dataOnly="0" labelOnly="1" outline="0" axis="axisRow" fieldPosition="1"/>
    </format>
    <format dxfId="112">
      <pivotArea field="2" type="button" dataOnly="0" labelOnly="1" outline="0" axis="axisRow" fieldPosition="2"/>
    </format>
    <format dxfId="111">
      <pivotArea field="3" type="button" dataOnly="0" labelOnly="1" outline="0" axis="axisRow" fieldPosition="3"/>
    </format>
    <format dxfId="110">
      <pivotArea field="4" type="button" dataOnly="0" labelOnly="1" outline="0" axis="axisRow" fieldPosition="4"/>
    </format>
    <format dxfId="109">
      <pivotArea dataOnly="0" labelOnly="1" outline="0" fieldPosition="0">
        <references count="1">
          <reference field="0" count="0"/>
        </references>
      </pivotArea>
    </format>
    <format dxfId="108">
      <pivotArea dataOnly="0" labelOnly="1" grandRow="1" outline="0" fieldPosition="0"/>
    </format>
    <format dxfId="107">
      <pivotArea dataOnly="0" labelOnly="1" outline="0" fieldPosition="0">
        <references count="2">
          <reference field="0" count="0" selected="0"/>
          <reference field="1" count="0"/>
        </references>
      </pivotArea>
    </format>
    <format dxfId="106">
      <pivotArea dataOnly="0" labelOnly="1" outline="0" fieldPosition="0">
        <references count="3">
          <reference field="0" count="0" selected="0"/>
          <reference field="1" count="0" selected="0"/>
          <reference field="2" count="0"/>
        </references>
      </pivotArea>
    </format>
    <format dxfId="105">
      <pivotArea dataOnly="0" labelOnly="1" outline="0" fieldPosition="0">
        <references count="4">
          <reference field="0" count="0" selected="0"/>
          <reference field="1" count="0" selected="0"/>
          <reference field="2" count="0" selected="0"/>
          <reference field="3" count="0"/>
        </references>
      </pivotArea>
    </format>
    <format dxfId="104">
      <pivotArea dataOnly="0" labelOnly="1" outline="0" fieldPosition="0">
        <references count="5">
          <reference field="0" count="0" selected="0"/>
          <reference field="1" count="0" selected="0"/>
          <reference field="2" count="0" selected="0"/>
          <reference field="3" count="0" selected="0"/>
          <reference field="4" count="0"/>
        </references>
      </pivotArea>
    </format>
    <format dxfId="103">
      <pivotArea dataOnly="0" labelOnly="1" outline="0" fieldPosition="0">
        <references count="1">
          <reference field="4294967294" count="1">
            <x v="0"/>
          </reference>
        </references>
      </pivotArea>
    </format>
    <format dxfId="102">
      <pivotArea field="5" type="button" dataOnly="0" labelOnly="1" outline="0" axis="axisRow" fieldPosition="5"/>
    </format>
    <format dxfId="101">
      <pivotArea field="6" type="button" dataOnly="0" labelOnly="1" outline="0" axis="axisRow" fieldPosition="6"/>
    </format>
    <format dxfId="100">
      <pivotArea field="7" type="button" dataOnly="0" labelOnly="1" outline="0" axis="axisRow" fieldPosition="7"/>
    </format>
    <format dxfId="99">
      <pivotArea field="8" type="button" dataOnly="0" labelOnly="1" outline="0" axis="axisRow" fieldPosition="8"/>
    </format>
    <format dxfId="98">
      <pivotArea field="9" type="button" dataOnly="0" labelOnly="1" outline="0" axis="axisRow" fieldPosition="9"/>
    </format>
    <format dxfId="97">
      <pivotArea field="10" type="button" dataOnly="0" labelOnly="1" outline="0" axis="axisRow" fieldPosition="10"/>
    </format>
    <format dxfId="96">
      <pivotArea dataOnly="0" labelOnly="1" outline="0" axis="axisValues" fieldPosition="0"/>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6EBE3DD8-A496-43F5-87EF-EECBCD333952}" autoFormatId="16" applyNumberFormats="0" applyBorderFormats="0" applyFontFormats="0" applyPatternFormats="0" applyAlignmentFormats="0" applyWidthHeightFormats="0">
  <queryTableRefresh nextId="13">
    <queryTableFields count="12">
      <queryTableField id="1" name="ItemNo" tableColumnId="1"/>
      <queryTableField id="2" name="Description_Item" tableColumnId="2"/>
      <queryTableField id="3" name="DocumentNo_PurchaseLine" tableColumnId="3"/>
      <queryTableField id="4" name="PattoName_PurchaseLine" tableColumnId="4"/>
      <queryTableField id="5" name="ExpReceiptDt_PurchaseLine" tableColumnId="5"/>
      <queryTableField id="6" name="Quantity_PurchaseLine" tableColumnId="6"/>
      <queryTableField id="7" name="OutStandingQty_PurchLine" tableColumnId="7"/>
      <queryTableField id="8" name="BackOrderQty" tableColumnId="8"/>
      <queryTableField id="9" name="DirectUnitCost_PurchLine" tableColumnId="9"/>
      <queryTableField id="10" name="LineDiscount_PurchaseLine" tableColumnId="10"/>
      <queryTableField id="11" name="InvDiscountAmt_PurchLine" tableColumnId="11"/>
      <queryTableField id="12" name="OutstandingAmt1_PurchLin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No" xr10:uid="{F3ECA4B0-34AA-49C0-99EB-56C16EDBEDE3}" sourceName="ItemNo">
  <pivotTables>
    <pivotTable tabId="9" name="PivotTable1"/>
  </pivotTables>
  <data>
    <tabular pivotCacheId="678151016"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Item" xr10:uid="{37D14373-EFB9-483C-BF13-D9A4DB7BF33F}" sourceName="Description_Item">
  <pivotTables>
    <pivotTable tabId="9" name="PivotTable1"/>
  </pivotTables>
  <data>
    <tabular pivotCacheId="678151016"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No_PurchaseLine" xr10:uid="{13F5F25C-BC0C-4CB0-978D-47400C77E0B9}" sourceName="DocumentNo_PurchaseLine">
  <pivotTables>
    <pivotTable tabId="9" name="PivotTable1"/>
  </pivotTables>
  <data>
    <tabular pivotCacheId="678151016"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toName_PurchaseLine" xr10:uid="{56C0BE70-005E-491F-B82F-C598BB47D01E}" sourceName="PattoName_PurchaseLine">
  <pivotTables>
    <pivotTable tabId="9" name="PivotTable1"/>
  </pivotTables>
  <data>
    <tabular pivotCacheId="678151016"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NoLbl$" xr10:uid="{C148B039-A712-41A3-B283-BFE7CAA4FE09}" cache="Slicer_ItemNo" caption="$ItemNoLbl$" style="Business Central Reports Slicer Style (Template)" rowHeight="273050"/>
  <slicer name="$ItemDescLbl$" xr10:uid="{BBE185BD-7993-4928-9BC1-C091F3E18ADA}" cache="Slicer_Description_Item" caption="$ItemDescLbl$" style="Business Central Reports Slicer Style (Template)" rowHeight="273050"/>
  <slicer name="$DocumentNo_PurchaseLine$" xr10:uid="{2F337435-5598-41A5-991F-AC7092BCA432}" cache="Slicer_DocumentNo_PurchaseLine" caption="$DocumentNo_PurchaseLine$" style="Business Central Reports Slicer Style (Template)" rowHeight="273050"/>
  <slicer name="$VendorLbl$" xr10:uid="{56773A21-B27C-4CF7-94AC-15D0BB2E02EA}" cache="Slicer_PattoName_PurchaseLine" caption="$VendorLbl$"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90D5B5-1F42-4E1D-8280-49EF94A5685F}" name="InventoryPurchaseOrders_Query" displayName="InventoryPurchaseOrders_Query" ref="A1:L2" tableType="queryTable" totalsRowShown="0">
  <autoFilter ref="A1:L2" xr:uid="{1490D5B5-1F42-4E1D-8280-49EF94A5685F}"/>
  <tableColumns count="12">
    <tableColumn id="1" xr3:uid="{4919AE2E-39E2-470C-8557-F94AD841FEEB}" uniqueName="1" name="ItemNo" queryTableFieldId="1" dataDxfId="95"/>
    <tableColumn id="2" xr3:uid="{308E591A-9318-4158-921C-68223C6FB589}" uniqueName="2" name="Description_Item" queryTableFieldId="2" dataDxfId="94"/>
    <tableColumn id="3" xr3:uid="{B2C1B068-21DA-49EC-89B0-E405C419BD34}" uniqueName="3" name="DocumentNo_PurchaseLine" queryTableFieldId="3" dataDxfId="93"/>
    <tableColumn id="4" xr3:uid="{92D66C70-EB3B-41A9-AA87-F82B76B8FFFF}" uniqueName="4" name="PattoName_PurchaseLine" queryTableFieldId="4" dataDxfId="92"/>
    <tableColumn id="5" xr3:uid="{435FC74F-AB84-46B4-97D7-332D1D501C3A}" uniqueName="5" name="ExpReceiptDt_PurchaseLine" queryTableFieldId="5" dataDxfId="91"/>
    <tableColumn id="6" xr3:uid="{97054D36-BF24-475A-89B9-C619BD5F9A73}" uniqueName="6" name="Quantity_PurchaseLine" queryTableFieldId="6"/>
    <tableColumn id="7" xr3:uid="{2A413D58-161A-4C35-AB1C-4344E876658C}" uniqueName="7" name="OutStandingQty_PurchLine" queryTableFieldId="7"/>
    <tableColumn id="8" xr3:uid="{53EB84E5-4ED5-436E-B263-FD19A4A087B7}" uniqueName="8" name="BackOrderQty" queryTableFieldId="8"/>
    <tableColumn id="9" xr3:uid="{C2157A92-4B4E-4F39-BBB6-2661B58209BF}" uniqueName="9" name="DirectUnitCost_PurchLine" queryTableFieldId="9"/>
    <tableColumn id="10" xr3:uid="{A33EB382-8FE3-4A14-A9B3-8463BE4BADC8}" uniqueName="10" name="LineDiscount_PurchaseLine" queryTableFieldId="10"/>
    <tableColumn id="11" xr3:uid="{48517334-92BE-4021-BD48-9E0050C546EA}" uniqueName="11" name="InvDiscountAmt_PurchLine" queryTableFieldId="11"/>
    <tableColumn id="12" xr3:uid="{EB99B3CA-8C06-465B-8FC9-6F7B416E2426}" uniqueName="12" name="OutstandingAmt1_PurchLine"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W2" totalsRowShown="0" headerRowDxfId="90">
  <autoFilter ref="A1:W2" xr:uid="{41D726F2-778D-4B1C-A5EA-875FED73D050}"/>
  <tableColumns count="23">
    <tableColumn id="1" xr3:uid="{21867904-D69E-41E3-B5BE-D9B124B8D7E4}" name="CompanyName"/>
    <tableColumn id="2" xr3:uid="{21867904-D69E-41E3-B5BE-D9B124B8D7E4}" name="ItemTableCaptItemFilter"/>
    <tableColumn id="4" xr3:uid="{21867904-D69E-41E3-B5BE-D9B124B8D7E4}" name="PurchaseLineFilter"/>
    <tableColumn id="6" xr3:uid="{21867904-D69E-41E3-B5BE-D9B124B8D7E4}" name="ItemNo"/>
    <tableColumn id="7" xr3:uid="{21867904-D69E-41E3-B5BE-D9B124B8D7E4}" name="Description_Item"/>
    <tableColumn id="8" xr3:uid="{21867904-D69E-41E3-B5BE-D9B124B8D7E4}" name="OutstandingAmt_PurchLine"/>
    <tableColumn id="9" xr3:uid="{21867904-D69E-41E3-B5BE-D9B124B8D7E4}" name="VariantFilter_Item"/>
    <tableColumn id="10" xr3:uid="{21867904-D69E-41E3-B5BE-D9B124B8D7E4}" name="LocationFilter_Item"/>
    <tableColumn id="11" xr3:uid="{21867904-D69E-41E3-B5BE-D9B124B8D7E4}" name="GlobalDim1Filter_Item"/>
    <tableColumn id="12" xr3:uid="{21867904-D69E-41E3-B5BE-D9B124B8D7E4}" name="GlobalDim2Filter_Item"/>
    <tableColumn id="13" xr3:uid="{21867904-D69E-41E3-B5BE-D9B124B8D7E4}" name="ItemBinFilter"/>
    <tableColumn id="14" xr3:uid="{21867904-D69E-41E3-B5BE-D9B124B8D7E4}" name="DocumentNo_PurchaseLine"/>
    <tableColumn id="15" xr3:uid="{21867904-D69E-41E3-B5BE-D9B124B8D7E4}" name="PattoName_PurchaseLine"/>
    <tableColumn id="16" xr3:uid="{21867904-D69E-41E3-B5BE-D9B124B8D7E4}" name="ExpReceiptDt_PurchaseLine"/>
    <tableColumn id="17" xr3:uid="{21867904-D69E-41E3-B5BE-D9B124B8D7E4}" name="Quantity_PurchaseLine"/>
    <tableColumn id="18" xr3:uid="{21867904-D69E-41E3-B5BE-D9B124B8D7E4}" name="OutStandingQty_PurchLine"/>
    <tableColumn id="19" xr3:uid="{21867904-D69E-41E3-B5BE-D9B124B8D7E4}" name="BackOrderQty"/>
    <tableColumn id="20" xr3:uid="{21867904-D69E-41E3-B5BE-D9B124B8D7E4}" name="DirectUnitCost_PurchLine"/>
    <tableColumn id="21" xr3:uid="{21867904-D69E-41E3-B5BE-D9B124B8D7E4}" name="LineDiscount_PurchaseLine"/>
    <tableColumn id="22" xr3:uid="{21867904-D69E-41E3-B5BE-D9B124B8D7E4}" name="InvDiscountAmt_PurchLine"/>
    <tableColumn id="23" xr3:uid="{21867904-D69E-41E3-B5BE-D9B124B8D7E4}" name="OutstandingAmt1_PurchLine"/>
    <tableColumn id="24" xr3:uid="{21867904-D69E-41E3-B5BE-D9B124B8D7E4}" name="Description1_Item"/>
    <tableColumn id="25" xr3:uid="{21867904-D69E-41E3-B5BE-D9B124B8D7E4}" name="Totals_OutstandingAmount"/>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89">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88">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87">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86">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A8DF-3840-4D46-9BAA-9B42DE1AFF4E}">
  <sheetPr>
    <pageSetUpPr fitToPage="1"/>
  </sheetPr>
  <dimension ref="A2:M9"/>
  <sheetViews>
    <sheetView showGridLines="0" tabSelected="1" workbookViewId="0"/>
  </sheetViews>
  <sheetFormatPr defaultColWidth="13.9140625" defaultRowHeight="20" customHeight="1" x14ac:dyDescent="0.45"/>
  <cols>
    <col min="1" max="1" width="9.08203125" style="16" customWidth="1"/>
    <col min="2" max="2" width="9.75" style="12" customWidth="1"/>
    <col min="3" max="3" width="29.08203125" style="12" customWidth="1"/>
    <col min="4" max="4" width="15.1640625" style="12" customWidth="1"/>
    <col min="5" max="5" width="28.6640625" style="12" customWidth="1"/>
    <col min="6" max="6" width="18.75" style="12" customWidth="1"/>
    <col min="7" max="7" width="7.58203125" style="12" bestFit="1" customWidth="1"/>
    <col min="8" max="8" width="17.75" style="12" bestFit="1" customWidth="1"/>
    <col min="9" max="9" width="19.25" style="12" bestFit="1" customWidth="1"/>
    <col min="10" max="10" width="20.6640625" style="12" bestFit="1" customWidth="1"/>
    <col min="11" max="11" width="9.9140625" style="12" bestFit="1" customWidth="1"/>
    <col min="12" max="12" width="17.75" style="12" bestFit="1" customWidth="1"/>
    <col min="13" max="13" width="25.58203125" style="12" customWidth="1"/>
    <col min="14" max="16384" width="13.9140625" style="12"/>
  </cols>
  <sheetData>
    <row r="2" spans="2:13" ht="20" customHeight="1" thickBot="1" x14ac:dyDescent="0.5">
      <c r="B2" s="6" t="s">
        <v>87</v>
      </c>
      <c r="M2" s="3" t="str" cm="1">
        <f t="array" ref="M2">ReportRequest.CompanyName</f>
        <v>Company name Value</v>
      </c>
    </row>
    <row r="3" spans="2:13" ht="20" customHeight="1" thickTop="1" x14ac:dyDescent="0.45"/>
    <row r="4" spans="2:13" ht="20" customHeight="1" x14ac:dyDescent="0.45">
      <c r="B4" s="9" t="e" cm="1">
        <f t="array" ref="B4">ItemFilterHeading</f>
        <v>#N/A</v>
      </c>
      <c r="L4" s="4" t="e" cm="1">
        <f t="array" ref="L4">Caption.DataRetrievedLbl</f>
        <v>#NAME?</v>
      </c>
      <c r="M4" s="5" t="str" cm="1">
        <f t="array" ref="M4">ReportRequest.DateLocal</f>
        <v>Date (Local) Value</v>
      </c>
    </row>
    <row r="5" spans="2:13" ht="20" customHeight="1" x14ac:dyDescent="0.45">
      <c r="B5" s="9" t="e" cm="1">
        <f t="array" ref="B5">PurchLineFilterHeading</f>
        <v>#N/A</v>
      </c>
      <c r="L5" s="4"/>
      <c r="M5" s="5"/>
    </row>
    <row r="7" spans="2:13" ht="20" customHeight="1" x14ac:dyDescent="0.45">
      <c r="B7" s="13" t="s">
        <v>89</v>
      </c>
      <c r="C7" s="13" t="s">
        <v>90</v>
      </c>
      <c r="D7" s="13" t="s">
        <v>106</v>
      </c>
      <c r="E7" s="13" t="s">
        <v>91</v>
      </c>
      <c r="F7" s="14" t="s">
        <v>95</v>
      </c>
      <c r="G7" s="14" t="s">
        <v>94</v>
      </c>
      <c r="H7" s="14" t="s">
        <v>93</v>
      </c>
      <c r="I7" s="14" t="s">
        <v>96</v>
      </c>
      <c r="J7" s="14" t="s">
        <v>92</v>
      </c>
      <c r="K7" s="14" t="s">
        <v>97</v>
      </c>
      <c r="L7" s="14" t="s">
        <v>98</v>
      </c>
      <c r="M7" s="17" t="s">
        <v>99</v>
      </c>
    </row>
    <row r="8" spans="2:13" ht="20" customHeight="1" x14ac:dyDescent="0.45">
      <c r="B8" s="7"/>
      <c r="C8" s="7"/>
      <c r="D8" s="7"/>
      <c r="E8" s="7"/>
      <c r="F8" s="15"/>
      <c r="G8" s="7">
        <v>0</v>
      </c>
      <c r="H8" s="7">
        <v>0</v>
      </c>
      <c r="I8" s="7">
        <v>0</v>
      </c>
      <c r="J8" s="7">
        <v>0</v>
      </c>
      <c r="K8" s="7">
        <v>0</v>
      </c>
      <c r="L8" s="7">
        <v>0</v>
      </c>
      <c r="M8" s="19">
        <v>0</v>
      </c>
    </row>
    <row r="9" spans="2:13" ht="20" customHeight="1" x14ac:dyDescent="0.45">
      <c r="B9" s="7" t="s">
        <v>88</v>
      </c>
      <c r="C9" s="7"/>
      <c r="D9" s="7"/>
      <c r="E9" s="7"/>
      <c r="F9" s="7"/>
      <c r="G9" s="7"/>
      <c r="H9" s="7"/>
      <c r="I9" s="7"/>
      <c r="J9" s="7"/>
      <c r="K9" s="7"/>
      <c r="L9" s="7"/>
      <c r="M9" s="19">
        <v>0</v>
      </c>
    </row>
  </sheetData>
  <pageMargins left="0.25" right="0.25" top="0.75" bottom="0.75" header="0.3" footer="0.3"/>
  <pageSetup paperSize="9" scale="41"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9DAE0-4D42-4B1D-A166-4CC26D2430FA}">
  <sheetPr>
    <pageSetUpPr fitToPage="1"/>
  </sheetPr>
  <dimension ref="A1:M3"/>
  <sheetViews>
    <sheetView showGridLines="0" workbookViewId="0"/>
  </sheetViews>
  <sheetFormatPr defaultColWidth="13.9140625" defaultRowHeight="20" customHeight="1" x14ac:dyDescent="0.45"/>
  <cols>
    <col min="1" max="1" width="50.58203125" style="16" customWidth="1"/>
    <col min="2" max="2" width="9.75" style="12" customWidth="1"/>
    <col min="3" max="3" width="29.08203125" style="12" customWidth="1"/>
    <col min="4" max="4" width="15.1640625" style="12" customWidth="1"/>
    <col min="5" max="5" width="28.6640625" style="12" customWidth="1"/>
    <col min="6" max="6" width="18.75" style="12" customWidth="1"/>
    <col min="7" max="7" width="7.58203125" style="12" bestFit="1" customWidth="1"/>
    <col min="8" max="8" width="17.75" style="12" bestFit="1" customWidth="1"/>
    <col min="9" max="9" width="19.25" style="12" bestFit="1" customWidth="1"/>
    <col min="10" max="10" width="20.6640625" style="12" bestFit="1" customWidth="1"/>
    <col min="11" max="11" width="9.9140625" style="12" bestFit="1" customWidth="1"/>
    <col min="12" max="12" width="17.75" style="12" bestFit="1" customWidth="1"/>
    <col min="13" max="13" width="22" style="12" bestFit="1" customWidth="1"/>
    <col min="14" max="16384" width="13.9140625" style="12"/>
  </cols>
  <sheetData>
    <row r="1" spans="2:13" ht="21" x14ac:dyDescent="0.45">
      <c r="B1" s="13" t="s">
        <v>89</v>
      </c>
      <c r="C1" s="13" t="s">
        <v>90</v>
      </c>
      <c r="D1" s="13" t="s">
        <v>106</v>
      </c>
      <c r="E1" s="13" t="s">
        <v>91</v>
      </c>
      <c r="F1" s="14" t="s">
        <v>95</v>
      </c>
      <c r="G1" s="14" t="s">
        <v>94</v>
      </c>
      <c r="H1" s="14" t="s">
        <v>93</v>
      </c>
      <c r="I1" s="14" t="s">
        <v>96</v>
      </c>
      <c r="J1" s="14" t="s">
        <v>92</v>
      </c>
      <c r="K1" s="14" t="s">
        <v>97</v>
      </c>
      <c r="L1" s="14" t="s">
        <v>98</v>
      </c>
      <c r="M1" s="17" t="s">
        <v>99</v>
      </c>
    </row>
    <row r="2" spans="2:13" ht="21" x14ac:dyDescent="0.45">
      <c r="B2" s="7"/>
      <c r="C2" s="7"/>
      <c r="D2" s="7"/>
      <c r="E2" s="7"/>
      <c r="F2" s="15"/>
      <c r="G2" s="7">
        <v>0</v>
      </c>
      <c r="H2" s="7">
        <v>0</v>
      </c>
      <c r="I2" s="7">
        <v>0</v>
      </c>
      <c r="J2" s="7">
        <v>0</v>
      </c>
      <c r="K2" s="7">
        <v>0</v>
      </c>
      <c r="L2" s="7">
        <v>0</v>
      </c>
      <c r="M2" s="19">
        <v>0</v>
      </c>
    </row>
    <row r="3" spans="2:13" ht="21" x14ac:dyDescent="0.45">
      <c r="B3" s="7" t="s">
        <v>88</v>
      </c>
      <c r="C3" s="7"/>
      <c r="D3" s="7"/>
      <c r="E3" s="7"/>
      <c r="F3" s="7"/>
      <c r="G3" s="7"/>
      <c r="H3" s="7"/>
      <c r="I3" s="7"/>
      <c r="J3" s="7"/>
      <c r="K3" s="7"/>
      <c r="L3" s="7"/>
      <c r="M3" s="19">
        <v>0</v>
      </c>
    </row>
  </sheetData>
  <pageMargins left="0.25" right="0.25" top="0.75" bottom="0.75" header="0.3" footer="0.3"/>
  <pageSetup paperSize="9" scale="34" fitToHeight="0"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0211-A3DE-494D-BAD6-41E1C95FCB51}">
  <dimension ref="A1:B8"/>
  <sheetViews>
    <sheetView showGridLines="0" workbookViewId="0"/>
  </sheetViews>
  <sheetFormatPr defaultRowHeight="20" customHeight="1" x14ac:dyDescent="0.45"/>
  <cols>
    <col min="1" max="1" width="17.33203125" customWidth="1"/>
    <col min="2" max="2" width="25.58203125" customWidth="1"/>
  </cols>
  <sheetData>
    <row r="1" spans="1:2" ht="20" customHeight="1" x14ac:dyDescent="0.45">
      <c r="A1" s="8" t="s">
        <v>100</v>
      </c>
      <c r="B1" s="9" t="str" cm="1">
        <f t="array" ref="B1">ReportRequest.EnvironmentName</f>
        <v>Environment name Value</v>
      </c>
    </row>
    <row r="2" spans="1:2" ht="20" customHeight="1" x14ac:dyDescent="0.45">
      <c r="A2" s="8" t="s">
        <v>101</v>
      </c>
      <c r="B2" s="9" t="str" cm="1">
        <f t="array" ref="B2">ReportRequest.CompanyName</f>
        <v>Company name Value</v>
      </c>
    </row>
    <row r="3" spans="1:2" ht="20" customHeight="1" x14ac:dyDescent="0.45">
      <c r="A3" s="8" t="s">
        <v>102</v>
      </c>
      <c r="B3" s="9" t="str" cm="1">
        <f t="array" ref="B3">ReportRequest.UserName</f>
        <v>User name Value</v>
      </c>
    </row>
    <row r="4" spans="1:2" ht="20" customHeight="1" x14ac:dyDescent="0.45">
      <c r="A4" s="8" t="s">
        <v>103</v>
      </c>
      <c r="B4" s="10" t="str" cm="1">
        <f t="array" ref="B4">ReportRequest.DateLocal</f>
        <v>Date (Local) Value</v>
      </c>
    </row>
    <row r="5" spans="1:2" ht="20" customHeight="1" x14ac:dyDescent="0.45">
      <c r="A5" s="8"/>
      <c r="B5" s="11" t="str" cm="1">
        <f t="array" ref="B5">ReportRequest.DateLocal</f>
        <v>Date (Local) Value</v>
      </c>
    </row>
    <row r="6" spans="1:2" ht="20" customHeight="1" x14ac:dyDescent="0.45">
      <c r="A6" s="8" t="s">
        <v>104</v>
      </c>
      <c r="B6" s="9" t="str" cm="1">
        <f t="array" ref="B6">ReportMetadata.ObjectCaption</f>
        <v>Object Caption Value</v>
      </c>
    </row>
    <row r="7" spans="1:2" ht="20" customHeight="1" x14ac:dyDescent="0.45">
      <c r="A7" s="8" t="s">
        <v>105</v>
      </c>
      <c r="B7" s="18" t="str">
        <f>HYPERLINK(_xlfn.CONCAT("https://learn.microsoft.com/dynamics365/business-central/reports/report-",ReportMetadata.ObjectID))</f>
        <v>https://learn.microsoft.com/dynamics365/business-central/reports/report-Object ID Value</v>
      </c>
    </row>
    <row r="8" spans="1:2" ht="20" customHeight="1" x14ac:dyDescent="0.45">
      <c r="A8" s="8"/>
      <c r="B8"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659B7-B881-4B02-87E4-C2FAFE1C6617}">
  <dimension ref="A1:L2"/>
  <sheetViews>
    <sheetView topLeftCell="D1" workbookViewId="0"/>
  </sheetViews>
  <sheetFormatPr defaultRowHeight="16.5" x14ac:dyDescent="0.45"/>
  <cols>
    <col min="1" max="1" width="10" bestFit="1" customWidth="1"/>
    <col min="2" max="2" width="18.25" bestFit="1" customWidth="1"/>
    <col min="3" max="3" width="27.75" bestFit="1" customWidth="1"/>
    <col min="4" max="4" width="25.83203125" bestFit="1" customWidth="1"/>
    <col min="5" max="5" width="27.75" bestFit="1" customWidth="1"/>
    <col min="6" max="6" width="23.33203125" bestFit="1" customWidth="1"/>
    <col min="7" max="7" width="27.08203125" bestFit="1" customWidth="1"/>
    <col min="8" max="8" width="15.58203125" bestFit="1" customWidth="1"/>
    <col min="9" max="9" width="25.83203125" bestFit="1" customWidth="1"/>
    <col min="10" max="10" width="27.25" bestFit="1" customWidth="1"/>
    <col min="11" max="11" width="27.33203125" bestFit="1" customWidth="1"/>
    <col min="12" max="12" width="29" bestFit="1" customWidth="1"/>
  </cols>
  <sheetData>
    <row r="1" spans="1:12" x14ac:dyDescent="0.45">
      <c r="A1" t="s">
        <v>66</v>
      </c>
      <c r="B1" t="s">
        <v>67</v>
      </c>
      <c r="C1" t="s">
        <v>74</v>
      </c>
      <c r="D1" t="s">
        <v>75</v>
      </c>
      <c r="E1" t="s">
        <v>76</v>
      </c>
      <c r="F1" t="s">
        <v>77</v>
      </c>
      <c r="G1" t="s">
        <v>78</v>
      </c>
      <c r="H1" t="s">
        <v>79</v>
      </c>
      <c r="I1" t="s">
        <v>80</v>
      </c>
      <c r="J1" t="s">
        <v>81</v>
      </c>
      <c r="K1" t="s">
        <v>82</v>
      </c>
      <c r="L1" t="s">
        <v>83</v>
      </c>
    </row>
    <row r="2" spans="1:12" x14ac:dyDescent="0.45">
      <c r="A2" t="s">
        <v>86</v>
      </c>
      <c r="B2" t="s">
        <v>86</v>
      </c>
      <c r="C2" t="s">
        <v>86</v>
      </c>
      <c r="D2" t="s">
        <v>86</v>
      </c>
      <c r="E2" t="s">
        <v>86</v>
      </c>
      <c r="F2">
        <v>0</v>
      </c>
      <c r="G2">
        <v>0</v>
      </c>
      <c r="H2">
        <v>0</v>
      </c>
      <c r="I2">
        <v>0</v>
      </c>
      <c r="J2">
        <v>0</v>
      </c>
      <c r="K2">
        <v>0</v>
      </c>
      <c r="L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
  <sheetViews>
    <sheetView workbookViewId="0">
      <pane ySplit="1" topLeftCell="A2" activePane="bottomLeft" state="frozen"/>
      <selection pane="bottomLeft"/>
    </sheetView>
  </sheetViews>
  <sheetFormatPr defaultRowHeight="16.5" x14ac:dyDescent="0.45"/>
  <cols>
    <col min="1" max="1" width="18.4140625" customWidth="1"/>
  </cols>
  <sheetData>
    <row r="1" spans="1:23" x14ac:dyDescent="0.45">
      <c r="A1" t="s">
        <v>64</v>
      </c>
      <c r="B1" t="s">
        <v>65</v>
      </c>
      <c r="C1" t="s">
        <v>107</v>
      </c>
      <c r="D1" t="s">
        <v>66</v>
      </c>
      <c r="E1" t="s">
        <v>67</v>
      </c>
      <c r="F1" t="s">
        <v>68</v>
      </c>
      <c r="G1" t="s">
        <v>69</v>
      </c>
      <c r="H1" t="s">
        <v>70</v>
      </c>
      <c r="I1" t="s">
        <v>71</v>
      </c>
      <c r="J1" t="s">
        <v>72</v>
      </c>
      <c r="K1" t="s">
        <v>73</v>
      </c>
      <c r="L1" t="s">
        <v>74</v>
      </c>
      <c r="M1" t="s">
        <v>75</v>
      </c>
      <c r="N1" t="s">
        <v>76</v>
      </c>
      <c r="O1" t="s">
        <v>77</v>
      </c>
      <c r="P1" t="s">
        <v>78</v>
      </c>
      <c r="Q1" t="s">
        <v>79</v>
      </c>
      <c r="R1" t="s">
        <v>80</v>
      </c>
      <c r="S1" t="s">
        <v>81</v>
      </c>
      <c r="T1" t="s">
        <v>82</v>
      </c>
      <c r="U1" t="s">
        <v>83</v>
      </c>
      <c r="V1" t="s">
        <v>84</v>
      </c>
      <c r="W1" t="s">
        <v>85</v>
      </c>
    </row>
    <row r="2" spans="1:23" x14ac:dyDescent="0.45">
      <c r="A2" t="s">
        <v>86</v>
      </c>
      <c r="B2" t="s">
        <v>86</v>
      </c>
      <c r="C2" t="s">
        <v>86</v>
      </c>
      <c r="D2" t="s">
        <v>86</v>
      </c>
      <c r="E2" t="s">
        <v>86</v>
      </c>
      <c r="F2" s="2">
        <v>0</v>
      </c>
      <c r="G2" t="s">
        <v>86</v>
      </c>
      <c r="H2" t="s">
        <v>86</v>
      </c>
      <c r="I2" t="s">
        <v>86</v>
      </c>
      <c r="J2" t="s">
        <v>86</v>
      </c>
      <c r="K2" t="s">
        <v>86</v>
      </c>
      <c r="L2" t="s">
        <v>86</v>
      </c>
      <c r="M2" t="s">
        <v>86</v>
      </c>
      <c r="N2" t="s">
        <v>86</v>
      </c>
      <c r="O2" s="2">
        <v>0</v>
      </c>
      <c r="P2" s="2">
        <v>0</v>
      </c>
      <c r="Q2" s="2">
        <v>0</v>
      </c>
      <c r="R2" s="2">
        <v>0</v>
      </c>
      <c r="S2" s="2">
        <v>0</v>
      </c>
      <c r="T2" s="2">
        <v>0</v>
      </c>
      <c r="U2" s="2">
        <v>0</v>
      </c>
      <c r="V2" t="s">
        <v>86</v>
      </c>
      <c r="W2" s="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5" x14ac:dyDescent="0.45"/>
  <cols>
    <col min="1" max="1" width="16.9140625" customWidth="1"/>
    <col min="2" max="2" width="11.4140625" customWidth="1"/>
  </cols>
  <sheetData>
    <row r="1" spans="1:3" x14ac:dyDescent="0.45">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B2"/>
    </sheetView>
  </sheetViews>
  <sheetFormatPr defaultRowHeight="16.5" x14ac:dyDescent="0.45"/>
  <cols>
    <col min="1" max="1" width="10.1640625" customWidth="1"/>
    <col min="2" max="2" width="17.41406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5" x14ac:dyDescent="0.45"/>
  <cols>
    <col min="1" max="1" width="25.6640625" customWidth="1"/>
    <col min="2" max="2" width="40.6640625" customWidth="1"/>
    <col min="3" max="3" width="5.6640625" customWidth="1"/>
    <col min="4" max="4" width="25.6640625" customWidth="1"/>
    <col min="5" max="5" width="40.6640625" customWidth="1"/>
    <col min="6" max="6" width="5.6640625" customWidth="1"/>
    <col min="7" max="7" width="25.6640625" customWidth="1"/>
    <col min="8" max="8" width="40.6640625" customWidth="1"/>
    <col min="9" max="9" width="5.6640625" customWidth="1"/>
    <col min="10" max="10" width="40.6640625" customWidth="1"/>
    <col min="11" max="11" width="25.66406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F4C49C-0E12-4AC1-822B-993535D14B6C}">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$InventoryPurchOrdersPrintLbl$</vt:lpstr>
      <vt:lpstr>$InvPurchOrdersAnalysisLbl$</vt:lpstr>
      <vt:lpstr>$AboutTheReportLbl$</vt:lpstr>
      <vt:lpstr>InventoryPurchaseOrders_Query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Dan Williams</cp:lastModifiedBy>
  <cp:lastPrinted>2025-11-06T22:44:38Z</cp:lastPrinted>
  <dcterms:modified xsi:type="dcterms:W3CDTF">2025-11-17T03:12:02Z</dcterms:modified>
</cp:coreProperties>
</file>
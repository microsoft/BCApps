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aniel.williams\Source\Gold\Yellowstone.Dan\app\Inventory\Reports\"/>
    </mc:Choice>
  </mc:AlternateContent>
  <xr:revisionPtr revIDLastSave="0" documentId="13_ncr:1_{8882F7BC-D27C-45CE-92F4-577D5E798164}" xr6:coauthVersionLast="47" xr6:coauthVersionMax="47" xr10:uidLastSave="{00000000-0000-0000-0000-000000000000}"/>
  <bookViews>
    <workbookView xWindow="11928" yWindow="-17388" windowWidth="30936" windowHeight="16776" xr2:uid="{00000000-000D-0000-FFFF-FFFF00000000}"/>
  </bookViews>
  <sheets>
    <sheet name="$InvValInvoicedPrintLbl$" sheetId="14" r:id="rId1"/>
    <sheet name="$InvValExpectedPrintLbl$" sheetId="12" r:id="rId2"/>
    <sheet name="$InvValTotalPrintLbl$" sheetId="15" r:id="rId3"/>
    <sheet name="$InventoryValuationAnalysisLbl$" sheetId="10" r:id="rId4"/>
    <sheet name="$AboutTheReportLbl$" sheetId="5" r:id="rId5"/>
    <sheet name="InventoryValuation_Query" sheetId="8" state="hidden" r:id="rId6"/>
    <sheet name="Data" sheetId="1" state="hidden" r:id="rId7"/>
    <sheet name="TranslationData" sheetId="2" state="hidden" r:id="rId8"/>
    <sheet name="CaptionData" sheetId="3" state="hidden" r:id="rId9"/>
    <sheet name="Aggregated Metadata" sheetId="4" state="hidden" r:id="rId10"/>
  </sheets>
  <definedNames>
    <definedName name="EndDateText" localSheetId="3">_xlfn.XLOOKUP("EndDateText", ReportRequestPageValues[Request Page Option], ReportRequestPageValues[Request Page Option Value])</definedName>
    <definedName name="EndDateText" localSheetId="1">_xlfn.XLOOKUP("EndDateText", ReportRequestPageValues[Request Page Option], ReportRequestPageValues[Request Page Option Value])</definedName>
    <definedName name="EndDateText" localSheetId="0">_xlfn.XLOOKUP("EndDateText", ReportRequestPageValues[Request Page Option], ReportRequestPageValues[Request Page Option Value])</definedName>
    <definedName name="EndDateText" localSheetId="2">_xlfn.XLOOKUP("EndDateText", ReportRequestPageValues[Request Page Option], ReportRequestPageValues[Request Page Option Value])</definedName>
    <definedName name="EndDateText">_xlfn.XLOOKUP("EndDateText", ReportRequestPageValues[Request Page Option], ReportRequestPageValues[Request Page Option Value])</definedName>
    <definedName name="ExternalData_1" localSheetId="5" hidden="1">InventoryValuation_Query!$A$1:$AH$2</definedName>
    <definedName name="ItemFilterHeading" localSheetId="3">_xlfn.XLOOKUP("ItemFilterHeading", ReportRequestPageValues[Request Page Option], ReportRequestPageValues[Request Page Option Value])</definedName>
    <definedName name="ItemFilterHeading" localSheetId="1">_xlfn.XLOOKUP("ItemFilterHeading", ReportRequestPageValues[Request Page Option], ReportRequestPageValues[Request Page Option Value])</definedName>
    <definedName name="ItemFilterHeading" localSheetId="0">_xlfn.XLOOKUP("ItemFilterHeading", ReportRequestPageValues[Request Page Option], ReportRequestPageValues[Request Page Option Value])</definedName>
    <definedName name="ItemFilterHeading" localSheetId="2">_xlfn.XLOOKUP("ItemFilterHeading", ReportRequestPageValues[Request Page Option], ReportRequestPageValues[Request Page Option Value])</definedName>
    <definedName name="ItemFilterHeading">_xlfn.XLOOKUP("ItemFilterHeading", ReportRequestPageValues[Request Page Option], ReportRequestPageValues[Request Page Option Value])</definedName>
    <definedName name="ReportMetadata.AboutThisReportText" comment="Use this function to get the About This Report Text from the ReportMetadataValues table in the Aggregated Metadata worksheet" localSheetId="3">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 localSheetId="0">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 localSheetId="2">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3">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0">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2">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3">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 localSheetId="0">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 localSheetId="2">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3">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 localSheetId="0">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 localSheetId="2">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3">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0">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2">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3">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0">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2">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3">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0">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2">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3">_xlfn.XLOOKUP("Object ID",ReportMetadataValues[[#All],[Report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 localSheetId="0">_xlfn.XLOOKUP("Object ID",ReportMetadataValues[[#All],[Report Property]],ReportMetadataValues[[#All],[Report Property Value]],"none")</definedName>
    <definedName name="ReportMetadata.ObjectID" comment="Use this function to get the Object ID from the ReportMetadataValues table in the Aggregated Metadata worksheet" localSheetId="2">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3">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 localSheetId="0">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 localSheetId="2">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3">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0">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2">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3">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 localSheetId="0">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 localSheetId="2">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3">_xlfn.XLOOKUP("Company Id",ReportRequestValues[[#All],[Request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 localSheetId="0">_xlfn.XLOOKUP("Company Id",ReportRequestValues[[#All],[Request Property]],ReportRequestValues[[#All],[Request Property Value]],"none")</definedName>
    <definedName name="ReportRequest.CompanyId" comment="Use this function to get the Company Id from the ReportRequestValues table in the Aggregated Metadata worksheet" localSheetId="2">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3">_xlfn.XLOOKUP("Company name",ReportRequestValues[[#All],[Request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localSheetId="0">_xlfn.XLOOKUP("Company name",ReportRequestValues[[#All],[Request Property]],ReportRequestValues[[#All],[Request Property Value]],"none")</definedName>
    <definedName name="ReportRequest.CompanyName" localSheetId="2">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3">_xlfn.XLOOKUP("Date",ReportRequestValues[[#All],[Request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 localSheetId="0">_xlfn.XLOOKUP("Date",ReportRequestValues[[#All],[Request Property]],ReportRequestValues[[#All],[Request Property Value]],"none")</definedName>
    <definedName name="ReportRequest.Date" comment="Use this function to get the Date from the ReportRequestValues table in the Aggregated Metadata worksheet" localSheetId="2">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3">_xlfn.XLOOKUP("Date (Local)",ReportRequestValues[[#All],[Request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localSheetId="0">_xlfn.XLOOKUP("Date (Local)",ReportRequestValues[[#All],[Request Property]],ReportRequestValues[[#All],[Request Property Value]],"none")</definedName>
    <definedName name="ReportRequest.DateLocal" localSheetId="2">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3">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0">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2">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3">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0">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2">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3">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 localSheetId="0">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 localSheetId="2">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3">_xlfn.XLOOKUP("Language",ReportRequestValues[[#All],[Request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 localSheetId="0">_xlfn.XLOOKUP("Language",ReportRequestValues[[#All],[Request Property]],ReportRequestValues[[#All],[Request Property Value]],"none")</definedName>
    <definedName name="ReportRequest.Language" comment="Use this function to get the Language from the ReportRequestValues table in the Aggregated Metadata worksheet" localSheetId="2">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3">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 localSheetId="0">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 localSheetId="2">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3">_xlfn.XLOOKUP("Layout id",ReportRequestValues[[#All],[Request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 localSheetId="0">_xlfn.XLOOKUP("Layout id",ReportRequestValues[[#All],[Request Property]],ReportRequestValues[[#All],[Request Property Value]],"none")</definedName>
    <definedName name="ReportRequest.LayoutId" comment="Use this function to get the Layout id from the ReportRequestValues table in the Aggregated Metadata worksheet" localSheetId="2">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3">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 localSheetId="0">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 localSheetId="2">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3">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 localSheetId="0">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 localSheetId="2">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3">_xlfn.XLOOKUP("Tenant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 localSheetId="0">_xlfn.XLOOKUP("Tenant Id",ReportRequestValues[[#All],[Request Property]],ReportRequestValues[[#All],[Request Property Value]],"none")</definedName>
    <definedName name="ReportRequest.TenantId" comment="Use this function to get the Tenant Id from the ReportRequestValues table in the Aggregated Metadata worksheet" localSheetId="2">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3">_xlfn.XLOOKUP("User name",ReportRequestValues[[#All],[Request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 localSheetId="0">_xlfn.XLOOKUP("User name",ReportRequestValues[[#All],[Request Property]],ReportRequestValues[[#All],[Request Property Value]],"none")</definedName>
    <definedName name="ReportRequest.UserName" comment="Use this function to get the User name from the ReportRequestValues table in the Aggregated Metadata worksheet" localSheetId="2">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3">_xlfn.XLOOKUP("UTC Offset",ReportRequestValues[[#All],[Request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 localSheetId="0">_xlfn.XLOOKUP("UTC Offset",ReportRequestValues[[#All],[Request Property]],ReportRequestValues[[#All],[Request Property Value]],"none")</definedName>
    <definedName name="ReportRequest.UTCOffset" comment="Use this function to get the UTC Offset from the ReportRequestValues table in the Aggregated Metadata worksheet" localSheetId="2">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howExpected" localSheetId="1">_xlfn.XLOOKUP("ShowExpected", ReportRequestPageValues[Request Page Option], ReportRequestPageValues[Request Page Option Value])</definedName>
    <definedName name="ShowExpected" localSheetId="0">_xlfn.XLOOKUP("ShowExpected", ReportRequestPageValues[Request Page Option], ReportRequestPageValues[Request Page Option Value])</definedName>
    <definedName name="ShowExpected" localSheetId="2">_xlfn.XLOOKUP("ShowExpected", ReportRequestPageValues[Request Page Option], ReportRequestPageValues[Request Page Option Value])</definedName>
    <definedName name="ShowExpected">_xlfn.XLOOKUP("ShowExpected", ReportRequestPageValues[Request Page Option], ReportRequestPageValues[Request Page Option Value])</definedName>
    <definedName name="Slicer_Item_Inventory_Posting_Group">#N/A</definedName>
    <definedName name="Slicer_ItemDescription">#N/A</definedName>
    <definedName name="Slicer_ItemNo">#N/A</definedName>
    <definedName name="StartDateText" localSheetId="3">_xlfn.XLOOKUP("StartDateText", ReportRequestPageValues[Request Page Option], ReportRequestPageValues[Request Page Option Value])</definedName>
    <definedName name="StartDateText" localSheetId="1">_xlfn.XLOOKUP("StartDateText", ReportRequestPageValues[Request Page Option], ReportRequestPageValues[Request Page Option Value])</definedName>
    <definedName name="StartDateText" localSheetId="0">_xlfn.XLOOKUP("StartDateText", ReportRequestPageValues[Request Page Option], ReportRequestPageValues[Request Page Option Value])</definedName>
    <definedName name="StartDateText" localSheetId="2">_xlfn.XLOOKUP("StartDateText", ReportRequestPageValues[Request Page Option], ReportRequestPageValues[Request Page Option Value])</definedName>
    <definedName name="StartDateText">_xlfn.XLOOKUP("StartDateText", ReportRequestPageValues[Request Page Option], ReportRequestPageValues[Request Page Option Value])</definedName>
  </definedNames>
  <calcPr calcId="191029"/>
  <pivotCaches>
    <pivotCache cacheId="7"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5" l="1"/>
  <c r="F7" i="15"/>
  <c r="L7" i="12"/>
  <c r="F7" i="12"/>
  <c r="L6" i="14"/>
  <c r="F6" i="14"/>
  <c r="B5" i="15" a="1"/>
  <c r="B5" i="15" s="1"/>
  <c r="O4" i="15" a="1"/>
  <c r="O4" i="15" s="1"/>
  <c r="N4" i="15" a="1"/>
  <c r="N4" i="15" s="1"/>
  <c r="B4" i="15" a="1"/>
  <c r="B4" i="15" s="1"/>
  <c r="O2" i="15" a="1"/>
  <c r="O2" i="15" s="1"/>
  <c r="O4" i="14" a="1"/>
  <c r="O4" i="14" s="1"/>
  <c r="N4" i="14" a="1"/>
  <c r="N4" i="14" s="1"/>
  <c r="B4" i="14" a="1"/>
  <c r="B4" i="14" s="1"/>
  <c r="O2" i="14" a="1"/>
  <c r="O2" i="14" s="1"/>
  <c r="O4" i="12" a="1"/>
  <c r="O4" i="12" s="1"/>
  <c r="N4" i="12" a="1"/>
  <c r="N4" i="12" s="1"/>
  <c r="O2" i="12" a="1"/>
  <c r="O2" i="12" s="1"/>
  <c r="B5" i="12" a="1"/>
  <c r="B5" i="12" s="1"/>
  <c r="B4" i="12" a="1"/>
  <c r="B4" i="12" s="1"/>
  <c r="X1" i="10"/>
  <c r="F1" i="10"/>
  <c r="B6" i="5" a="1"/>
  <c r="B6" i="5" s="1"/>
  <c r="B5" i="5" a="1"/>
  <c r="B5" i="5" s="1"/>
  <c r="B4" i="5" a="1"/>
  <c r="B4" i="5" s="1"/>
  <c r="B3" i="5" a="1"/>
  <c r="B3" i="5" s="1"/>
  <c r="B2" i="5" a="1"/>
  <c r="B2" i="5" s="1"/>
  <c r="B1" i="5" a="1"/>
  <c r="B1" i="5" s="1"/>
  <c r="B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2360A9-FED5-4AAE-BF03-53C9D0E624B6}" keepAlive="1" name="Query - InventoryValuation_Query" description="Connection to the 'InventoryValuation_Query' query in the workbook." type="5" refreshedVersion="8" refreshOnLoad="1" saveData="1">
    <dbPr connection="Provider=Microsoft.Mashup.OleDb.1;Data Source=$Workbook$;Location=InventoryValuation_Query;Extended Properties=&quot;&quot;" command="SELECT * FROM [InventoryValuation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<sst xmlns="http://schemas.openxmlformats.org/spreadsheetml/2006/main" count="260" uniqueCount="151">
  <si>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</si>
  <si>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</si>
  <si>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</si>
  <si>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</si>
  <si>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</si>
  <si>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</si>
  <si>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</si>
  <si>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</si>
  <si>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</si>
  <si>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</si>
  <si>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</si>
  <si>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</si>
  <si>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</si>
  <si>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</si>
  <si>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</si>
  <si>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</si>
  <si>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</si>
  <si>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</si>
  <si>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</si>
  <si>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</si>
  <si>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</si>
  <si>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</si>
  <si>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</si>
  <si>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</si>
  <si>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</si>
  <si>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</si>
  <si>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</si>
  <si>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</si>
  <si>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</si>
  <si>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</si>
  <si>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</si>
  <si>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</si>
  <si>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</si>
  <si>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</si>
  <si>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</si>
  <si>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</si>
  <si>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</si>
  <si>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</si>
  <si>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</si>
  <si>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</si>
  <si>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</si>
  <si>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</si>
  <si>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</si>
  <si>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</si>
  <si>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</si>
  <si>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</si>
  <si>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</si>
  <si>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</si>
  <si>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</si>
  <si>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</si>
  <si>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</si>
  <si>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</si>
  <si>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</si>
  <si>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</si>
  <si>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</si>
  <si>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</si>
  <si>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</si>
  <si>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</si>
  <si>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</si>
  <si>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</si>
  <si>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</si>
  <si>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</si>
  <si>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</si>
  <si>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</si>
  <si>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ShowExpected</t>
  </si>
  <si>
    <t>ItemFilter</t>
  </si>
  <si>
    <t>ItemNo</t>
  </si>
  <si>
    <t>ItemDescription</t>
  </si>
  <si>
    <t>ItemBaseUnitofMeasure</t>
  </si>
  <si>
    <t>Item_Inventory_Posting_Group</t>
  </si>
  <si>
    <t>StartingInvoicedValue</t>
  </si>
  <si>
    <t>StartingInvoicedQty</t>
  </si>
  <si>
    <t>StartingExpectedValue</t>
  </si>
  <si>
    <t>StartingExpectedQty</t>
  </si>
  <si>
    <t>IncreaseInvoicedValue</t>
  </si>
  <si>
    <t>IncreaseInvoicedQty</t>
  </si>
  <si>
    <t>IncreaseExpectedValue</t>
  </si>
  <si>
    <t>IncreaseExpectedQty</t>
  </si>
  <si>
    <t>DecreaseInvoicedValue</t>
  </si>
  <si>
    <t>DecreaseInvoicedQty</t>
  </si>
  <si>
    <t>DecreaseExpectedValue</t>
  </si>
  <si>
    <t>DecreaseExpectedQty</t>
  </si>
  <si>
    <t>EndingInvoicedValue</t>
  </si>
  <si>
    <t>EndingInvoicedQty</t>
  </si>
  <si>
    <t>EndingExpectedValue</t>
  </si>
  <si>
    <t>EndingExpectedQty</t>
  </si>
  <si>
    <t>CostPostedToGL</t>
  </si>
  <si>
    <t>InvCostPostedToGL</t>
  </si>
  <si>
    <t>ExpCostPostedToGL</t>
  </si>
  <si>
    <t>False</t>
  </si>
  <si>
    <t/>
  </si>
  <si>
    <t>$EnvironmentLbl$</t>
  </si>
  <si>
    <t>$CompanyLbl$</t>
  </si>
  <si>
    <t>$UserLbl$</t>
  </si>
  <si>
    <t>$RunOnLbl$</t>
  </si>
  <si>
    <t>$ReportNameLbl$</t>
  </si>
  <si>
    <t>$DocumentationLbl$</t>
  </si>
  <si>
    <t>$ItemNoLbl$</t>
  </si>
  <si>
    <t>Grand Total</t>
  </si>
  <si>
    <t>$IncreasesLbl$</t>
  </si>
  <si>
    <t>$DecreasesLbl$</t>
  </si>
  <si>
    <t>$ExpectedLbl$</t>
  </si>
  <si>
    <t>$Item_Inventory_Posting_Group$</t>
  </si>
  <si>
    <t>$BaseUoMLbl$</t>
  </si>
  <si>
    <t>$InvoicedLbl$</t>
  </si>
  <si>
    <t>$Value1Lbl$</t>
  </si>
  <si>
    <t>$Quantity1Lbl$</t>
  </si>
  <si>
    <t>$Value2Lbl$</t>
  </si>
  <si>
    <t>$Quantity2Lbl$</t>
  </si>
  <si>
    <t>$Quantity3Lbl$</t>
  </si>
  <si>
    <t>$Quantity4Lbl$</t>
  </si>
  <si>
    <t>$Quantity5Lbl$</t>
  </si>
  <si>
    <t>$Quantity6Lbl$</t>
  </si>
  <si>
    <t>$Quantity7Lbl$</t>
  </si>
  <si>
    <t>$Quantity8Lbl$</t>
  </si>
  <si>
    <t>$InvCostPostedToGLLbl$</t>
  </si>
  <si>
    <t>$ExpCostPostedToGLLbl$</t>
  </si>
  <si>
    <t>$Value3Lbl$</t>
  </si>
  <si>
    <t>$Value4Lbl$</t>
  </si>
  <si>
    <t>$Value5Lbl$</t>
  </si>
  <si>
    <t>$Value6Lbl$</t>
  </si>
  <si>
    <t>$Value7Lbl$</t>
  </si>
  <si>
    <t>$Value8Lbl$</t>
  </si>
  <si>
    <t>$InvValExpectedLbl$</t>
  </si>
  <si>
    <t>$ItemDescLbl$</t>
  </si>
  <si>
    <t>StartingExpectedNotInvoicedValue</t>
  </si>
  <si>
    <t>StartingExpectedNotInvoicedQty</t>
  </si>
  <si>
    <t>IncreaseExpectedNotInvoicedValue</t>
  </si>
  <si>
    <t>IncreaseExpectedNotInvoicedQty</t>
  </si>
  <si>
    <t>DecreaseExpectedNotInvoicedValue</t>
  </si>
  <si>
    <t>DecreaseExpectedNotInvoicedQty</t>
  </si>
  <si>
    <t>EndingExpectedNotInvoicedValue</t>
  </si>
  <si>
    <t>EndingExpectedNotInvoicedQty</t>
  </si>
  <si>
    <t>$TotalLbl$</t>
  </si>
  <si>
    <t>$Value9Lbl$</t>
  </si>
  <si>
    <t>$Quantity9Lbl$</t>
  </si>
  <si>
    <t>$Value10Lbl$</t>
  </si>
  <si>
    <t>$Quantity10Lbl$</t>
  </si>
  <si>
    <t>$Value11Lbl$</t>
  </si>
  <si>
    <t>$Quantity11Lbl$</t>
  </si>
  <si>
    <t>$Value12Lbl$</t>
  </si>
  <si>
    <t>$Quantity12Lbl$</t>
  </si>
  <si>
    <t>$TotalCostPostedToGLLbl$</t>
  </si>
  <si>
    <t>CostPostedToGLDifference</t>
  </si>
  <si>
    <t>InvCostPostedToGLDifference</t>
  </si>
  <si>
    <t>ExpCostPostedToGLDifference</t>
  </si>
  <si>
    <t>$InvDifferenceLbl$</t>
  </si>
  <si>
    <t>$ExpDifferenceLbl$</t>
  </si>
  <si>
    <t>$TotalDifferenceLbl$</t>
  </si>
  <si>
    <t>$InvValTotalLbl$</t>
  </si>
  <si>
    <t>$InvValInvoicedLbl$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</si>
</sst>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4" x14ac:knownFonts="1">
    <font>
      <sz val="11"/>
      <name val="Segoe UI"/>
      <family val="2"/>
      <scheme val="minor"/>
    </font>
    <font>
      <sz val="11"/>
      <color theme="1"/>
      <name val="Segoe UI"/>
      <family val="2"/>
      <scheme val="minor"/>
    </font>
    <font>
      <b/>
      <sz val="11"/>
      <name val="Segoe UI"/>
      <family val="2"/>
      <scheme val="minor"/>
    </font>
    <font>
      <u/>
      <sz val="11"/>
      <color rgb="FF00838F"/>
      <name val="Segoe UI"/>
      <family val="2"/>
      <scheme val="minor"/>
    </font>
    <font>
      <sz val="10"/>
      <color theme="1"/>
      <name val="Segoe UI Semibold"/>
      <family val="2"/>
      <scheme val="major"/>
    </font>
    <font>
      <sz val="10"/>
      <name val="Segoe UI"/>
      <family val="2"/>
      <scheme val="minor"/>
    </font>
    <font>
      <u/>
      <sz val="10"/>
      <color rgb="FF00838F"/>
      <name val="Segoe UI"/>
      <family val="2"/>
      <scheme val="minor"/>
    </font>
    <font>
      <sz val="14"/>
      <name val="Segoe UI"/>
      <family val="2"/>
      <scheme val="minor"/>
    </font>
    <font>
      <b/>
      <sz val="13"/>
      <color theme="1"/>
      <name val="Segoe UI"/>
      <family val="2"/>
      <scheme val="minor"/>
    </font>
    <font>
      <b/>
      <sz val="10"/>
      <color theme="1"/>
      <name val="Segoe UI Semibold"/>
      <family val="2"/>
      <scheme val="major"/>
    </font>
    <font>
      <sz val="10"/>
      <color rgb="FF212121"/>
      <name val="Segoe UI"/>
      <family val="2"/>
      <scheme val="minor"/>
    </font>
    <font>
      <b/>
      <sz val="18"/>
      <color rgb="FF212121"/>
      <name val="Segoe UI Semibold"/>
      <family val="2"/>
      <scheme val="major"/>
    </font>
    <font>
      <sz val="8"/>
      <name val="Segoe UI"/>
      <family val="2"/>
      <scheme val="minor"/>
    </font>
    <font>
      <sz val="10"/>
      <name val="Segoe UI Semibold"/>
      <scheme val="major"/>
    </font>
  </fonts>
  <fills count="4">
    <fill>
      <patternFill patternType="none"/>
    </fill>
    <fill>
      <patternFill patternType="gray125"/>
    </fill>
    <fill>
      <patternFill patternType="solid">
        <fgColor rgb="FFC0C0C0"/>
        <bgColor indexed="64"/>
      </patternFill>
    </fill>
    <fill>
      <patternFill patternType="solid">
        <fgColor theme="5"/>
        <bgColor indexed="64"/>
      </patternFill>
    </fill>
  </fills>
  <borders count="4">
    <border>
      <left/>
      <right/>
      <top/>
      <bottom/>
      <diagonal/>
    </border>
    <border>
      <left/>
      <right/>
      <top/>
      <bottom style="thick">
        <color theme="4" tint="0.499984740745262"/>
      </bottom>
      <diagonal/>
    </border>
    <border>
      <left/>
      <right/>
      <top style="thin">
        <color theme="4"/>
      </top>
      <bottom style="thin">
        <color theme="4"/>
      </bottom>
      <diagonal/>
    </border>
    <border>
      <left/>
      <right/>
      <top style="thin">
        <color theme="4"/>
      </top>
      <bottom/>
      <diagonal/>
    </border>
  </borders>
  <cellStyleXfs count="4">
    <xf numFmtId="0" fontId="0" fillId="0" borderId="0"/>
    <xf numFmtId="0" fontId="3" fillId="0" borderId="0" applyNumberFormat="0" applyFill="0" applyBorder="0" applyAlignment="0" applyProtection="0"/>
    <xf numFmtId="0" fontId="8" fillId="0" borderId="1" applyNumberFormat="0" applyFill="0" applyAlignment="0" applyProtection="0"/>
    <xf numFmtId="0" fontId="1" fillId="0" borderId="0"/>
  </cellStyleXfs>
  <cellXfs count="25">
    <xf numFmtId="0" fontId="0" fillId="0" borderId="0" xfId="0"/>
    <xf numFmtId="49" fontId="2" fillId="2" borderId="0" xfId="0" applyNumberFormat="1" applyFont="1" applyFill="1"/>
    <xf numFmtId="4" fontId="0" fillId="0" borderId="0" xfId="0" applyNumberFormat="1"/>
    <xf numFmtId="0" fontId="4" fillId="0" borderId="0" xfId="0" applyFont="1" applyAlignment="1">
      <alignment vertical="center"/>
    </xf>
    <xf numFmtId="0" fontId="5" fillId="0" borderId="0" xfId="0" applyFont="1" applyAlignment="1">
      <alignment horizontal="left" vertical="center"/>
    </xf>
    <xf numFmtId="164" fontId="5" fillId="0" borderId="0" xfId="0" applyNumberFormat="1" applyFont="1" applyAlignment="1">
      <alignment horizontal="left" vertical="center"/>
    </xf>
    <xf numFmtId="165" fontId="5" fillId="0" borderId="0" xfId="0" applyNumberFormat="1" applyFont="1" applyAlignment="1">
      <alignment horizontal="left" vertical="center"/>
    </xf>
    <xf numFmtId="0" fontId="6" fillId="0" borderId="0" xfId="1" applyFont="1"/>
    <xf numFmtId="0" fontId="5" fillId="0" borderId="0" xfId="0" applyFont="1" applyAlignment="1">
      <alignment vertical="center"/>
    </xf>
    <xf numFmtId="0" fontId="9" fillId="0" borderId="1" xfId="2" applyFont="1" applyAlignment="1">
      <alignment horizontal="right" vertical="center"/>
    </xf>
    <xf numFmtId="0" fontId="10" fillId="0" borderId="0" xfId="0" applyFont="1" applyAlignment="1">
      <alignment horizontal="right" vertical="center"/>
    </xf>
    <xf numFmtId="164" fontId="10" fillId="0" borderId="0" xfId="0" applyNumberFormat="1" applyFont="1" applyAlignment="1">
      <alignment horizontal="right" vertical="center"/>
    </xf>
    <xf numFmtId="0" fontId="11" fillId="0" borderId="0" xfId="3" applyFont="1" applyAlignment="1">
      <alignment vertical="center"/>
    </xf>
    <xf numFmtId="0" fontId="7" fillId="0" borderId="0" xfId="0" applyFont="1" applyAlignment="1">
      <alignment vertical="center"/>
    </xf>
    <xf numFmtId="0" fontId="4" fillId="3" borderId="2" xfId="0" applyFont="1" applyFill="1" applyBorder="1" applyAlignment="1">
      <alignment vertical="center"/>
    </xf>
    <xf numFmtId="0" fontId="0" fillId="0" borderId="0" xfId="0" applyAlignment="1">
      <alignment vertical="center"/>
    </xf>
    <xf numFmtId="49" fontId="2" fillId="2" borderId="0" xfId="0" applyNumberFormat="1" applyFont="1" applyFill="1" applyAlignment="1">
      <alignment vertical="center"/>
    </xf>
    <xf numFmtId="0" fontId="4" fillId="3" borderId="3" xfId="0" applyFont="1" applyFill="1" applyBorder="1" applyAlignment="1">
      <alignment vertical="center"/>
    </xf>
    <xf numFmtId="0" fontId="13" fillId="0" borderId="0" xfId="0" pivotButton="1" applyFont="1" applyAlignment="1">
      <alignment vertical="center"/>
    </xf>
    <xf numFmtId="0" fontId="13" fillId="0" borderId="0" xfId="0" applyFont="1" applyAlignment="1">
      <alignment horizontal="right" vertical="center"/>
    </xf>
    <xf numFmtId="0" fontId="4" fillId="3" borderId="3"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0" xfId="0" applyFont="1" applyFill="1" applyAlignment="1">
      <alignment horizontal="center" vertical="center"/>
    </xf>
    <xf numFmtId="0" fontId="5" fillId="0" borderId="0" xfId="0" applyNumberFormat="1" applyFont="1" applyAlignment="1">
      <alignment vertical="center"/>
    </xf>
    <xf numFmtId="0" fontId="13" fillId="0" borderId="0" xfId="0" applyFont="1" applyFill="1" applyAlignment="1">
      <alignment horizontal="right" vertical="center"/>
    </xf>
  </cellXfs>
  <cellStyles count="4">
    <cellStyle name="Heading 2 2" xfId="2" xr:uid="{474D6A3B-4473-4090-8B4B-91DC549C05FF}"/>
    <cellStyle name="Hyperlink" xfId="1" builtinId="8"/>
    <cellStyle name="Normal" xfId="0" builtinId="0"/>
    <cellStyle name="Normal 2" xfId="3" xr:uid="{DFF03894-D91D-4304-BD8B-DA349DB207C9}"/>
  </cellStyles>
  <dxfs count="500">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horizontal="right"/>
    </dxf>
    <dxf>
      <fill>
        <patternFill patternType="solid">
          <bgColor theme="4"/>
        </patternFill>
      </fill>
    </dxf>
    <dxf>
      <fill>
        <patternFill patternType="solid">
          <bgColor theme="4"/>
        </patternFill>
      </fill>
    </dxf>
    <dxf>
      <font>
        <b val="0"/>
      </font>
    </dxf>
    <dxf>
      <font>
        <b val="0"/>
      </font>
    </dxf>
    <dxf>
      <font>
        <sz val="10"/>
      </font>
    </dxf>
    <dxf>
      <font>
        <sz val="10"/>
      </font>
    </dxf>
    <dxf>
      <alignment vertical="center"/>
    </dxf>
    <dxf>
      <alignment vertical="center"/>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font>
        <sz val="10"/>
      </font>
      <fill>
        <patternFill patternType="solid">
          <fgColor indexed="64"/>
          <bgColor theme="4"/>
        </patternFill>
      </fill>
      <alignment horizontal="right"/>
    </dxf>
    <dxf>
      <font>
        <sz val="10"/>
      </font>
      <fill>
        <patternFill patternType="solid">
          <fgColor indexed="64"/>
          <bgColor theme="4"/>
        </patternFill>
      </fill>
      <alignment horizontal="right"/>
    </dxf>
    <dxf>
      <font>
        <sz val="10"/>
        <name val="Segoe UI Semibold"/>
        <scheme val="major"/>
      </font>
      <alignment horizontal="right" vertical="cent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righ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horizontal="right"/>
    </dxf>
    <dxf>
      <fill>
        <patternFill patternType="solid">
          <bgColor theme="4"/>
        </patternFill>
      </fill>
    </dxf>
    <dxf>
      <fill>
        <patternFill patternType="solid">
          <bgColor theme="4"/>
        </patternFill>
      </fill>
    </dxf>
    <dxf>
      <font>
        <b val="0"/>
      </font>
    </dxf>
    <dxf>
      <font>
        <b val="0"/>
      </font>
    </dxf>
    <dxf>
      <font>
        <sz val="10"/>
      </font>
    </dxf>
    <dxf>
      <font>
        <sz val="10"/>
      </font>
    </dxf>
    <dxf>
      <alignment vertical="center"/>
    </dxf>
    <dxf>
      <alignment vertical="center"/>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font>
        <sz val="10"/>
        <name val="Segoe UI Semibold"/>
        <scheme val="major"/>
      </font>
      <alignment horizontal="right" vertical="center"/>
    </dxf>
    <dxf>
      <fill>
        <patternFill patternType="none">
          <fgColor indexed="64"/>
          <bgColor indexed="65"/>
        </patternFill>
      </fill>
    </dxf>
    <dxf>
      <fill>
        <patternFill patternType="none">
          <fgColor indexed="64"/>
          <bgColor indexed="65"/>
        </patternFill>
      </fill>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horizontal="right"/>
    </dxf>
    <dxf>
      <font>
        <b val="0"/>
      </font>
    </dxf>
    <dxf>
      <font>
        <b val="0"/>
      </font>
    </dxf>
    <dxf>
      <font>
        <sz val="10"/>
      </font>
    </dxf>
    <dxf>
      <font>
        <sz val="10"/>
      </font>
    </dxf>
    <dxf>
      <alignment vertical="center"/>
    </dxf>
    <dxf>
      <alignment vertical="center"/>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font>
        <sz val="10"/>
      </font>
      <fill>
        <patternFill patternType="solid">
          <fgColor indexed="64"/>
          <bgColor theme="4"/>
        </patternFill>
      </fill>
      <alignment horizontal="right"/>
    </dxf>
    <dxf>
      <font>
        <sz val="10"/>
      </font>
      <fill>
        <patternFill patternType="solid">
          <fgColor indexed="64"/>
          <bgColor theme="4"/>
        </patternFill>
      </fill>
      <alignment horizontal="right"/>
    </dxf>
    <dxf>
      <font>
        <sz val="10"/>
        <name val="Segoe UI Semibold"/>
        <scheme val="major"/>
      </font>
      <alignment horizontal="right" vertical="center"/>
    </dxf>
    <dxf>
      <fill>
        <patternFill patternType="none">
          <fgColor indexed="64"/>
          <bgColor indexed="65"/>
        </patternFill>
      </fill>
    </dxf>
    <dxf>
      <fill>
        <patternFill patternType="none">
          <fgColor indexed="64"/>
          <bgColor indexed="65"/>
        </patternFill>
      </fill>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horizontal="right"/>
    </dxf>
    <dxf>
      <fill>
        <patternFill patternType="solid">
          <bgColor theme="4"/>
        </patternFill>
      </fill>
    </dxf>
    <dxf>
      <fill>
        <patternFill patternType="solid">
          <bgColor theme="4"/>
        </patternFill>
      </fill>
    </dxf>
    <dxf>
      <font>
        <b val="0"/>
      </font>
    </dxf>
    <dxf>
      <font>
        <b val="0"/>
      </font>
    </dxf>
    <dxf>
      <font>
        <sz val="10"/>
      </font>
    </dxf>
    <dxf>
      <font>
        <sz val="10"/>
      </font>
    </dxf>
    <dxf>
      <alignment vertical="center"/>
    </dxf>
    <dxf>
      <alignment vertical="center"/>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font>
        <sz val="10"/>
        <name val="Segoe UI Semibold"/>
        <scheme val="major"/>
      </font>
      <alignment horizontal="right" vertical="cent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font>
        <sz val="10"/>
      </font>
    </dxf>
    <dxf>
      <font>
        <sz val="10"/>
      </font>
    </dxf>
    <dxf>
      <font>
        <sz val="10"/>
      </font>
    </dxf>
    <dxf>
      <font>
        <sz val="10"/>
      </font>
    </dxf>
    <dxf>
      <font>
        <sz val="10"/>
      </font>
    </dxf>
    <dxf>
      <alignment horizontal="righ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sz val="10"/>
        <name val="Segoe UI Semibold"/>
        <scheme val="major"/>
      </font>
      <alignment horizontal="right" vertical="center"/>
    </dxf>
    <dxf>
      <font>
        <sz val="10"/>
      </font>
      <fill>
        <patternFill patternType="solid">
          <fgColor indexed="64"/>
          <bgColor theme="4"/>
        </patternFill>
      </fill>
      <alignment horizontal="right"/>
    </dxf>
    <dxf>
      <font>
        <sz val="10"/>
      </font>
      <fill>
        <patternFill patternType="solid">
          <fgColor indexed="64"/>
          <bgColor theme="4"/>
        </patternFill>
      </fill>
      <alignment horizontal="right"/>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alignment vertical="center"/>
    </dxf>
    <dxf>
      <alignment vertical="center"/>
    </dxf>
    <dxf>
      <font>
        <sz val="10"/>
      </font>
    </dxf>
    <dxf>
      <font>
        <sz val="10"/>
      </font>
    </dxf>
    <dxf>
      <font>
        <b val="0"/>
      </font>
    </dxf>
    <dxf>
      <font>
        <b val="0"/>
      </font>
    </dxf>
    <dxf>
      <fill>
        <patternFill patternType="solid">
          <bgColor theme="4"/>
        </patternFill>
      </fill>
    </dxf>
    <dxf>
      <fill>
        <patternFill patternType="solid">
          <bgColor theme="4"/>
        </patternFill>
      </fill>
    </dxf>
    <dxf>
      <alignment horizontal="right"/>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fill>
        <patternFill patternType="none">
          <fgColor indexed="64"/>
          <bgColor indexed="65"/>
        </patternFill>
      </fill>
    </dxf>
    <dxf>
      <fill>
        <patternFill patternType="none">
          <fgColor indexed="64"/>
          <bgColor indexed="65"/>
        </patternFill>
      </fill>
    </dxf>
    <dxf>
      <font>
        <sz val="10"/>
        <name val="Segoe UI Semibold"/>
        <scheme val="major"/>
      </font>
      <alignment horizontal="righ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alignment vertical="center"/>
    </dxf>
    <dxf>
      <alignment vertical="center"/>
    </dxf>
    <dxf>
      <font>
        <sz val="10"/>
      </font>
    </dxf>
    <dxf>
      <font>
        <sz val="10"/>
      </font>
    </dxf>
    <dxf>
      <font>
        <b val="0"/>
      </font>
    </dxf>
    <dxf>
      <font>
        <b val="0"/>
      </font>
    </dxf>
    <dxf>
      <fill>
        <patternFill patternType="solid">
          <bgColor theme="4"/>
        </patternFill>
      </fill>
    </dxf>
    <dxf>
      <fill>
        <patternFill patternType="solid">
          <bgColor theme="4"/>
        </patternFill>
      </fill>
    </dxf>
    <dxf>
      <alignment horizontal="right"/>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fill>
        <patternFill patternType="none">
          <fgColor indexed="64"/>
          <bgColor indexed="65"/>
        </patternFill>
      </fill>
    </dxf>
    <dxf>
      <fill>
        <patternFill patternType="none">
          <fgColor indexed="64"/>
          <bgColor indexed="65"/>
        </patternFill>
      </fill>
    </dxf>
    <dxf>
      <font>
        <sz val="10"/>
        <name val="Segoe UI Semibold"/>
        <scheme val="major"/>
      </font>
      <alignment horizontal="right" vertical="center"/>
    </dxf>
    <dxf>
      <font>
        <sz val="10"/>
      </font>
      <fill>
        <patternFill patternType="solid">
          <fgColor indexed="64"/>
          <bgColor theme="4"/>
        </patternFill>
      </fill>
      <alignment horizontal="right"/>
    </dxf>
    <dxf>
      <font>
        <sz val="10"/>
      </font>
      <fill>
        <patternFill patternType="solid">
          <fgColor indexed="64"/>
          <bgColor theme="4"/>
        </patternFill>
      </fill>
      <alignment horizontal="right"/>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alignment vertical="center"/>
    </dxf>
    <dxf>
      <alignment vertical="center"/>
    </dxf>
    <dxf>
      <font>
        <sz val="10"/>
      </font>
    </dxf>
    <dxf>
      <font>
        <sz val="10"/>
      </font>
    </dxf>
    <dxf>
      <font>
        <b val="0"/>
      </font>
    </dxf>
    <dxf>
      <font>
        <b val="0"/>
      </font>
    </dxf>
    <dxf>
      <alignment horizontal="right"/>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sz val="10"/>
        <name val="Segoe UI Semibold"/>
        <scheme val="major"/>
      </font>
      <alignment horizontal="righ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alignment vertical="center"/>
    </dxf>
    <dxf>
      <alignment vertical="center"/>
    </dxf>
    <dxf>
      <font>
        <sz val="10"/>
      </font>
    </dxf>
    <dxf>
      <font>
        <sz val="10"/>
      </font>
    </dxf>
    <dxf>
      <font>
        <b val="0"/>
      </font>
    </dxf>
    <dxf>
      <font>
        <b val="0"/>
      </font>
    </dxf>
    <dxf>
      <fill>
        <patternFill patternType="solid">
          <bgColor theme="4"/>
        </patternFill>
      </fill>
    </dxf>
    <dxf>
      <fill>
        <patternFill patternType="solid">
          <bgColor theme="4"/>
        </patternFill>
      </fill>
    </dxf>
    <dxf>
      <alignment horizontal="right"/>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4" xr9:uid="{0B7A211A-CDC3-4383-9AC2-0C32BA40E248}">
      <tableStyleElement type="wholeTable" dxfId="499"/>
      <tableStyleElement type="headerRow" dxfId="498"/>
      <tableStyleElement type="totalRow" dxfId="497"/>
      <tableStyleElement type="secondRowStripe" dxfId="496"/>
    </tableStyle>
    <tableStyle name="Business Central Reports Slicer Style (Template)" pivot="0" table="0" count="10" xr9:uid="{F7623932-165D-4FCD-84B4-2397A8CF198E}">
      <tableStyleElement type="wholeTable" dxfId="495"/>
      <tableStyleElement type="headerRow" dxfId="494"/>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1820540</xdr:colOff>
      <xdr:row>10</xdr:row>
      <xdr:rowOff>29360</xdr:rowOff>
    </xdr:to>
    <mc:AlternateContent xmlns:mc="http://schemas.openxmlformats.org/markup-compatibility/2006" xmlns:a14="http://schemas.microsoft.com/office/drawing/2010/main">
      <mc:Choice Requires="a14">
        <xdr:graphicFrame macro="">
          <xdr:nvGraphicFramePr>
            <xdr:cNvPr id="2" name="$ItemNoLbl$">
              <a:extLst>
                <a:ext uri="{FF2B5EF4-FFF2-40B4-BE49-F238E27FC236}">
                  <a16:creationId xmlns:a16="http://schemas.microsoft.com/office/drawing/2014/main" id="{E3B17068-A023-AC7B-B10C-FAEBD538395A}"/>
                </a:ext>
              </a:extLst>
            </xdr:cNvPr>
            <xdr:cNvGraphicFramePr/>
          </xdr:nvGraphicFramePr>
          <xdr:xfrm>
            <a:off x="0" y="0"/>
            <a:ext cx="0" cy="0"/>
          </xdr:xfrm>
          <a:graphic>
            <a:graphicData uri="http://schemas.microsoft.com/office/drawing/2010/slicer">
              <sle:slicer xmlns:sle="http://schemas.microsoft.com/office/drawing/2010/slicer" name="$ItemNoLbl$"/>
            </a:graphicData>
          </a:graphic>
        </xdr:graphicFrame>
      </mc:Choice>
      <mc:Fallback xmlns="">
        <xdr:sp macro="" textlink="">
          <xdr:nvSpPr>
            <xdr:cNvPr id="0" name=""/>
            <xdr:cNvSpPr>
              <a:spLocks noTextEdit="1"/>
            </xdr:cNvSpPr>
          </xdr:nvSpPr>
          <xdr:spPr>
            <a:xfrm>
              <a:off x="0" y="0"/>
              <a:ext cx="1821175"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1863725</xdr:colOff>
      <xdr:row>0</xdr:row>
      <xdr:rowOff>0</xdr:rowOff>
    </xdr:from>
    <xdr:to>
      <xdr:col>0</xdr:col>
      <xdr:colOff>3687440</xdr:colOff>
      <xdr:row>10</xdr:row>
      <xdr:rowOff>21105</xdr:rowOff>
    </xdr:to>
    <mc:AlternateContent xmlns:mc="http://schemas.openxmlformats.org/markup-compatibility/2006" xmlns:a14="http://schemas.microsoft.com/office/drawing/2010/main">
      <mc:Choice Requires="a14">
        <xdr:graphicFrame macro="">
          <xdr:nvGraphicFramePr>
            <xdr:cNvPr id="3" name="$ItemDescLbl$">
              <a:extLst>
                <a:ext uri="{FF2B5EF4-FFF2-40B4-BE49-F238E27FC236}">
                  <a16:creationId xmlns:a16="http://schemas.microsoft.com/office/drawing/2014/main" id="{EC0B5310-648C-4CCD-A750-13180E3167C1}"/>
                </a:ext>
              </a:extLst>
            </xdr:cNvPr>
            <xdr:cNvGraphicFramePr/>
          </xdr:nvGraphicFramePr>
          <xdr:xfrm>
            <a:off x="0" y="0"/>
            <a:ext cx="0" cy="0"/>
          </xdr:xfrm>
          <a:graphic>
            <a:graphicData uri="http://schemas.microsoft.com/office/drawing/2010/slicer">
              <sle:slicer xmlns:sle="http://schemas.microsoft.com/office/drawing/2010/slicer" name="$ItemDescLbl$"/>
            </a:graphicData>
          </a:graphic>
        </xdr:graphicFrame>
      </mc:Choice>
      <mc:Fallback xmlns="">
        <xdr:sp macro="" textlink="">
          <xdr:nvSpPr>
            <xdr:cNvPr id="0" name=""/>
            <xdr:cNvSpPr>
              <a:spLocks noTextEdit="1"/>
            </xdr:cNvSpPr>
          </xdr:nvSpPr>
          <xdr:spPr>
            <a:xfrm>
              <a:off x="1863725" y="0"/>
              <a:ext cx="1824350" cy="26068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10</xdr:row>
      <xdr:rowOff>69215</xdr:rowOff>
    </xdr:from>
    <xdr:to>
      <xdr:col>0</xdr:col>
      <xdr:colOff>1820540</xdr:colOff>
      <xdr:row>20</xdr:row>
      <xdr:rowOff>107465</xdr:rowOff>
    </xdr:to>
    <mc:AlternateContent xmlns:mc="http://schemas.openxmlformats.org/markup-compatibility/2006" xmlns:a14="http://schemas.microsoft.com/office/drawing/2010/main">
      <mc:Choice Requires="a14">
        <xdr:graphicFrame macro="">
          <xdr:nvGraphicFramePr>
            <xdr:cNvPr id="4" name="$Item_Inventory_Posting_Group$">
              <a:extLst>
                <a:ext uri="{FF2B5EF4-FFF2-40B4-BE49-F238E27FC236}">
                  <a16:creationId xmlns:a16="http://schemas.microsoft.com/office/drawing/2014/main" id="{F2FC26C7-EC3B-0874-F0B4-75DEB5B8A440}"/>
                </a:ext>
              </a:extLst>
            </xdr:cNvPr>
            <xdr:cNvGraphicFramePr/>
          </xdr:nvGraphicFramePr>
          <xdr:xfrm>
            <a:off x="0" y="0"/>
            <a:ext cx="0" cy="0"/>
          </xdr:xfrm>
          <a:graphic>
            <a:graphicData uri="http://schemas.microsoft.com/office/drawing/2010/slicer">
              <sle:slicer xmlns:sle="http://schemas.microsoft.com/office/drawing/2010/slicer" name="$Item_Inventory_Posting_Group$"/>
            </a:graphicData>
          </a:graphic>
        </xdr:graphicFrame>
      </mc:Choice>
      <mc:Fallback xmlns="">
        <xdr:sp macro="" textlink="">
          <xdr:nvSpPr>
            <xdr:cNvPr id="0" name=""/>
            <xdr:cNvSpPr>
              <a:spLocks noTextEdit="1"/>
            </xdr:cNvSpPr>
          </xdr:nvSpPr>
          <xdr:spPr>
            <a:xfrm>
              <a:off x="0" y="2654300"/>
              <a:ext cx="1821175"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6045.447660532409" createdVersion="8" refreshedVersion="8" minRefreshableVersion="3" recordCount="1" xr:uid="{86441726-90FB-4C80-881E-931574149917}">
  <cacheSource type="worksheet">
    <worksheetSource name="InventoryValuation_Query"/>
  </cacheSource>
  <cacheFields count="34">
    <cacheField name="ItemNo" numFmtId="0">
      <sharedItems count="1">
        <s v=""/>
      </sharedItems>
    </cacheField>
    <cacheField name="ItemDescription" numFmtId="0">
      <sharedItems count="1">
        <s v=""/>
      </sharedItems>
    </cacheField>
    <cacheField name="ItemBaseUnitofMeasure" numFmtId="0">
      <sharedItems count="1">
        <s v=""/>
      </sharedItems>
    </cacheField>
    <cacheField name="Item_Inventory_Posting_Group" numFmtId="0">
      <sharedItems count="1">
        <s v=""/>
      </sharedItems>
    </cacheField>
    <cacheField name="StartingInvoicedValue" numFmtId="0">
      <sharedItems containsSemiMixedTypes="0" containsString="0" containsNumber="1" containsInteger="1" minValue="0" maxValue="0"/>
    </cacheField>
    <cacheField name="StartingInvoicedQty" numFmtId="0">
      <sharedItems containsSemiMixedTypes="0" containsString="0" containsNumber="1" containsInteger="1" minValue="0" maxValue="0"/>
    </cacheField>
    <cacheField name="StartingExpectedValue" numFmtId="0">
      <sharedItems containsSemiMixedTypes="0" containsString="0" containsNumber="1" containsInteger="1" minValue="0" maxValue="0"/>
    </cacheField>
    <cacheField name="StartingExpectedQty" numFmtId="0">
      <sharedItems containsSemiMixedTypes="0" containsString="0" containsNumber="1" containsInteger="1" minValue="0" maxValue="0"/>
    </cacheField>
    <cacheField name="IncreaseInvoicedValue" numFmtId="0">
      <sharedItems containsSemiMixedTypes="0" containsString="0" containsNumber="1" containsInteger="1" minValue="0" maxValue="0"/>
    </cacheField>
    <cacheField name="IncreaseInvoicedQty" numFmtId="0">
      <sharedItems containsSemiMixedTypes="0" containsString="0" containsNumber="1" containsInteger="1" minValue="0" maxValue="0"/>
    </cacheField>
    <cacheField name="IncreaseExpectedValue" numFmtId="0">
      <sharedItems containsSemiMixedTypes="0" containsString="0" containsNumber="1" containsInteger="1" minValue="0" maxValue="0"/>
    </cacheField>
    <cacheField name="IncreaseExpectedQty" numFmtId="0">
      <sharedItems containsSemiMixedTypes="0" containsString="0" containsNumber="1" containsInteger="1" minValue="0" maxValue="0"/>
    </cacheField>
    <cacheField name="DecreaseInvoicedValue" numFmtId="0">
      <sharedItems containsSemiMixedTypes="0" containsString="0" containsNumber="1" containsInteger="1" minValue="0" maxValue="0"/>
    </cacheField>
    <cacheField name="DecreaseInvoicedQty" numFmtId="0">
      <sharedItems containsSemiMixedTypes="0" containsString="0" containsNumber="1" containsInteger="1" minValue="0" maxValue="0"/>
    </cacheField>
    <cacheField name="DecreaseExpectedValue" numFmtId="0">
      <sharedItems containsSemiMixedTypes="0" containsString="0" containsNumber="1" containsInteger="1" minValue="0" maxValue="0"/>
    </cacheField>
    <cacheField name="DecreaseExpectedQty" numFmtId="0">
      <sharedItems containsSemiMixedTypes="0" containsString="0" containsNumber="1" containsInteger="1" minValue="0" maxValue="0"/>
    </cacheField>
    <cacheField name="EndingInvoicedValue" numFmtId="0">
      <sharedItems containsSemiMixedTypes="0" containsString="0" containsNumber="1" containsInteger="1" minValue="0" maxValue="0"/>
    </cacheField>
    <cacheField name="EndingInvoicedQty" numFmtId="0">
      <sharedItems containsSemiMixedTypes="0" containsString="0" containsNumber="1" containsInteger="1" minValue="0" maxValue="0"/>
    </cacheField>
    <cacheField name="EndingExpectedValue" numFmtId="0">
      <sharedItems containsSemiMixedTypes="0" containsString="0" containsNumber="1" containsInteger="1" minValue="0" maxValue="0"/>
    </cacheField>
    <cacheField name="EndingExpectedQty" numFmtId="0">
      <sharedItems containsSemiMixedTypes="0" containsString="0" containsNumber="1" containsInteger="1" minValue="0" maxValue="0"/>
    </cacheField>
    <cacheField name="CostPostedToGL" numFmtId="0">
      <sharedItems containsSemiMixedTypes="0" containsString="0" containsNumber="1" containsInteger="1" minValue="0" maxValue="0"/>
    </cacheField>
    <cacheField name="InvCostPostedToGL" numFmtId="0">
      <sharedItems containsSemiMixedTypes="0" containsString="0" containsNumber="1" containsInteger="1" minValue="0" maxValue="0"/>
    </cacheField>
    <cacheField name="ExpCostPostedToGL" numFmtId="0">
      <sharedItems containsSemiMixedTypes="0" containsString="0" containsNumber="1" containsInteger="1" minValue="0" maxValue="0"/>
    </cacheField>
    <cacheField name="StartingExpectedNotInvoicedValue" numFmtId="0">
      <sharedItems containsSemiMixedTypes="0" containsString="0" containsNumber="1" containsInteger="1" minValue="0" maxValue="0"/>
    </cacheField>
    <cacheField name="StartingExpectedNotInvoicedQty" numFmtId="0">
      <sharedItems containsSemiMixedTypes="0" containsString="0" containsNumber="1" containsInteger="1" minValue="0" maxValue="0"/>
    </cacheField>
    <cacheField name="IncreaseExpectedNotInvoicedValue" numFmtId="0">
      <sharedItems containsSemiMixedTypes="0" containsString="0" containsNumber="1" containsInteger="1" minValue="0" maxValue="0"/>
    </cacheField>
    <cacheField name="IncreaseExpectedNotInvoicedQty" numFmtId="0">
      <sharedItems containsSemiMixedTypes="0" containsString="0" containsNumber="1" containsInteger="1" minValue="0" maxValue="0"/>
    </cacheField>
    <cacheField name="DecreaseExpectedNotInvoicedValue" numFmtId="0">
      <sharedItems containsSemiMixedTypes="0" containsString="0" containsNumber="1" containsInteger="1" minValue="0" maxValue="0"/>
    </cacheField>
    <cacheField name="DecreaseExpectedNotInvoicedQty" numFmtId="0">
      <sharedItems containsSemiMixedTypes="0" containsString="0" containsNumber="1" containsInteger="1" minValue="0" maxValue="0"/>
    </cacheField>
    <cacheField name="EndingExpectedNotInvoicedValue" numFmtId="0">
      <sharedItems containsSemiMixedTypes="0" containsString="0" containsNumber="1" containsInteger="1" minValue="0" maxValue="0"/>
    </cacheField>
    <cacheField name="EndingExpectedNotInvoicedQty" numFmtId="0">
      <sharedItems containsSemiMixedTypes="0" containsString="0" containsNumber="1" containsInteger="1" minValue="0" maxValue="0"/>
    </cacheField>
    <cacheField name="InvCostPostedToGLDifference" numFmtId="0">
      <sharedItems containsSemiMixedTypes="0" containsString="0" containsNumber="1" containsInteger="1" minValue="0" maxValue="0"/>
    </cacheField>
    <cacheField name="ExpCostPostedToGLDifference" numFmtId="0">
      <sharedItems containsSemiMixedTypes="0" containsString="0" containsNumber="1" containsInteger="1" minValue="0" maxValue="0"/>
    </cacheField>
    <cacheField name="CostPostedToGLDifference"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4532108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n v="0"/>
    <n v="0"/>
    <n v="0"/>
    <n v="0"/>
    <n v="0"/>
    <n v="0"/>
    <n v="0"/>
    <n v="0"/>
    <n v="0"/>
    <n v="0"/>
    <n v="0"/>
    <n v="0"/>
    <n v="0"/>
    <n v="0"/>
    <n v="0"/>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0121EC-48AC-4A07-BF54-F9D28B482B0F}" name="PivotTable1" cacheId="7"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7:O9" firstHeaderRow="0" firstDataRow="1" firstDataCol="4"/>
  <pivotFields count="34">
    <pivotField name="$ItemNoLbl$" axis="axisRow" compact="0" outline="0" showAll="0" defaultSubtotal="0">
      <items count="1">
        <item x="0"/>
      </items>
    </pivotField>
    <pivotField name="$ItemDescLbl$" axis="axisRow" compact="0" outline="0" showAll="0" defaultSubtotal="0">
      <items count="1">
        <item x="0"/>
      </items>
    </pivotField>
    <pivotField name="$BaseUoMLbl$" axis="axisRow" compact="0" outline="0" showAll="0" defaultSubtotal="0">
      <items count="1">
        <item x="0"/>
      </items>
    </pivotField>
    <pivotField name="$Item_Inventory_Posting_Group$" axis="axisRow" compact="0" outline="0" showAll="0" defaultSubtotal="0">
      <items count="1">
        <item x="0"/>
      </items>
    </pivotField>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4">
    <field x="3"/>
    <field x="0"/>
    <field x="1"/>
    <field x="2"/>
  </rowFields>
  <rowItems count="2">
    <i>
      <x/>
      <x/>
      <x/>
      <x/>
    </i>
    <i t="grand">
      <x/>
    </i>
  </rowItems>
  <colFields count="1">
    <field x="-2"/>
  </colFields>
  <colItems count="10">
    <i>
      <x/>
    </i>
    <i i="1">
      <x v="1"/>
    </i>
    <i i="2">
      <x v="2"/>
    </i>
    <i i="3">
      <x v="3"/>
    </i>
    <i i="4">
      <x v="4"/>
    </i>
    <i i="5">
      <x v="5"/>
    </i>
    <i i="6">
      <x v="6"/>
    </i>
    <i i="7">
      <x v="7"/>
    </i>
    <i i="8">
      <x v="8"/>
    </i>
    <i i="9">
      <x v="9"/>
    </i>
  </colItems>
  <dataFields count="10">
    <dataField name="$Value1Lbl$" fld="4" baseField="0" baseItem="0"/>
    <dataField name="$Quantity1Lbl$" fld="5" baseField="0" baseItem="0"/>
    <dataField name="$Value3Lbl$" fld="8" baseField="0" baseItem="0"/>
    <dataField name="$Quantity3Lbl$" fld="9" baseField="0" baseItem="0"/>
    <dataField name="$Value5Lbl$" fld="12" baseField="0" baseItem="0"/>
    <dataField name="$Quantity5Lbl$" fld="13" baseField="0" baseItem="0"/>
    <dataField name="$Value7Lbl$" fld="16" baseField="0" baseItem="0"/>
    <dataField name="$Quantity7Lbl$" fld="17" baseField="0" baseItem="0"/>
    <dataField name="$InvCostPostedToGLLbl$" fld="21" baseField="0" baseItem="0"/>
    <dataField name="$InvDifferenceLbl$" fld="31" baseField="0" baseItem="0"/>
  </dataFields>
  <formats count="61">
    <format dxfId="493">
      <pivotArea field="3" type="button" dataOnly="0" labelOnly="1" outline="0" axis="axisRow" fieldPosition="0"/>
    </format>
    <format dxfId="492">
      <pivotArea field="0" type="button" dataOnly="0" labelOnly="1" outline="0" axis="axisRow" fieldPosition="1"/>
    </format>
    <format dxfId="491">
      <pivotArea field="1" type="button" dataOnly="0" labelOnly="1" outline="0" axis="axisRow" fieldPosition="2"/>
    </format>
    <format dxfId="490">
      <pivotArea field="2" type="button" dataOnly="0" labelOnly="1" outline="0" axis="axisRow" fieldPosition="3"/>
    </format>
    <format dxfId="489">
      <pivotArea dataOnly="0" labelOnly="1" outline="0" fieldPosition="0">
        <references count="1">
          <reference field="4294967294" count="9">
            <x v="0"/>
            <x v="1"/>
            <x v="2"/>
            <x v="3"/>
            <x v="4"/>
            <x v="5"/>
            <x v="6"/>
            <x v="7"/>
            <x v="8"/>
          </reference>
        </references>
      </pivotArea>
    </format>
    <format dxfId="488">
      <pivotArea field="3" type="button" dataOnly="0" labelOnly="1" outline="0" axis="axisRow" fieldPosition="0"/>
    </format>
    <format dxfId="487">
      <pivotArea field="0" type="button" dataOnly="0" labelOnly="1" outline="0" axis="axisRow" fieldPosition="1"/>
    </format>
    <format dxfId="486">
      <pivotArea field="1" type="button" dataOnly="0" labelOnly="1" outline="0" axis="axisRow" fieldPosition="2"/>
    </format>
    <format dxfId="485">
      <pivotArea field="2" type="button" dataOnly="0" labelOnly="1" outline="0" axis="axisRow" fieldPosition="3"/>
    </format>
    <format dxfId="484">
      <pivotArea dataOnly="0" labelOnly="1" outline="0" fieldPosition="0">
        <references count="1">
          <reference field="4294967294" count="9">
            <x v="0"/>
            <x v="1"/>
            <x v="2"/>
            <x v="3"/>
            <x v="4"/>
            <x v="5"/>
            <x v="6"/>
            <x v="7"/>
            <x v="8"/>
          </reference>
        </references>
      </pivotArea>
    </format>
    <format dxfId="483">
      <pivotArea field="3" type="button" dataOnly="0" labelOnly="1" outline="0" axis="axisRow" fieldPosition="0"/>
    </format>
    <format dxfId="482">
      <pivotArea field="0" type="button" dataOnly="0" labelOnly="1" outline="0" axis="axisRow" fieldPosition="1"/>
    </format>
    <format dxfId="481">
      <pivotArea field="1" type="button" dataOnly="0" labelOnly="1" outline="0" axis="axisRow" fieldPosition="2"/>
    </format>
    <format dxfId="480">
      <pivotArea field="2" type="button" dataOnly="0" labelOnly="1" outline="0" axis="axisRow" fieldPosition="3"/>
    </format>
    <format dxfId="479">
      <pivotArea dataOnly="0" labelOnly="1" outline="0" fieldPosition="0">
        <references count="1">
          <reference field="4294967294" count="9">
            <x v="0"/>
            <x v="1"/>
            <x v="2"/>
            <x v="3"/>
            <x v="4"/>
            <x v="5"/>
            <x v="6"/>
            <x v="7"/>
            <x v="8"/>
          </reference>
        </references>
      </pivotArea>
    </format>
    <format dxfId="478">
      <pivotArea dataOnly="0" labelOnly="1" outline="0" fieldPosition="0">
        <references count="1">
          <reference field="4294967294" count="9">
            <x v="0"/>
            <x v="1"/>
            <x v="2"/>
            <x v="3"/>
            <x v="4"/>
            <x v="5"/>
            <x v="6"/>
            <x v="7"/>
            <x v="8"/>
          </reference>
        </references>
      </pivotArea>
    </format>
    <format dxfId="477">
      <pivotArea dataOnly="0" labelOnly="1" outline="0" fieldPosition="0">
        <references count="1">
          <reference field="4294967294" count="2">
            <x v="0"/>
            <x v="1"/>
          </reference>
        </references>
      </pivotArea>
    </format>
    <format dxfId="476">
      <pivotArea dataOnly="0" labelOnly="1" outline="0" fieldPosition="0">
        <references count="1">
          <reference field="4294967294" count="2">
            <x v="4"/>
            <x v="5"/>
          </reference>
        </references>
      </pivotArea>
    </format>
    <format dxfId="475">
      <pivotArea grandRow="1" outline="0" collapsedLevelsAreSubtotals="1" fieldPosition="0"/>
    </format>
    <format dxfId="474">
      <pivotArea dataOnly="0" labelOnly="1" grandRow="1" outline="0" fieldPosition="0"/>
    </format>
    <format dxfId="473">
      <pivotArea grandRow="1" outline="0" collapsedLevelsAreSubtotals="1" fieldPosition="0"/>
    </format>
    <format dxfId="472">
      <pivotArea dataOnly="0" labelOnly="1" grandRow="1" outline="0" fieldPosition="0"/>
    </format>
    <format dxfId="471">
      <pivotArea grandRow="1" outline="0" collapsedLevelsAreSubtotals="1" fieldPosition="0"/>
    </format>
    <format dxfId="470">
      <pivotArea dataOnly="0" labelOnly="1" grandRow="1" outline="0" fieldPosition="0"/>
    </format>
    <format dxfId="469">
      <pivotArea outline="0" fieldPosition="0">
        <references count="4">
          <reference field="0" count="0" selected="0"/>
          <reference field="1" count="0" selected="0"/>
          <reference field="2" count="0" selected="0"/>
          <reference field="3" count="0" selected="0"/>
        </references>
      </pivotArea>
    </format>
    <format dxfId="468">
      <pivotArea dataOnly="0" labelOnly="1" outline="0" fieldPosition="0">
        <references count="1">
          <reference field="3" count="0"/>
        </references>
      </pivotArea>
    </format>
    <format dxfId="467">
      <pivotArea dataOnly="0" labelOnly="1" outline="0" fieldPosition="0">
        <references count="2">
          <reference field="0" count="0"/>
          <reference field="3" count="0" selected="0"/>
        </references>
      </pivotArea>
    </format>
    <format dxfId="466">
      <pivotArea dataOnly="0" labelOnly="1" outline="0" fieldPosition="0">
        <references count="3">
          <reference field="0" count="0" selected="0"/>
          <reference field="1" count="0"/>
          <reference field="3" count="0" selected="0"/>
        </references>
      </pivotArea>
    </format>
    <format dxfId="465">
      <pivotArea dataOnly="0" labelOnly="1" outline="0" fieldPosition="0">
        <references count="4">
          <reference field="0" count="0" selected="0"/>
          <reference field="1" count="0" selected="0"/>
          <reference field="2" count="0"/>
          <reference field="3" count="0" selected="0"/>
        </references>
      </pivotArea>
    </format>
    <format dxfId="464">
      <pivotArea outline="0" fieldPosition="0">
        <references count="4">
          <reference field="0" count="0" selected="0"/>
          <reference field="1" count="0" selected="0"/>
          <reference field="2" count="0" selected="0"/>
          <reference field="3" count="0" selected="0"/>
        </references>
      </pivotArea>
    </format>
    <format dxfId="463">
      <pivotArea dataOnly="0" labelOnly="1" outline="0" fieldPosition="0">
        <references count="1">
          <reference field="3" count="0"/>
        </references>
      </pivotArea>
    </format>
    <format dxfId="462">
      <pivotArea dataOnly="0" labelOnly="1" outline="0" fieldPosition="0">
        <references count="2">
          <reference field="0" count="0"/>
          <reference field="3" count="0" selected="0"/>
        </references>
      </pivotArea>
    </format>
    <format dxfId="461">
      <pivotArea dataOnly="0" labelOnly="1" outline="0" fieldPosition="0">
        <references count="3">
          <reference field="0" count="0" selected="0"/>
          <reference field="1" count="0"/>
          <reference field="3" count="0" selected="0"/>
        </references>
      </pivotArea>
    </format>
    <format dxfId="460">
      <pivotArea dataOnly="0" labelOnly="1" outline="0" fieldPosition="0">
        <references count="4">
          <reference field="0" count="0" selected="0"/>
          <reference field="1" count="0" selected="0"/>
          <reference field="2" count="0"/>
          <reference field="3" count="0" selected="0"/>
        </references>
      </pivotArea>
    </format>
    <format dxfId="459">
      <pivotArea field="3" type="button" dataOnly="0" labelOnly="1" outline="0" axis="axisRow" fieldPosition="0"/>
    </format>
    <format dxfId="458">
      <pivotArea field="0" type="button" dataOnly="0" labelOnly="1" outline="0" axis="axisRow" fieldPosition="1"/>
    </format>
    <format dxfId="457">
      <pivotArea field="1" type="button" dataOnly="0" labelOnly="1" outline="0" axis="axisRow" fieldPosition="2"/>
    </format>
    <format dxfId="456">
      <pivotArea field="2" type="button" dataOnly="0" labelOnly="1" outline="0" axis="axisRow" fieldPosition="3"/>
    </format>
    <format dxfId="455">
      <pivotArea dataOnly="0" labelOnly="1" outline="0" fieldPosition="0">
        <references count="1">
          <reference field="4294967294" count="9">
            <x v="0"/>
            <x v="1"/>
            <x v="2"/>
            <x v="3"/>
            <x v="4"/>
            <x v="5"/>
            <x v="6"/>
            <x v="7"/>
            <x v="8"/>
          </reference>
        </references>
      </pivotArea>
    </format>
    <format dxfId="454">
      <pivotArea field="3" type="button" dataOnly="0" labelOnly="1" outline="0" axis="axisRow" fieldPosition="0"/>
    </format>
    <format dxfId="453">
      <pivotArea field="0" type="button" dataOnly="0" labelOnly="1" outline="0" axis="axisRow" fieldPosition="1"/>
    </format>
    <format dxfId="452">
      <pivotArea field="1" type="button" dataOnly="0" labelOnly="1" outline="0" axis="axisRow" fieldPosition="2"/>
    </format>
    <format dxfId="451">
      <pivotArea field="2" type="button" dataOnly="0" labelOnly="1" outline="0" axis="axisRow" fieldPosition="3"/>
    </format>
    <format dxfId="450">
      <pivotArea dataOnly="0" labelOnly="1" outline="0" fieldPosition="0">
        <references count="1">
          <reference field="4294967294" count="9">
            <x v="0"/>
            <x v="1"/>
            <x v="2"/>
            <x v="3"/>
            <x v="4"/>
            <x v="5"/>
            <x v="6"/>
            <x v="7"/>
            <x v="8"/>
          </reference>
        </references>
      </pivotArea>
    </format>
    <format dxfId="449">
      <pivotArea dataOnly="0" labelOnly="1" outline="0" fieldPosition="0">
        <references count="1">
          <reference field="4294967294" count="1">
            <x v="9"/>
          </reference>
        </references>
      </pivotArea>
    </format>
    <format dxfId="448">
      <pivotArea dataOnly="0" labelOnly="1" outline="0" fieldPosition="0">
        <references count="1">
          <reference field="4294967294" count="1">
            <x v="1"/>
          </reference>
        </references>
      </pivotArea>
    </format>
    <format dxfId="447">
      <pivotArea dataOnly="0" labelOnly="1" outline="0" fieldPosition="0">
        <references count="1">
          <reference field="4294967294" count="1">
            <x v="0"/>
          </reference>
        </references>
      </pivotArea>
    </format>
    <format dxfId="446">
      <pivotArea dataOnly="0" labelOnly="1" outline="0" fieldPosition="0">
        <references count="1">
          <reference field="4294967294" count="2">
            <x v="4"/>
            <x v="5"/>
          </reference>
        </references>
      </pivotArea>
    </format>
    <format dxfId="445">
      <pivotArea dataOnly="0" labelOnly="1" outline="0" fieldPosition="0">
        <references count="1">
          <reference field="4294967294" count="10">
            <x v="0"/>
            <x v="1"/>
            <x v="2"/>
            <x v="3"/>
            <x v="4"/>
            <x v="5"/>
            <x v="6"/>
            <x v="7"/>
            <x v="8"/>
            <x v="9"/>
          </reference>
        </references>
      </pivotArea>
    </format>
    <format dxfId="444">
      <pivotArea type="all" dataOnly="0" outline="0" fieldPosition="0"/>
    </format>
    <format dxfId="443">
      <pivotArea outline="0" collapsedLevelsAreSubtotals="1" fieldPosition="0"/>
    </format>
    <format dxfId="442">
      <pivotArea field="3" type="button" dataOnly="0" labelOnly="1" outline="0" axis="axisRow" fieldPosition="0"/>
    </format>
    <format dxfId="441">
      <pivotArea field="0" type="button" dataOnly="0" labelOnly="1" outline="0" axis="axisRow" fieldPosition="1"/>
    </format>
    <format dxfId="440">
      <pivotArea field="1" type="button" dataOnly="0" labelOnly="1" outline="0" axis="axisRow" fieldPosition="2"/>
    </format>
    <format dxfId="439">
      <pivotArea field="2" type="button" dataOnly="0" labelOnly="1" outline="0" axis="axisRow" fieldPosition="3"/>
    </format>
    <format dxfId="438">
      <pivotArea dataOnly="0" labelOnly="1" outline="0" fieldPosition="0">
        <references count="1">
          <reference field="3" count="0"/>
        </references>
      </pivotArea>
    </format>
    <format dxfId="437">
      <pivotArea dataOnly="0" labelOnly="1" grandRow="1" outline="0" fieldPosition="0"/>
    </format>
    <format dxfId="436">
      <pivotArea dataOnly="0" labelOnly="1" outline="0" fieldPosition="0">
        <references count="2">
          <reference field="0" count="0"/>
          <reference field="3" count="0" selected="0"/>
        </references>
      </pivotArea>
    </format>
    <format dxfId="435">
      <pivotArea dataOnly="0" labelOnly="1" outline="0" fieldPosition="0">
        <references count="3">
          <reference field="0" count="0" selected="0"/>
          <reference field="1" count="0"/>
          <reference field="3" count="0" selected="0"/>
        </references>
      </pivotArea>
    </format>
    <format dxfId="434">
      <pivotArea dataOnly="0" labelOnly="1" outline="0" fieldPosition="0">
        <references count="4">
          <reference field="0" count="0" selected="0"/>
          <reference field="1" count="0" selected="0"/>
          <reference field="2" count="0"/>
          <reference field="3" count="0" selected="0"/>
        </references>
      </pivotArea>
    </format>
    <format dxfId="433">
      <pivotArea dataOnly="0" labelOnly="1" outline="0" fieldPosition="0">
        <references count="1">
          <reference field="4294967294" count="10">
            <x v="0"/>
            <x v="1"/>
            <x v="2"/>
            <x v="3"/>
            <x v="4"/>
            <x v="5"/>
            <x v="6"/>
            <x v="7"/>
            <x v="8"/>
            <x v="9"/>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16F9F2-085D-4B51-9DC8-0909723422A8}" name="PivotTable1" cacheId="7"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8:O10" firstHeaderRow="0" firstDataRow="1" firstDataCol="4"/>
  <pivotFields count="34">
    <pivotField name="$ItemNoLbl$" axis="axisRow" compact="0" outline="0" showAll="0" defaultSubtotal="0">
      <items count="1">
        <item x="0"/>
      </items>
    </pivotField>
    <pivotField name="$ItemDescLbl$" axis="axisRow" compact="0" outline="0" showAll="0" defaultSubtotal="0">
      <items count="1">
        <item x="0"/>
      </items>
    </pivotField>
    <pivotField name="$BaseUoMLbl$" axis="axisRow" compact="0" outline="0" showAll="0" defaultSubtotal="0">
      <items count="1">
        <item x="0"/>
      </items>
    </pivotField>
    <pivotField name="$Item_Inventory_Posting_Group$"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s>
  <rowFields count="4">
    <field x="3"/>
    <field x="0"/>
    <field x="1"/>
    <field x="2"/>
  </rowFields>
  <rowItems count="2">
    <i>
      <x/>
      <x/>
      <x/>
      <x/>
    </i>
    <i t="grand">
      <x/>
    </i>
  </rowItems>
  <colFields count="1">
    <field x="-2"/>
  </colFields>
  <colItems count="10">
    <i>
      <x/>
    </i>
    <i i="1">
      <x v="1"/>
    </i>
    <i i="2">
      <x v="2"/>
    </i>
    <i i="3">
      <x v="3"/>
    </i>
    <i i="4">
      <x v="4"/>
    </i>
    <i i="5">
      <x v="5"/>
    </i>
    <i i="6">
      <x v="6"/>
    </i>
    <i i="7">
      <x v="7"/>
    </i>
    <i i="8">
      <x v="8"/>
    </i>
    <i i="9">
      <x v="9"/>
    </i>
  </colItems>
  <dataFields count="10">
    <dataField name="$Value9Lbl$" fld="23" baseField="0" baseItem="0"/>
    <dataField name="$Quantity9Lbl$" fld="24" baseField="0" baseItem="0"/>
    <dataField name="$Value10Lbl$" fld="25" baseField="0" baseItem="0"/>
    <dataField name="$Quantity10Lbl$" fld="26" baseField="0" baseItem="0"/>
    <dataField name="$Value11Lbl$" fld="27" baseField="0" baseItem="0"/>
    <dataField name="$Quantity11Lbl$" fld="28" baseField="0" baseItem="0"/>
    <dataField name="$Value12Lbl$" fld="29" baseField="0" baseItem="0"/>
    <dataField name="$Quantity12Lbl$" fld="30" baseField="0" baseItem="0"/>
    <dataField name="$ExpCostPostedToGLLbl$" fld="22" baseField="0" baseItem="0"/>
    <dataField name="$ExpDifferenceLbl$" fld="32" baseField="0" baseItem="0"/>
  </dataFields>
  <formats count="60">
    <format dxfId="432">
      <pivotArea field="3" type="button" dataOnly="0" labelOnly="1" outline="0" axis="axisRow" fieldPosition="0"/>
    </format>
    <format dxfId="431">
      <pivotArea field="0" type="button" dataOnly="0" labelOnly="1" outline="0" axis="axisRow" fieldPosition="1"/>
    </format>
    <format dxfId="430">
      <pivotArea field="1" type="button" dataOnly="0" labelOnly="1" outline="0" axis="axisRow" fieldPosition="2"/>
    </format>
    <format dxfId="429">
      <pivotArea field="2" type="button" dataOnly="0" labelOnly="1" outline="0" axis="axisRow" fieldPosition="3"/>
    </format>
    <format dxfId="428">
      <pivotArea dataOnly="0" labelOnly="1" outline="0" fieldPosition="0">
        <references count="1">
          <reference field="4294967294" count="1">
            <x v="8"/>
          </reference>
        </references>
      </pivotArea>
    </format>
    <format dxfId="427">
      <pivotArea field="3" type="button" dataOnly="0" labelOnly="1" outline="0" axis="axisRow" fieldPosition="0"/>
    </format>
    <format dxfId="426">
      <pivotArea field="0" type="button" dataOnly="0" labelOnly="1" outline="0" axis="axisRow" fieldPosition="1"/>
    </format>
    <format dxfId="425">
      <pivotArea field="1" type="button" dataOnly="0" labelOnly="1" outline="0" axis="axisRow" fieldPosition="2"/>
    </format>
    <format dxfId="424">
      <pivotArea field="2" type="button" dataOnly="0" labelOnly="1" outline="0" axis="axisRow" fieldPosition="3"/>
    </format>
    <format dxfId="423">
      <pivotArea dataOnly="0" labelOnly="1" outline="0" fieldPosition="0">
        <references count="1">
          <reference field="4294967294" count="1">
            <x v="8"/>
          </reference>
        </references>
      </pivotArea>
    </format>
    <format dxfId="422">
      <pivotArea field="3" type="button" dataOnly="0" labelOnly="1" outline="0" axis="axisRow" fieldPosition="0"/>
    </format>
    <format dxfId="421">
      <pivotArea field="0" type="button" dataOnly="0" labelOnly="1" outline="0" axis="axisRow" fieldPosition="1"/>
    </format>
    <format dxfId="420">
      <pivotArea field="1" type="button" dataOnly="0" labelOnly="1" outline="0" axis="axisRow" fieldPosition="2"/>
    </format>
    <format dxfId="419">
      <pivotArea field="2" type="button" dataOnly="0" labelOnly="1" outline="0" axis="axisRow" fieldPosition="3"/>
    </format>
    <format dxfId="418">
      <pivotArea dataOnly="0" labelOnly="1" outline="0" fieldPosition="0">
        <references count="1">
          <reference field="4294967294" count="1">
            <x v="8"/>
          </reference>
        </references>
      </pivotArea>
    </format>
    <format dxfId="417">
      <pivotArea dataOnly="0" labelOnly="1" outline="0" fieldPosition="0">
        <references count="1">
          <reference field="4294967294" count="1">
            <x v="8"/>
          </reference>
        </references>
      </pivotArea>
    </format>
    <format dxfId="416">
      <pivotArea grandRow="1" outline="0" collapsedLevelsAreSubtotals="1" fieldPosition="0"/>
    </format>
    <format dxfId="415">
      <pivotArea dataOnly="0" labelOnly="1" grandRow="1" outline="0" fieldPosition="0"/>
    </format>
    <format dxfId="414">
      <pivotArea grandRow="1" outline="0" collapsedLevelsAreSubtotals="1" fieldPosition="0"/>
    </format>
    <format dxfId="413">
      <pivotArea dataOnly="0" labelOnly="1" grandRow="1" outline="0" fieldPosition="0"/>
    </format>
    <format dxfId="412">
      <pivotArea grandRow="1" outline="0" collapsedLevelsAreSubtotals="1" fieldPosition="0"/>
    </format>
    <format dxfId="411">
      <pivotArea dataOnly="0" labelOnly="1" grandRow="1" outline="0" fieldPosition="0"/>
    </format>
    <format dxfId="410">
      <pivotArea outline="0" fieldPosition="0">
        <references count="4">
          <reference field="0" count="0" selected="0"/>
          <reference field="1" count="0" selected="0"/>
          <reference field="2" count="0" selected="0"/>
          <reference field="3" count="0" selected="0"/>
        </references>
      </pivotArea>
    </format>
    <format dxfId="409">
      <pivotArea dataOnly="0" labelOnly="1" outline="0" fieldPosition="0">
        <references count="1">
          <reference field="3" count="0"/>
        </references>
      </pivotArea>
    </format>
    <format dxfId="408">
      <pivotArea dataOnly="0" labelOnly="1" outline="0" fieldPosition="0">
        <references count="2">
          <reference field="0" count="0"/>
          <reference field="3" count="0" selected="0"/>
        </references>
      </pivotArea>
    </format>
    <format dxfId="407">
      <pivotArea dataOnly="0" labelOnly="1" outline="0" fieldPosition="0">
        <references count="3">
          <reference field="0" count="0" selected="0"/>
          <reference field="1" count="0"/>
          <reference field="3" count="0" selected="0"/>
        </references>
      </pivotArea>
    </format>
    <format dxfId="406">
      <pivotArea dataOnly="0" labelOnly="1" outline="0" fieldPosition="0">
        <references count="4">
          <reference field="0" count="0" selected="0"/>
          <reference field="1" count="0" selected="0"/>
          <reference field="2" count="0"/>
          <reference field="3" count="0" selected="0"/>
        </references>
      </pivotArea>
    </format>
    <format dxfId="405">
      <pivotArea outline="0" fieldPosition="0">
        <references count="4">
          <reference field="0" count="0" selected="0"/>
          <reference field="1" count="0" selected="0"/>
          <reference field="2" count="0" selected="0"/>
          <reference field="3" count="0" selected="0"/>
        </references>
      </pivotArea>
    </format>
    <format dxfId="404">
      <pivotArea dataOnly="0" labelOnly="1" outline="0" fieldPosition="0">
        <references count="1">
          <reference field="3" count="0"/>
        </references>
      </pivotArea>
    </format>
    <format dxfId="403">
      <pivotArea dataOnly="0" labelOnly="1" outline="0" fieldPosition="0">
        <references count="2">
          <reference field="0" count="0"/>
          <reference field="3" count="0" selected="0"/>
        </references>
      </pivotArea>
    </format>
    <format dxfId="402">
      <pivotArea dataOnly="0" labelOnly="1" outline="0" fieldPosition="0">
        <references count="3">
          <reference field="0" count="0" selected="0"/>
          <reference field="1" count="0"/>
          <reference field="3" count="0" selected="0"/>
        </references>
      </pivotArea>
    </format>
    <format dxfId="401">
      <pivotArea dataOnly="0" labelOnly="1" outline="0" fieldPosition="0">
        <references count="4">
          <reference field="0" count="0" selected="0"/>
          <reference field="1" count="0" selected="0"/>
          <reference field="2" count="0"/>
          <reference field="3" count="0" selected="0"/>
        </references>
      </pivotArea>
    </format>
    <format dxfId="400">
      <pivotArea field="3" type="button" dataOnly="0" labelOnly="1" outline="0" axis="axisRow" fieldPosition="0"/>
    </format>
    <format dxfId="399">
      <pivotArea field="0" type="button" dataOnly="0" labelOnly="1" outline="0" axis="axisRow" fieldPosition="1"/>
    </format>
    <format dxfId="398">
      <pivotArea field="1" type="button" dataOnly="0" labelOnly="1" outline="0" axis="axisRow" fieldPosition="2"/>
    </format>
    <format dxfId="397">
      <pivotArea field="2" type="button" dataOnly="0" labelOnly="1" outline="0" axis="axisRow" fieldPosition="3"/>
    </format>
    <format dxfId="396">
      <pivotArea dataOnly="0" labelOnly="1" outline="0" fieldPosition="0">
        <references count="1">
          <reference field="4294967294" count="9">
            <x v="0"/>
            <x v="1"/>
            <x v="2"/>
            <x v="3"/>
            <x v="4"/>
            <x v="5"/>
            <x v="6"/>
            <x v="7"/>
            <x v="8"/>
          </reference>
        </references>
      </pivotArea>
    </format>
    <format dxfId="395">
      <pivotArea field="3" type="button" dataOnly="0" labelOnly="1" outline="0" axis="axisRow" fieldPosition="0"/>
    </format>
    <format dxfId="394">
      <pivotArea field="0" type="button" dataOnly="0" labelOnly="1" outline="0" axis="axisRow" fieldPosition="1"/>
    </format>
    <format dxfId="393">
      <pivotArea field="1" type="button" dataOnly="0" labelOnly="1" outline="0" axis="axisRow" fieldPosition="2"/>
    </format>
    <format dxfId="392">
      <pivotArea field="2" type="button" dataOnly="0" labelOnly="1" outline="0" axis="axisRow" fieldPosition="3"/>
    </format>
    <format dxfId="391">
      <pivotArea dataOnly="0" labelOnly="1" outline="0" fieldPosition="0">
        <references count="1">
          <reference field="4294967294" count="9">
            <x v="0"/>
            <x v="1"/>
            <x v="2"/>
            <x v="3"/>
            <x v="4"/>
            <x v="5"/>
            <x v="6"/>
            <x v="7"/>
            <x v="8"/>
          </reference>
        </references>
      </pivotArea>
    </format>
    <format dxfId="390">
      <pivotArea dataOnly="0" labelOnly="1" outline="0" fieldPosition="0">
        <references count="1">
          <reference field="4294967294" count="2">
            <x v="0"/>
            <x v="1"/>
          </reference>
        </references>
      </pivotArea>
    </format>
    <format dxfId="389">
      <pivotArea dataOnly="0" labelOnly="1" outline="0" fieldPosition="0">
        <references count="1">
          <reference field="4294967294" count="2">
            <x v="4"/>
            <x v="5"/>
          </reference>
        </references>
      </pivotArea>
    </format>
    <format dxfId="388">
      <pivotArea dataOnly="0" labelOnly="1" outline="0" fieldPosition="0">
        <references count="1">
          <reference field="4294967294" count="1">
            <x v="9"/>
          </reference>
        </references>
      </pivotArea>
    </format>
    <format dxfId="387">
      <pivotArea dataOnly="0" labelOnly="1" outline="0" fieldPosition="0">
        <references count="1">
          <reference field="4294967294" count="2">
            <x v="0"/>
            <x v="1"/>
          </reference>
        </references>
      </pivotArea>
    </format>
    <format dxfId="386">
      <pivotArea dataOnly="0" labelOnly="1" outline="0" fieldPosition="0">
        <references count="1">
          <reference field="4294967294" count="2">
            <x v="4"/>
            <x v="5"/>
          </reference>
        </references>
      </pivotArea>
    </format>
    <format dxfId="385">
      <pivotArea dataOnly="0" labelOnly="1" outline="0" fieldPosition="0">
        <references count="1">
          <reference field="4294967294" count="10">
            <x v="0"/>
            <x v="1"/>
            <x v="2"/>
            <x v="3"/>
            <x v="4"/>
            <x v="5"/>
            <x v="6"/>
            <x v="7"/>
            <x v="8"/>
            <x v="9"/>
          </reference>
        </references>
      </pivotArea>
    </format>
    <format dxfId="384">
      <pivotArea type="all" dataOnly="0" outline="0" fieldPosition="0"/>
    </format>
    <format dxfId="383">
      <pivotArea outline="0" collapsedLevelsAreSubtotals="1" fieldPosition="0"/>
    </format>
    <format dxfId="382">
      <pivotArea field="3" type="button" dataOnly="0" labelOnly="1" outline="0" axis="axisRow" fieldPosition="0"/>
    </format>
    <format dxfId="381">
      <pivotArea field="0" type="button" dataOnly="0" labelOnly="1" outline="0" axis="axisRow" fieldPosition="1"/>
    </format>
    <format dxfId="380">
      <pivotArea field="1" type="button" dataOnly="0" labelOnly="1" outline="0" axis="axisRow" fieldPosition="2"/>
    </format>
    <format dxfId="379">
      <pivotArea field="2" type="button" dataOnly="0" labelOnly="1" outline="0" axis="axisRow" fieldPosition="3"/>
    </format>
    <format dxfId="378">
      <pivotArea dataOnly="0" labelOnly="1" outline="0" fieldPosition="0">
        <references count="1">
          <reference field="3" count="0"/>
        </references>
      </pivotArea>
    </format>
    <format dxfId="377">
      <pivotArea dataOnly="0" labelOnly="1" grandRow="1" outline="0" fieldPosition="0"/>
    </format>
    <format dxfId="376">
      <pivotArea dataOnly="0" labelOnly="1" outline="0" fieldPosition="0">
        <references count="2">
          <reference field="0" count="0"/>
          <reference field="3" count="0" selected="0"/>
        </references>
      </pivotArea>
    </format>
    <format dxfId="375">
      <pivotArea dataOnly="0" labelOnly="1" outline="0" fieldPosition="0">
        <references count="3">
          <reference field="0" count="0" selected="0"/>
          <reference field="1" count="0"/>
          <reference field="3" count="0" selected="0"/>
        </references>
      </pivotArea>
    </format>
    <format dxfId="374">
      <pivotArea dataOnly="0" labelOnly="1" outline="0" fieldPosition="0">
        <references count="4">
          <reference field="0" count="0" selected="0"/>
          <reference field="1" count="0" selected="0"/>
          <reference field="2" count="0"/>
          <reference field="3" count="0" selected="0"/>
        </references>
      </pivotArea>
    </format>
    <format dxfId="373">
      <pivotArea dataOnly="0" labelOnly="1" outline="0" fieldPosition="0">
        <references count="1">
          <reference field="4294967294" count="10">
            <x v="0"/>
            <x v="1"/>
            <x v="2"/>
            <x v="3"/>
            <x v="4"/>
            <x v="5"/>
            <x v="6"/>
            <x v="7"/>
            <x v="8"/>
            <x v="9"/>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85AA52-DF40-42ED-B386-CC70A5A5EC58}" name="PivotTable1" cacheId="7"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8:O10" firstHeaderRow="0" firstDataRow="1" firstDataCol="4"/>
  <pivotFields count="34">
    <pivotField name="$ItemNoLbl$" axis="axisRow" compact="0" outline="0" showAll="0" defaultSubtotal="0">
      <items count="1">
        <item x="0"/>
      </items>
    </pivotField>
    <pivotField name="$ItemDescLbl$" axis="axisRow" compact="0" outline="0" showAll="0" defaultSubtotal="0">
      <items count="1">
        <item x="0"/>
      </items>
    </pivotField>
    <pivotField name="$BaseUoMLbl$" axis="axisRow" compact="0" outline="0" showAll="0" defaultSubtotal="0">
      <items count="1">
        <item x="0"/>
      </items>
    </pivotField>
    <pivotField name="$Item_Inventory_Posting_Group$" axis="axisRow" compact="0" outline="0" showAll="0" defaultSubtotal="0">
      <items count="1">
        <item x="0"/>
      </items>
    </pivotField>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s>
  <rowFields count="4">
    <field x="3"/>
    <field x="0"/>
    <field x="1"/>
    <field x="2"/>
  </rowFields>
  <rowItems count="2">
    <i>
      <x/>
      <x/>
      <x/>
      <x/>
    </i>
    <i t="grand">
      <x/>
    </i>
  </rowItems>
  <colFields count="1">
    <field x="-2"/>
  </colFields>
  <colItems count="10">
    <i>
      <x/>
    </i>
    <i i="1">
      <x v="1"/>
    </i>
    <i i="2">
      <x v="2"/>
    </i>
    <i i="3">
      <x v="3"/>
    </i>
    <i i="4">
      <x v="4"/>
    </i>
    <i i="5">
      <x v="5"/>
    </i>
    <i i="6">
      <x v="6"/>
    </i>
    <i i="7">
      <x v="7"/>
    </i>
    <i i="8">
      <x v="8"/>
    </i>
    <i i="9">
      <x v="9"/>
    </i>
  </colItems>
  <dataFields count="10">
    <dataField name="$Value2Lbl$" fld="6" baseField="0" baseItem="0"/>
    <dataField name="$Quantity2Lbl$" fld="7" baseField="0" baseItem="0"/>
    <dataField name="$Value4Lbl$" fld="10" baseField="0" baseItem="0"/>
    <dataField name="$Quantity4Lbl$" fld="11" baseField="0" baseItem="0"/>
    <dataField name="$Value6Lbl$" fld="14" baseField="0" baseItem="0"/>
    <dataField name="$Quantity6Lbl$" fld="15" baseField="0" baseItem="0"/>
    <dataField name="$Value8Lbl$" fld="18" baseField="0" baseItem="0"/>
    <dataField name="$Quantity8Lbl$" fld="19" baseField="0" baseItem="0"/>
    <dataField name="$TotalCostPostedToGLLbl$" fld="20" baseField="0" baseItem="0"/>
    <dataField name="$TotalDifferenceLbl$" fld="33" baseField="0" baseItem="0"/>
  </dataFields>
  <formats count="60">
    <format dxfId="372">
      <pivotArea field="3" type="button" dataOnly="0" labelOnly="1" outline="0" axis="axisRow" fieldPosition="0"/>
    </format>
    <format dxfId="371">
      <pivotArea field="0" type="button" dataOnly="0" labelOnly="1" outline="0" axis="axisRow" fieldPosition="1"/>
    </format>
    <format dxfId="370">
      <pivotArea field="1" type="button" dataOnly="0" labelOnly="1" outline="0" axis="axisRow" fieldPosition="2"/>
    </format>
    <format dxfId="369">
      <pivotArea field="2" type="button" dataOnly="0" labelOnly="1" outline="0" axis="axisRow" fieldPosition="3"/>
    </format>
    <format dxfId="368">
      <pivotArea dataOnly="0" labelOnly="1" outline="0" fieldPosition="0">
        <references count="1">
          <reference field="4294967294" count="9">
            <x v="0"/>
            <x v="1"/>
            <x v="2"/>
            <x v="3"/>
            <x v="4"/>
            <x v="5"/>
            <x v="6"/>
            <x v="7"/>
            <x v="8"/>
          </reference>
        </references>
      </pivotArea>
    </format>
    <format dxfId="367">
      <pivotArea field="3" type="button" dataOnly="0" labelOnly="1" outline="0" axis="axisRow" fieldPosition="0"/>
    </format>
    <format dxfId="366">
      <pivotArea field="0" type="button" dataOnly="0" labelOnly="1" outline="0" axis="axisRow" fieldPosition="1"/>
    </format>
    <format dxfId="365">
      <pivotArea field="1" type="button" dataOnly="0" labelOnly="1" outline="0" axis="axisRow" fieldPosition="2"/>
    </format>
    <format dxfId="364">
      <pivotArea field="2" type="button" dataOnly="0" labelOnly="1" outline="0" axis="axisRow" fieldPosition="3"/>
    </format>
    <format dxfId="363">
      <pivotArea dataOnly="0" labelOnly="1" outline="0" fieldPosition="0">
        <references count="1">
          <reference field="4294967294" count="9">
            <x v="0"/>
            <x v="1"/>
            <x v="2"/>
            <x v="3"/>
            <x v="4"/>
            <x v="5"/>
            <x v="6"/>
            <x v="7"/>
            <x v="8"/>
          </reference>
        </references>
      </pivotArea>
    </format>
    <format dxfId="362">
      <pivotArea field="3" type="button" dataOnly="0" labelOnly="1" outline="0" axis="axisRow" fieldPosition="0"/>
    </format>
    <format dxfId="361">
      <pivotArea field="0" type="button" dataOnly="0" labelOnly="1" outline="0" axis="axisRow" fieldPosition="1"/>
    </format>
    <format dxfId="360">
      <pivotArea field="1" type="button" dataOnly="0" labelOnly="1" outline="0" axis="axisRow" fieldPosition="2"/>
    </format>
    <format dxfId="359">
      <pivotArea field="2" type="button" dataOnly="0" labelOnly="1" outline="0" axis="axisRow" fieldPosition="3"/>
    </format>
    <format dxfId="358">
      <pivotArea dataOnly="0" labelOnly="1" outline="0" fieldPosition="0">
        <references count="1">
          <reference field="4294967294" count="9">
            <x v="0"/>
            <x v="1"/>
            <x v="2"/>
            <x v="3"/>
            <x v="4"/>
            <x v="5"/>
            <x v="6"/>
            <x v="7"/>
            <x v="8"/>
          </reference>
        </references>
      </pivotArea>
    </format>
    <format dxfId="357">
      <pivotArea dataOnly="0" labelOnly="1" outline="0" fieldPosition="0">
        <references count="1">
          <reference field="4294967294" count="9">
            <x v="0"/>
            <x v="1"/>
            <x v="2"/>
            <x v="3"/>
            <x v="4"/>
            <x v="5"/>
            <x v="6"/>
            <x v="7"/>
            <x v="8"/>
          </reference>
        </references>
      </pivotArea>
    </format>
    <format dxfId="356">
      <pivotArea dataOnly="0" labelOnly="1" outline="0" fieldPosition="0">
        <references count="1">
          <reference field="4294967294" count="2">
            <x v="0"/>
            <x v="1"/>
          </reference>
        </references>
      </pivotArea>
    </format>
    <format dxfId="355">
      <pivotArea dataOnly="0" labelOnly="1" outline="0" fieldPosition="0">
        <references count="1">
          <reference field="4294967294" count="2">
            <x v="4"/>
            <x v="5"/>
          </reference>
        </references>
      </pivotArea>
    </format>
    <format dxfId="354">
      <pivotArea grandRow="1" outline="0" collapsedLevelsAreSubtotals="1" fieldPosition="0"/>
    </format>
    <format dxfId="353">
      <pivotArea dataOnly="0" labelOnly="1" grandRow="1" outline="0" fieldPosition="0"/>
    </format>
    <format dxfId="352">
      <pivotArea grandRow="1" outline="0" collapsedLevelsAreSubtotals="1" fieldPosition="0"/>
    </format>
    <format dxfId="351">
      <pivotArea dataOnly="0" labelOnly="1" grandRow="1" outline="0" fieldPosition="0"/>
    </format>
    <format dxfId="350">
      <pivotArea grandRow="1" outline="0" collapsedLevelsAreSubtotals="1" fieldPosition="0"/>
    </format>
    <format dxfId="349">
      <pivotArea dataOnly="0" labelOnly="1" grandRow="1" outline="0" fieldPosition="0"/>
    </format>
    <format dxfId="348">
      <pivotArea outline="0" fieldPosition="0">
        <references count="4">
          <reference field="0" count="0" selected="0"/>
          <reference field="1" count="0" selected="0"/>
          <reference field="2" count="0" selected="0"/>
          <reference field="3" count="0" selected="0"/>
        </references>
      </pivotArea>
    </format>
    <format dxfId="347">
      <pivotArea dataOnly="0" labelOnly="1" outline="0" fieldPosition="0">
        <references count="1">
          <reference field="3" count="0"/>
        </references>
      </pivotArea>
    </format>
    <format dxfId="346">
      <pivotArea dataOnly="0" labelOnly="1" outline="0" fieldPosition="0">
        <references count="2">
          <reference field="0" count="0"/>
          <reference field="3" count="0" selected="0"/>
        </references>
      </pivotArea>
    </format>
    <format dxfId="345">
      <pivotArea dataOnly="0" labelOnly="1" outline="0" fieldPosition="0">
        <references count="3">
          <reference field="0" count="0" selected="0"/>
          <reference field="1" count="0"/>
          <reference field="3" count="0" selected="0"/>
        </references>
      </pivotArea>
    </format>
    <format dxfId="344">
      <pivotArea dataOnly="0" labelOnly="1" outline="0" fieldPosition="0">
        <references count="4">
          <reference field="0" count="0" selected="0"/>
          <reference field="1" count="0" selected="0"/>
          <reference field="2" count="0"/>
          <reference field="3" count="0" selected="0"/>
        </references>
      </pivotArea>
    </format>
    <format dxfId="343">
      <pivotArea outline="0" fieldPosition="0">
        <references count="4">
          <reference field="0" count="0" selected="0"/>
          <reference field="1" count="0" selected="0"/>
          <reference field="2" count="0" selected="0"/>
          <reference field="3" count="0" selected="0"/>
        </references>
      </pivotArea>
    </format>
    <format dxfId="342">
      <pivotArea dataOnly="0" labelOnly="1" outline="0" fieldPosition="0">
        <references count="1">
          <reference field="3" count="0"/>
        </references>
      </pivotArea>
    </format>
    <format dxfId="341">
      <pivotArea dataOnly="0" labelOnly="1" outline="0" fieldPosition="0">
        <references count="2">
          <reference field="0" count="0"/>
          <reference field="3" count="0" selected="0"/>
        </references>
      </pivotArea>
    </format>
    <format dxfId="340">
      <pivotArea dataOnly="0" labelOnly="1" outline="0" fieldPosition="0">
        <references count="3">
          <reference field="0" count="0" selected="0"/>
          <reference field="1" count="0"/>
          <reference field="3" count="0" selected="0"/>
        </references>
      </pivotArea>
    </format>
    <format dxfId="339">
      <pivotArea dataOnly="0" labelOnly="1" outline="0" fieldPosition="0">
        <references count="4">
          <reference field="0" count="0" selected="0"/>
          <reference field="1" count="0" selected="0"/>
          <reference field="2" count="0"/>
          <reference field="3" count="0" selected="0"/>
        </references>
      </pivotArea>
    </format>
    <format dxfId="338">
      <pivotArea field="3" type="button" dataOnly="0" labelOnly="1" outline="0" axis="axisRow" fieldPosition="0"/>
    </format>
    <format dxfId="337">
      <pivotArea field="0" type="button" dataOnly="0" labelOnly="1" outline="0" axis="axisRow" fieldPosition="1"/>
    </format>
    <format dxfId="336">
      <pivotArea field="1" type="button" dataOnly="0" labelOnly="1" outline="0" axis="axisRow" fieldPosition="2"/>
    </format>
    <format dxfId="335">
      <pivotArea field="2" type="button" dataOnly="0" labelOnly="1" outline="0" axis="axisRow" fieldPosition="3"/>
    </format>
    <format dxfId="334">
      <pivotArea dataOnly="0" labelOnly="1" outline="0" fieldPosition="0">
        <references count="1">
          <reference field="4294967294" count="9">
            <x v="0"/>
            <x v="1"/>
            <x v="2"/>
            <x v="3"/>
            <x v="4"/>
            <x v="5"/>
            <x v="6"/>
            <x v="7"/>
            <x v="8"/>
          </reference>
        </references>
      </pivotArea>
    </format>
    <format dxfId="333">
      <pivotArea field="3" type="button" dataOnly="0" labelOnly="1" outline="0" axis="axisRow" fieldPosition="0"/>
    </format>
    <format dxfId="332">
      <pivotArea field="0" type="button" dataOnly="0" labelOnly="1" outline="0" axis="axisRow" fieldPosition="1"/>
    </format>
    <format dxfId="331">
      <pivotArea field="1" type="button" dataOnly="0" labelOnly="1" outline="0" axis="axisRow" fieldPosition="2"/>
    </format>
    <format dxfId="330">
      <pivotArea field="2" type="button" dataOnly="0" labelOnly="1" outline="0" axis="axisRow" fieldPosition="3"/>
    </format>
    <format dxfId="329">
      <pivotArea dataOnly="0" labelOnly="1" outline="0" fieldPosition="0">
        <references count="1">
          <reference field="4294967294" count="9">
            <x v="0"/>
            <x v="1"/>
            <x v="2"/>
            <x v="3"/>
            <x v="4"/>
            <x v="5"/>
            <x v="6"/>
            <x v="7"/>
            <x v="8"/>
          </reference>
        </references>
      </pivotArea>
    </format>
    <format dxfId="328">
      <pivotArea dataOnly="0" labelOnly="1" outline="0" fieldPosition="0">
        <references count="1">
          <reference field="4294967294" count="1">
            <x v="9"/>
          </reference>
        </references>
      </pivotArea>
    </format>
    <format dxfId="327">
      <pivotArea dataOnly="0" labelOnly="1" outline="0" fieldPosition="0">
        <references count="1">
          <reference field="4294967294" count="2">
            <x v="0"/>
            <x v="1"/>
          </reference>
        </references>
      </pivotArea>
    </format>
    <format dxfId="326">
      <pivotArea dataOnly="0" labelOnly="1" outline="0" fieldPosition="0">
        <references count="1">
          <reference field="4294967294" count="2">
            <x v="4"/>
            <x v="5"/>
          </reference>
        </references>
      </pivotArea>
    </format>
    <format dxfId="325">
      <pivotArea dataOnly="0" labelOnly="1" outline="0" fieldPosition="0">
        <references count="1">
          <reference field="4294967294" count="10">
            <x v="0"/>
            <x v="1"/>
            <x v="2"/>
            <x v="3"/>
            <x v="4"/>
            <x v="5"/>
            <x v="6"/>
            <x v="7"/>
            <x v="8"/>
            <x v="9"/>
          </reference>
        </references>
      </pivotArea>
    </format>
    <format dxfId="324">
      <pivotArea type="all" dataOnly="0" outline="0" fieldPosition="0"/>
    </format>
    <format dxfId="323">
      <pivotArea outline="0" collapsedLevelsAreSubtotals="1" fieldPosition="0"/>
    </format>
    <format dxfId="322">
      <pivotArea field="3" type="button" dataOnly="0" labelOnly="1" outline="0" axis="axisRow" fieldPosition="0"/>
    </format>
    <format dxfId="321">
      <pivotArea field="0" type="button" dataOnly="0" labelOnly="1" outline="0" axis="axisRow" fieldPosition="1"/>
    </format>
    <format dxfId="320">
      <pivotArea field="1" type="button" dataOnly="0" labelOnly="1" outline="0" axis="axisRow" fieldPosition="2"/>
    </format>
    <format dxfId="319">
      <pivotArea field="2" type="button" dataOnly="0" labelOnly="1" outline="0" axis="axisRow" fieldPosition="3"/>
    </format>
    <format dxfId="318">
      <pivotArea dataOnly="0" labelOnly="1" outline="0" fieldPosition="0">
        <references count="1">
          <reference field="3" count="0"/>
        </references>
      </pivotArea>
    </format>
    <format dxfId="317">
      <pivotArea dataOnly="0" labelOnly="1" grandRow="1" outline="0" fieldPosition="0"/>
    </format>
    <format dxfId="316">
      <pivotArea dataOnly="0" labelOnly="1" outline="0" fieldPosition="0">
        <references count="2">
          <reference field="0" count="0"/>
          <reference field="3" count="0" selected="0"/>
        </references>
      </pivotArea>
    </format>
    <format dxfId="315">
      <pivotArea dataOnly="0" labelOnly="1" outline="0" fieldPosition="0">
        <references count="3">
          <reference field="0" count="0" selected="0"/>
          <reference field="1" count="0"/>
          <reference field="3" count="0" selected="0"/>
        </references>
      </pivotArea>
    </format>
    <format dxfId="314">
      <pivotArea dataOnly="0" labelOnly="1" outline="0" fieldPosition="0">
        <references count="4">
          <reference field="0" count="0" selected="0"/>
          <reference field="1" count="0" selected="0"/>
          <reference field="2" count="0"/>
          <reference field="3" count="0" selected="0"/>
        </references>
      </pivotArea>
    </format>
    <format dxfId="313">
      <pivotArea dataOnly="0" labelOnly="1" outline="0" fieldPosition="0">
        <references count="1">
          <reference field="4294967294" count="10">
            <x v="0"/>
            <x v="1"/>
            <x v="2"/>
            <x v="3"/>
            <x v="4"/>
            <x v="5"/>
            <x v="6"/>
            <x v="7"/>
            <x v="8"/>
            <x v="9"/>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260008-A82A-4461-A1EE-A7E7E4200234}" name="PivotTable1" cacheId="7"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3:AI5" firstHeaderRow="0" firstDataRow="1" firstDataCol="4"/>
  <pivotFields count="34">
    <pivotField name="$ItemNoLbl$" axis="axisRow" compact="0" outline="0" showAll="0" defaultSubtotal="0">
      <items count="1">
        <item x="0"/>
      </items>
    </pivotField>
    <pivotField name="$ItemDescLbl$" axis="axisRow" compact="0" outline="0" showAll="0" defaultSubtotal="0">
      <items count="1">
        <item x="0"/>
      </items>
    </pivotField>
    <pivotField name="$BaseUoMLbl$" axis="axisRow" compact="0" outline="0" showAll="0" defaultSubtotal="0">
      <items count="1">
        <item x="0"/>
      </items>
    </pivotField>
    <pivotField name="$Item_Inventory_Posting_Group$"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4">
    <field x="3"/>
    <field x="0"/>
    <field x="1"/>
    <field x="2"/>
  </rowFields>
  <rowItems count="2">
    <i>
      <x/>
      <x/>
      <x/>
      <x/>
    </i>
    <i t="grand">
      <x/>
    </i>
  </rowItems>
  <colFields count="1">
    <field x="-2"/>
  </colFields>
  <colItems count="3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colItems>
  <dataFields count="30">
    <dataField name="$Value1Lbl$" fld="4" baseField="0" baseItem="0"/>
    <dataField name="$Quantity1Lbl$" fld="5" baseField="0" baseItem="0"/>
    <dataField name="$Value9Lbl$" fld="23" baseField="0" baseItem="0"/>
    <dataField name="$Quantity9Lbl$" fld="24" baseField="0" baseItem="0"/>
    <dataField name="$Value2Lbl$" fld="6" baseField="0" baseItem="0"/>
    <dataField name="$Quantity2Lbl$" fld="7" baseField="0" baseItem="0"/>
    <dataField name="$Value3Lbl$" fld="8" baseField="0" baseItem="0"/>
    <dataField name="$Quantity3Lbl$" fld="9" baseField="0" baseItem="0"/>
    <dataField name="$Value10Lbl$" fld="25" baseField="0" baseItem="0"/>
    <dataField name="$Quantity10Lbl$" fld="26" baseField="0" baseItem="0"/>
    <dataField name="$Value4Lbl$" fld="10" baseField="0" baseItem="0"/>
    <dataField name="$Quantity4Lbl$" fld="11" baseField="0" baseItem="0"/>
    <dataField name="$Value5Lbl$" fld="12" baseField="0" baseItem="0"/>
    <dataField name="$Quantity5Lbl$" fld="13" baseField="0" baseItem="0"/>
    <dataField name="$Value11Lbl$" fld="27" baseField="0" baseItem="0"/>
    <dataField name="$Quantity11Lbl$" fld="28" baseField="0" baseItem="0"/>
    <dataField name="$Value6Lbl$" fld="14" baseField="0" baseItem="0"/>
    <dataField name="$Quantity6Lbl$" fld="15" baseField="0" baseItem="0"/>
    <dataField name="$Value7Lbl$" fld="16" baseField="0" baseItem="0"/>
    <dataField name="$Quantity7Lbl$" fld="17" baseField="0" baseItem="0"/>
    <dataField name="$Value12Lbl$" fld="29" baseField="0" baseItem="0"/>
    <dataField name="$Quantity12Lbl$" fld="30" baseField="0" baseItem="0"/>
    <dataField name="$Value8Lbl$" fld="18" baseField="0" baseItem="0"/>
    <dataField name="$Quantity8Lbl$" fld="19" baseField="0" baseItem="0"/>
    <dataField name="$InvCostPostedToGLLbl$" fld="21" baseField="0" baseItem="0"/>
    <dataField name="$ExpCostPostedToGLLbl$" fld="22" baseField="0" baseItem="0"/>
    <dataField name="$TotalCostPostedToGLLbl$" fld="20" baseField="0" baseItem="0"/>
    <dataField name="$InvDifferenceLbl$" fld="31" baseField="0" baseItem="0"/>
    <dataField name="$ExpDifferenceLbl$" fld="32" baseField="0" baseItem="0"/>
    <dataField name="$TotalDifferenceLbl$" fld="33" baseField="0" baseItem="0"/>
  </dataFields>
  <formats count="56">
    <format dxfId="312">
      <pivotArea field="3" type="button" dataOnly="0" labelOnly="1" outline="0" axis="axisRow" fieldPosition="0"/>
    </format>
    <format dxfId="311">
      <pivotArea field="0" type="button" dataOnly="0" labelOnly="1" outline="0" axis="axisRow" fieldPosition="1"/>
    </format>
    <format dxfId="310">
      <pivotArea field="1" type="button" dataOnly="0" labelOnly="1" outline="0" axis="axisRow" fieldPosition="2"/>
    </format>
    <format dxfId="309">
      <pivotArea field="2" type="button" dataOnly="0" labelOnly="1" outline="0" axis="axisRow" fieldPosition="3"/>
    </format>
    <format dxfId="308">
      <pivotArea dataOnly="0" labelOnly="1" outline="0" fieldPosition="0">
        <references count="1">
          <reference field="4294967294" count="19">
            <x v="0"/>
            <x v="1"/>
            <x v="4"/>
            <x v="5"/>
            <x v="6"/>
            <x v="7"/>
            <x v="10"/>
            <x v="11"/>
            <x v="12"/>
            <x v="13"/>
            <x v="16"/>
            <x v="17"/>
            <x v="18"/>
            <x v="19"/>
            <x v="22"/>
            <x v="23"/>
            <x v="24"/>
            <x v="25"/>
            <x v="26"/>
          </reference>
        </references>
      </pivotArea>
    </format>
    <format dxfId="307">
      <pivotArea field="3" type="button" dataOnly="0" labelOnly="1" outline="0" axis="axisRow" fieldPosition="0"/>
    </format>
    <format dxfId="306">
      <pivotArea field="0" type="button" dataOnly="0" labelOnly="1" outline="0" axis="axisRow" fieldPosition="1"/>
    </format>
    <format dxfId="305">
      <pivotArea field="1" type="button" dataOnly="0" labelOnly="1" outline="0" axis="axisRow" fieldPosition="2"/>
    </format>
    <format dxfId="304">
      <pivotArea field="2" type="button" dataOnly="0" labelOnly="1" outline="0" axis="axisRow" fieldPosition="3"/>
    </format>
    <format dxfId="303">
      <pivotArea dataOnly="0" labelOnly="1" outline="0" fieldPosition="0">
        <references count="1">
          <reference field="4294967294" count="19">
            <x v="0"/>
            <x v="1"/>
            <x v="4"/>
            <x v="5"/>
            <x v="6"/>
            <x v="7"/>
            <x v="10"/>
            <x v="11"/>
            <x v="12"/>
            <x v="13"/>
            <x v="16"/>
            <x v="17"/>
            <x v="18"/>
            <x v="19"/>
            <x v="22"/>
            <x v="23"/>
            <x v="24"/>
            <x v="25"/>
            <x v="26"/>
          </reference>
        </references>
      </pivotArea>
    </format>
    <format dxfId="302">
      <pivotArea field="3" type="button" dataOnly="0" labelOnly="1" outline="0" axis="axisRow" fieldPosition="0"/>
    </format>
    <format dxfId="301">
      <pivotArea field="0" type="button" dataOnly="0" labelOnly="1" outline="0" axis="axisRow" fieldPosition="1"/>
    </format>
    <format dxfId="300">
      <pivotArea field="1" type="button" dataOnly="0" labelOnly="1" outline="0" axis="axisRow" fieldPosition="2"/>
    </format>
    <format dxfId="299">
      <pivotArea field="2" type="button" dataOnly="0" labelOnly="1" outline="0" axis="axisRow" fieldPosition="3"/>
    </format>
    <format dxfId="298">
      <pivotArea dataOnly="0" labelOnly="1" outline="0" fieldPosition="0">
        <references count="1">
          <reference field="4294967294" count="19">
            <x v="0"/>
            <x v="1"/>
            <x v="4"/>
            <x v="5"/>
            <x v="6"/>
            <x v="7"/>
            <x v="10"/>
            <x v="11"/>
            <x v="12"/>
            <x v="13"/>
            <x v="16"/>
            <x v="17"/>
            <x v="18"/>
            <x v="19"/>
            <x v="22"/>
            <x v="23"/>
            <x v="24"/>
            <x v="25"/>
            <x v="26"/>
          </reference>
        </references>
      </pivotArea>
    </format>
    <format dxfId="297">
      <pivotArea dataOnly="0" labelOnly="1" outline="0" fieldPosition="0">
        <references count="1">
          <reference field="4294967294" count="19">
            <x v="0"/>
            <x v="1"/>
            <x v="4"/>
            <x v="5"/>
            <x v="6"/>
            <x v="7"/>
            <x v="10"/>
            <x v="11"/>
            <x v="12"/>
            <x v="13"/>
            <x v="16"/>
            <x v="17"/>
            <x v="18"/>
            <x v="19"/>
            <x v="22"/>
            <x v="23"/>
            <x v="24"/>
            <x v="25"/>
            <x v="26"/>
          </reference>
        </references>
      </pivotArea>
    </format>
    <format dxfId="296">
      <pivotArea dataOnly="0" labelOnly="1" outline="0" fieldPosition="0">
        <references count="1">
          <reference field="4294967294" count="4">
            <x v="0"/>
            <x v="1"/>
            <x v="4"/>
            <x v="5"/>
          </reference>
        </references>
      </pivotArea>
    </format>
    <format dxfId="295">
      <pivotArea dataOnly="0" labelOnly="1" outline="0" fieldPosition="0">
        <references count="1">
          <reference field="4294967294" count="4">
            <x v="12"/>
            <x v="13"/>
            <x v="16"/>
            <x v="17"/>
          </reference>
        </references>
      </pivotArea>
    </format>
    <format dxfId="294">
      <pivotArea grandRow="1" outline="0" collapsedLevelsAreSubtotals="1" fieldPosition="0"/>
    </format>
    <format dxfId="293">
      <pivotArea dataOnly="0" labelOnly="1" grandRow="1" outline="0" fieldPosition="0"/>
    </format>
    <format dxfId="292">
      <pivotArea grandRow="1" outline="0" collapsedLevelsAreSubtotals="1" fieldPosition="0"/>
    </format>
    <format dxfId="291">
      <pivotArea dataOnly="0" labelOnly="1" grandRow="1" outline="0" fieldPosition="0"/>
    </format>
    <format dxfId="290">
      <pivotArea grandRow="1" outline="0" collapsedLevelsAreSubtotals="1" fieldPosition="0"/>
    </format>
    <format dxfId="289">
      <pivotArea dataOnly="0" labelOnly="1" grandRow="1" outline="0" fieldPosition="0"/>
    </format>
    <format dxfId="288">
      <pivotArea outline="0" fieldPosition="0">
        <references count="4">
          <reference field="0" count="0" selected="0"/>
          <reference field="1" count="0" selected="0"/>
          <reference field="2" count="0" selected="0"/>
          <reference field="3" count="0" selected="0"/>
        </references>
      </pivotArea>
    </format>
    <format dxfId="287">
      <pivotArea dataOnly="0" labelOnly="1" outline="0" fieldPosition="0">
        <references count="1">
          <reference field="3" count="0"/>
        </references>
      </pivotArea>
    </format>
    <format dxfId="286">
      <pivotArea dataOnly="0" labelOnly="1" outline="0" fieldPosition="0">
        <references count="2">
          <reference field="0" count="0"/>
          <reference field="3" count="0" selected="0"/>
        </references>
      </pivotArea>
    </format>
    <format dxfId="285">
      <pivotArea dataOnly="0" labelOnly="1" outline="0" fieldPosition="0">
        <references count="3">
          <reference field="0" count="0" selected="0"/>
          <reference field="1" count="0"/>
          <reference field="3" count="0" selected="0"/>
        </references>
      </pivotArea>
    </format>
    <format dxfId="284">
      <pivotArea dataOnly="0" labelOnly="1" outline="0" fieldPosition="0">
        <references count="4">
          <reference field="0" count="0" selected="0"/>
          <reference field="1" count="0" selected="0"/>
          <reference field="2" count="0"/>
          <reference field="3" count="0" selected="0"/>
        </references>
      </pivotArea>
    </format>
    <format dxfId="283">
      <pivotArea outline="0" fieldPosition="0">
        <references count="4">
          <reference field="0" count="0" selected="0"/>
          <reference field="1" count="0" selected="0"/>
          <reference field="2" count="0" selected="0"/>
          <reference field="3" count="0" selected="0"/>
        </references>
      </pivotArea>
    </format>
    <format dxfId="282">
      <pivotArea dataOnly="0" labelOnly="1" outline="0" fieldPosition="0">
        <references count="1">
          <reference field="3" count="0"/>
        </references>
      </pivotArea>
    </format>
    <format dxfId="281">
      <pivotArea dataOnly="0" labelOnly="1" outline="0" fieldPosition="0">
        <references count="2">
          <reference field="0" count="0"/>
          <reference field="3" count="0" selected="0"/>
        </references>
      </pivotArea>
    </format>
    <format dxfId="280">
      <pivotArea dataOnly="0" labelOnly="1" outline="0" fieldPosition="0">
        <references count="3">
          <reference field="0" count="0" selected="0"/>
          <reference field="1" count="0"/>
          <reference field="3" count="0" selected="0"/>
        </references>
      </pivotArea>
    </format>
    <format dxfId="279">
      <pivotArea dataOnly="0" labelOnly="1" outline="0" fieldPosition="0">
        <references count="4">
          <reference field="0" count="0" selected="0"/>
          <reference field="1" count="0" selected="0"/>
          <reference field="2" count="0"/>
          <reference field="3" count="0" selected="0"/>
        </references>
      </pivotArea>
    </format>
    <format dxfId="278">
      <pivotArea field="3" type="button" dataOnly="0" labelOnly="1" outline="0" axis="axisRow" fieldPosition="0"/>
    </format>
    <format dxfId="277">
      <pivotArea field="0" type="button" dataOnly="0" labelOnly="1" outline="0" axis="axisRow" fieldPosition="1"/>
    </format>
    <format dxfId="276">
      <pivotArea field="1" type="button" dataOnly="0" labelOnly="1" outline="0" axis="axisRow" fieldPosition="2"/>
    </format>
    <format dxfId="275">
      <pivotArea field="2" type="button" dataOnly="0" labelOnly="1" outline="0" axis="axisRow" fieldPosition="3"/>
    </format>
    <format dxfId="274">
      <pivotArea dataOnly="0" labelOnly="1" outline="0" fieldPosition="0">
        <references count="1">
          <reference field="4294967294" count="27">
            <x v="0"/>
            <x v="1"/>
            <x v="2"/>
            <x v="3"/>
            <x v="4"/>
            <x v="5"/>
            <x v="6"/>
            <x v="7"/>
            <x v="8"/>
            <x v="9"/>
            <x v="10"/>
            <x v="11"/>
            <x v="12"/>
            <x v="13"/>
            <x v="14"/>
            <x v="15"/>
            <x v="16"/>
            <x v="17"/>
            <x v="18"/>
            <x v="19"/>
            <x v="20"/>
            <x v="21"/>
            <x v="22"/>
            <x v="23"/>
            <x v="24"/>
            <x v="25"/>
            <x v="26"/>
          </reference>
        </references>
      </pivotArea>
    </format>
    <format dxfId="273">
      <pivotArea field="3" type="button" dataOnly="0" labelOnly="1" outline="0" axis="axisRow" fieldPosition="0"/>
    </format>
    <format dxfId="272">
      <pivotArea field="0" type="button" dataOnly="0" labelOnly="1" outline="0" axis="axisRow" fieldPosition="1"/>
    </format>
    <format dxfId="271">
      <pivotArea field="1" type="button" dataOnly="0" labelOnly="1" outline="0" axis="axisRow" fieldPosition="2"/>
    </format>
    <format dxfId="270">
      <pivotArea field="2" type="button" dataOnly="0" labelOnly="1" outline="0" axis="axisRow" fieldPosition="3"/>
    </format>
    <format dxfId="269">
      <pivotArea dataOnly="0" labelOnly="1" outline="0" fieldPosition="0">
        <references count="1">
          <reference field="4294967294" count="27">
            <x v="0"/>
            <x v="1"/>
            <x v="2"/>
            <x v="3"/>
            <x v="4"/>
            <x v="5"/>
            <x v="6"/>
            <x v="7"/>
            <x v="8"/>
            <x v="9"/>
            <x v="10"/>
            <x v="11"/>
            <x v="12"/>
            <x v="13"/>
            <x v="14"/>
            <x v="15"/>
            <x v="16"/>
            <x v="17"/>
            <x v="18"/>
            <x v="19"/>
            <x v="20"/>
            <x v="21"/>
            <x v="22"/>
            <x v="23"/>
            <x v="24"/>
            <x v="25"/>
            <x v="26"/>
          </reference>
        </references>
      </pivotArea>
    </format>
    <format dxfId="268">
      <pivotArea dataOnly="0" labelOnly="1" outline="0" fieldPosition="0">
        <references count="1">
          <reference field="4294967294" count="2">
            <x v="2"/>
            <x v="3"/>
          </reference>
        </references>
      </pivotArea>
    </format>
    <format dxfId="267">
      <pivotArea dataOnly="0" labelOnly="1" outline="0" fieldPosition="0">
        <references count="1">
          <reference field="4294967294" count="2">
            <x v="14"/>
            <x v="15"/>
          </reference>
        </references>
      </pivotArea>
    </format>
    <format dxfId="266">
      <pivotArea dataOnly="0" labelOnly="1" outline="0" fieldPosition="0">
        <references count="1">
          <reference field="4294967294" count="3">
            <x v="27"/>
            <x v="28"/>
            <x v="29"/>
          </reference>
        </references>
      </pivotArea>
    </format>
    <format dxfId="265">
      <pivotArea dataOnly="0" labelOnly="1" outline="0" fieldPosition="0">
        <references count="1">
          <reference field="4294967294" count="5">
            <x v="1"/>
            <x v="2"/>
            <x v="3"/>
            <x v="4"/>
            <x v="5"/>
          </reference>
        </references>
      </pivotArea>
    </format>
    <format dxfId="264">
      <pivotArea dataOnly="0" labelOnly="1" outline="0" fieldPosition="0">
        <references count="1">
          <reference field="4294967294" count="1">
            <x v="0"/>
          </reference>
        </references>
      </pivotArea>
    </format>
    <format dxfId="263">
      <pivotArea dataOnly="0" labelOnly="1" outline="0" fieldPosition="0">
        <references count="1">
          <reference field="4294967294" count="6">
            <x v="12"/>
            <x v="13"/>
            <x v="14"/>
            <x v="15"/>
            <x v="16"/>
            <x v="17"/>
          </reference>
        </references>
      </pivotArea>
    </format>
    <format dxfId="262">
      <pivotArea dataOnly="0" labelOnly="1" outline="0" fieldPosition="0">
        <references count="1">
          <reference field="4294967294" count="30">
            <x v="0"/>
            <x v="1"/>
            <x v="2"/>
            <x v="3"/>
            <x v="4"/>
            <x v="5"/>
            <x v="6"/>
            <x v="7"/>
            <x v="8"/>
            <x v="9"/>
            <x v="10"/>
            <x v="11"/>
            <x v="12"/>
            <x v="13"/>
            <x v="14"/>
            <x v="15"/>
            <x v="16"/>
            <x v="17"/>
            <x v="18"/>
            <x v="19"/>
            <x v="20"/>
            <x v="21"/>
            <x v="22"/>
            <x v="23"/>
            <x v="24"/>
            <x v="25"/>
            <x v="26"/>
            <x v="27"/>
            <x v="28"/>
            <x v="29"/>
          </reference>
        </references>
      </pivotArea>
    </format>
    <format dxfId="261">
      <pivotArea field="3" type="button" dataOnly="0" labelOnly="1" outline="0" axis="axisRow" fieldPosition="0"/>
    </format>
    <format dxfId="260">
      <pivotArea field="0" type="button" dataOnly="0" labelOnly="1" outline="0" axis="axisRow" fieldPosition="1"/>
    </format>
    <format dxfId="259">
      <pivotArea field="1" type="button" dataOnly="0" labelOnly="1" outline="0" axis="axisRow" fieldPosition="2"/>
    </format>
    <format dxfId="258">
      <pivotArea field="2" type="button" dataOnly="0" labelOnly="1" outline="0" axis="axisRow" fieldPosition="3"/>
    </format>
    <format dxfId="257">
      <pivotArea dataOnly="0" labelOnly="1" outline="0" fieldPosition="0">
        <references count="1">
          <reference field="4294967294" count="30">
            <x v="0"/>
            <x v="1"/>
            <x v="2"/>
            <x v="3"/>
            <x v="4"/>
            <x v="5"/>
            <x v="6"/>
            <x v="7"/>
            <x v="8"/>
            <x v="9"/>
            <x v="10"/>
            <x v="11"/>
            <x v="12"/>
            <x v="13"/>
            <x v="14"/>
            <x v="15"/>
            <x v="16"/>
            <x v="17"/>
            <x v="18"/>
            <x v="19"/>
            <x v="20"/>
            <x v="21"/>
            <x v="22"/>
            <x v="23"/>
            <x v="24"/>
            <x v="25"/>
            <x v="26"/>
            <x v="27"/>
            <x v="28"/>
            <x v="29"/>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2EA97FBF-6A0A-4A9C-8102-34909BE1FFB2}" autoFormatId="16" applyNumberFormats="0" applyBorderFormats="0" applyFontFormats="0" applyPatternFormats="0" applyAlignmentFormats="0" applyWidthHeightFormats="0">
  <queryTableRefresh nextId="44">
    <queryTableFields count="34">
      <queryTableField id="2" name="ItemNo" tableColumnId="2"/>
      <queryTableField id="3" name="ItemDescription" tableColumnId="3"/>
      <queryTableField id="4" name="ItemBaseUnitofMeasure" tableColumnId="4"/>
      <queryTableField id="5" name="Item_Inventory_Posting_Group" tableColumnId="5"/>
      <queryTableField id="6" name="StartingInvoicedValue" tableColumnId="6"/>
      <queryTableField id="7" name="StartingInvoicedQty" tableColumnId="7"/>
      <queryTableField id="8" name="StartingExpectedValue" tableColumnId="8"/>
      <queryTableField id="9" name="StartingExpectedQty" tableColumnId="9"/>
      <queryTableField id="10" name="IncreaseInvoicedValue" tableColumnId="10"/>
      <queryTableField id="11" name="IncreaseInvoicedQty" tableColumnId="11"/>
      <queryTableField id="12" name="IncreaseExpectedValue" tableColumnId="12"/>
      <queryTableField id="13" name="IncreaseExpectedQty" tableColumnId="13"/>
      <queryTableField id="14" name="DecreaseInvoicedValue" tableColumnId="14"/>
      <queryTableField id="15" name="DecreaseInvoicedQty" tableColumnId="15"/>
      <queryTableField id="16" name="DecreaseExpectedValue" tableColumnId="16"/>
      <queryTableField id="17" name="DecreaseExpectedQty" tableColumnId="17"/>
      <queryTableField id="18" name="EndingInvoicedValue" tableColumnId="18"/>
      <queryTableField id="19" name="EndingInvoicedQty" tableColumnId="19"/>
      <queryTableField id="20" name="EndingExpectedValue" tableColumnId="20"/>
      <queryTableField id="21" name="EndingExpectedQty" tableColumnId="21"/>
      <queryTableField id="22" name="CostPostedToGL" tableColumnId="22"/>
      <queryTableField id="23" name="InvCostPostedToGL" tableColumnId="23"/>
      <queryTableField id="24" name="ExpCostPostedToGL" tableColumnId="24"/>
      <queryTableField id="33" name="StartingExpectedNotInvoicedValue" tableColumnId="1"/>
      <queryTableField id="34" name="StartingExpectedNotInvoicedQty" tableColumnId="25"/>
      <queryTableField id="35" name="IncreaseExpectedNotInvoicedValue" tableColumnId="26"/>
      <queryTableField id="36" name="IncreaseExpectedNotInvoicedQty" tableColumnId="27"/>
      <queryTableField id="37" name="DecreaseExpectedNotInvoicedValue" tableColumnId="28"/>
      <queryTableField id="38" name="DecreaseExpectedNotInvoicedQty" tableColumnId="29"/>
      <queryTableField id="39" name="EndingExpectedNotInvoicedValue" tableColumnId="30"/>
      <queryTableField id="40" name="EndingExpectedNotInvoicedQty" tableColumnId="31"/>
      <queryTableField id="41" name="InvCostPostedToGLDifference" tableColumnId="32"/>
      <queryTableField id="42" name="ExpCostPostedToGLDifference" tableColumnId="33"/>
      <queryTableField id="43" name="CostPostedToGLDifference" tableColumnId="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No" xr10:uid="{1A2A632F-AA4F-4263-849E-5E5366735098}" sourceName="ItemNo">
  <pivotTables>
    <pivotTable tabId="10" name="PivotTable1"/>
  </pivotTables>
  <data>
    <tabular pivotCacheId="453210896"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Description" xr10:uid="{91C835CA-0F5C-40BE-859D-3E0A2F1A3FFD}" sourceName="ItemDescription">
  <pivotTables>
    <pivotTable tabId="10" name="PivotTable1"/>
  </pivotTables>
  <data>
    <tabular pivotCacheId="453210896"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Inventory_Posting_Group" xr10:uid="{B6158136-5068-42DF-AAF6-552AA056E04B}" sourceName="Item_Inventory_Posting_Group">
  <pivotTables>
    <pivotTable tabId="10" name="PivotTable1"/>
  </pivotTables>
  <data>
    <tabular pivotCacheId="453210896"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NoLbl$" xr10:uid="{AAC9106B-6850-41C2-AF08-C82C606D28AA}" cache="Slicer_ItemNo" caption="$ItemNoLbl$" style="Business Central Reports Slicer Style (Template)" rowHeight="273050"/>
  <slicer name="$ItemDescLbl$" xr10:uid="{790FE5A2-1F89-435D-A3D1-C4635F88F379}" cache="Slicer_ItemDescription" caption="$ItemDescLbl$" style="Business Central Reports Slicer Style (Template)" rowHeight="273050"/>
  <slicer name="$Item_Inventory_Posting_Group$" xr10:uid="{87DA5D66-3929-40F5-9AE1-1AD2FA28D65A}" cache="Slicer_Item_Inventory_Posting_Group" caption="$Item_Inventory_Posting_Group$"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8366D2-439F-4C41-8C1D-110FE8322280}" name="InventoryValuation_Query" displayName="InventoryValuation_Query" ref="A1:AH2" tableType="queryTable" totalsRowShown="0">
  <autoFilter ref="A1:AH2" xr:uid="{448366D2-439F-4C41-8C1D-110FE8322280}"/>
  <tableColumns count="34">
    <tableColumn id="2" xr3:uid="{35C359B6-A478-4AB1-920F-3272ED8EF7E9}" uniqueName="2" name="ItemNo" queryTableFieldId="2" dataDxfId="256"/>
    <tableColumn id="3" xr3:uid="{C40D2CE3-ACF8-4EB1-AB9C-3D835F2AAB84}" uniqueName="3" name="ItemDescription" queryTableFieldId="3" dataDxfId="255"/>
    <tableColumn id="4" xr3:uid="{98C5BBA7-F5A5-4EA5-8546-02F86C1BDAEF}" uniqueName="4" name="ItemBaseUnitofMeasure" queryTableFieldId="4" dataDxfId="254"/>
    <tableColumn id="5" xr3:uid="{A4C3D647-0CD6-4126-91C6-8261808EF286}" uniqueName="5" name="Item_Inventory_Posting_Group" queryTableFieldId="5" dataDxfId="253"/>
    <tableColumn id="6" xr3:uid="{4AEFA6F4-D315-41E8-B52D-DF2DEF315E4C}" uniqueName="6" name="StartingInvoicedValue" queryTableFieldId="6"/>
    <tableColumn id="7" xr3:uid="{2548E3E1-6735-4C36-AD4A-3A2C205BCDA9}" uniqueName="7" name="StartingInvoicedQty" queryTableFieldId="7"/>
    <tableColumn id="8" xr3:uid="{19E06DE9-51CF-49F6-A0B1-166AB5FF5348}" uniqueName="8" name="StartingExpectedValue" queryTableFieldId="8"/>
    <tableColumn id="9" xr3:uid="{A847D37A-35C1-43EE-B723-6F905D3C56F0}" uniqueName="9" name="StartingExpectedQty" queryTableFieldId="9"/>
    <tableColumn id="10" xr3:uid="{AD2EDB3B-C0F9-4D9B-8616-4055F1B78553}" uniqueName="10" name="IncreaseInvoicedValue" queryTableFieldId="10"/>
    <tableColumn id="11" xr3:uid="{40A45680-B3B9-4232-B5E8-3F3188F5F507}" uniqueName="11" name="IncreaseInvoicedQty" queryTableFieldId="11"/>
    <tableColumn id="12" xr3:uid="{4697D971-15BE-430E-B2D8-892C1945D369}" uniqueName="12" name="IncreaseExpectedValue" queryTableFieldId="12"/>
    <tableColumn id="13" xr3:uid="{947FD814-C648-4AF5-87CF-AF4884B5BFD3}" uniqueName="13" name="IncreaseExpectedQty" queryTableFieldId="13"/>
    <tableColumn id="14" xr3:uid="{4F7C0DFF-8D94-4F86-B11A-E08F0ABE457C}" uniqueName="14" name="DecreaseInvoicedValue" queryTableFieldId="14"/>
    <tableColumn id="15" xr3:uid="{17355006-11D3-4593-A7AC-C291DCF8483F}" uniqueName="15" name="DecreaseInvoicedQty" queryTableFieldId="15"/>
    <tableColumn id="16" xr3:uid="{AA0A7C4A-0AEC-42B4-B365-FB6F33AE5BB0}" uniqueName="16" name="DecreaseExpectedValue" queryTableFieldId="16"/>
    <tableColumn id="17" xr3:uid="{D92D454A-F689-42DD-8814-1D75D7CFC4FA}" uniqueName="17" name="DecreaseExpectedQty" queryTableFieldId="17"/>
    <tableColumn id="18" xr3:uid="{446F05A0-818B-4C5A-B2F8-3B07284189A4}" uniqueName="18" name="EndingInvoicedValue" queryTableFieldId="18"/>
    <tableColumn id="19" xr3:uid="{B08126DB-B2BE-4A0E-951A-BA396A59BC4B}" uniqueName="19" name="EndingInvoicedQty" queryTableFieldId="19"/>
    <tableColumn id="20" xr3:uid="{9637C9D0-7E46-4726-89D2-B97D9BBD0993}" uniqueName="20" name="EndingExpectedValue" queryTableFieldId="20"/>
    <tableColumn id="21" xr3:uid="{C70C8EA7-4D03-40B6-A742-72C62319453C}" uniqueName="21" name="EndingExpectedQty" queryTableFieldId="21"/>
    <tableColumn id="22" xr3:uid="{50945F65-5722-42FA-8225-FCECB9116539}" uniqueName="22" name="CostPostedToGL" queryTableFieldId="22"/>
    <tableColumn id="23" xr3:uid="{A6699597-2EA9-4CFB-98D8-CD510AC06365}" uniqueName="23" name="InvCostPostedToGL" queryTableFieldId="23"/>
    <tableColumn id="24" xr3:uid="{10D1A3F1-31C6-4A51-96AC-82A9BDED5075}" uniqueName="24" name="ExpCostPostedToGL" queryTableFieldId="24"/>
    <tableColumn id="1" xr3:uid="{BDC14673-F66A-4D62-B7FB-0682B4ADC069}" uniqueName="1" name="StartingExpectedNotInvoicedValue" queryTableFieldId="33"/>
    <tableColumn id="25" xr3:uid="{5DE59851-3C74-4710-97F4-4AB7DDA5E3B9}" uniqueName="25" name="StartingExpectedNotInvoicedQty" queryTableFieldId="34"/>
    <tableColumn id="26" xr3:uid="{16A3F68D-3114-4C58-BBC3-767E31805076}" uniqueName="26" name="IncreaseExpectedNotInvoicedValue" queryTableFieldId="35"/>
    <tableColumn id="27" xr3:uid="{27C99527-385E-4CCC-9546-665DC4325156}" uniqueName="27" name="IncreaseExpectedNotInvoicedQty" queryTableFieldId="36"/>
    <tableColumn id="28" xr3:uid="{BF396880-54CE-400A-BFBA-3FB81E24C94A}" uniqueName="28" name="DecreaseExpectedNotInvoicedValue" queryTableFieldId="37"/>
    <tableColumn id="29" xr3:uid="{A7D84417-6ED9-4E2D-92E7-F7189B871869}" uniqueName="29" name="DecreaseExpectedNotInvoicedQty" queryTableFieldId="38"/>
    <tableColumn id="30" xr3:uid="{85F7767A-B58A-4719-89F7-8304A85F8006}" uniqueName="30" name="EndingExpectedNotInvoicedValue" queryTableFieldId="39"/>
    <tableColumn id="31" xr3:uid="{D2FCDF06-F6E7-4146-ADA9-8B3C79103E40}" uniqueName="31" name="EndingExpectedNotInvoicedQty" queryTableFieldId="40"/>
    <tableColumn id="32" xr3:uid="{7647555F-9C79-455B-8747-AEECB12442C4}" uniqueName="32" name="InvCostPostedToGLDifference" queryTableFieldId="41"/>
    <tableColumn id="33" xr3:uid="{C067D90D-6043-4898-A64B-CF82D5252ED8}" uniqueName="33" name="ExpCostPostedToGLDifference" queryTableFieldId="42"/>
    <tableColumn id="34" xr3:uid="{744F44A8-5D34-4833-A354-5AAC7D936292}" uniqueName="34" name="CostPostedToGLDifference" queryTableFieldId="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AJ2" totalsRowShown="0" headerRowDxfId="252">
  <autoFilter ref="A1:AJ2" xr:uid="{41D726F2-778D-4B1C-A5EA-875FED73D050}"/>
  <tableColumns count="36">
    <tableColumn id="1" xr3:uid="{21867904-D69E-41E3-B5BE-D9B124B8D7E4}" name="ShowExpected"/>
    <tableColumn id="2" xr3:uid="{21867904-D69E-41E3-B5BE-D9B124B8D7E4}" name="ItemFilter"/>
    <tableColumn id="3" xr3:uid="{21867904-D69E-41E3-B5BE-D9B124B8D7E4}" name="ItemNo"/>
    <tableColumn id="4" xr3:uid="{21867904-D69E-41E3-B5BE-D9B124B8D7E4}" name="ItemDescription"/>
    <tableColumn id="5" xr3:uid="{21867904-D69E-41E3-B5BE-D9B124B8D7E4}" name="ItemBaseUnitofMeasure"/>
    <tableColumn id="6" xr3:uid="{21867904-D69E-41E3-B5BE-D9B124B8D7E4}" name="Item_Inventory_Posting_Group"/>
    <tableColumn id="7" xr3:uid="{21867904-D69E-41E3-B5BE-D9B124B8D7E4}" name="StartingInvoicedValue"/>
    <tableColumn id="8" xr3:uid="{21867904-D69E-41E3-B5BE-D9B124B8D7E4}" name="StartingInvoicedQty"/>
    <tableColumn id="9" xr3:uid="{21867904-D69E-41E3-B5BE-D9B124B8D7E4}" name="StartingExpectedValue"/>
    <tableColumn id="10" xr3:uid="{21867904-D69E-41E3-B5BE-D9B124B8D7E4}" name="StartingExpectedQty"/>
    <tableColumn id="11" xr3:uid="{21867904-D69E-41E3-B5BE-D9B124B8D7E4}" name="IncreaseInvoicedValue"/>
    <tableColumn id="12" xr3:uid="{21867904-D69E-41E3-B5BE-D9B124B8D7E4}" name="IncreaseInvoicedQty"/>
    <tableColumn id="13" xr3:uid="{21867904-D69E-41E3-B5BE-D9B124B8D7E4}" name="IncreaseExpectedValue"/>
    <tableColumn id="14" xr3:uid="{21867904-D69E-41E3-B5BE-D9B124B8D7E4}" name="IncreaseExpectedQty"/>
    <tableColumn id="15" xr3:uid="{21867904-D69E-41E3-B5BE-D9B124B8D7E4}" name="DecreaseInvoicedValue"/>
    <tableColumn id="16" xr3:uid="{21867904-D69E-41E3-B5BE-D9B124B8D7E4}" name="DecreaseInvoicedQty"/>
    <tableColumn id="17" xr3:uid="{21867904-D69E-41E3-B5BE-D9B124B8D7E4}" name="DecreaseExpectedValue"/>
    <tableColumn id="18" xr3:uid="{21867904-D69E-41E3-B5BE-D9B124B8D7E4}" name="DecreaseExpectedQty"/>
    <tableColumn id="19" xr3:uid="{21867904-D69E-41E3-B5BE-D9B124B8D7E4}" name="EndingInvoicedValue"/>
    <tableColumn id="20" xr3:uid="{21867904-D69E-41E3-B5BE-D9B124B8D7E4}" name="EndingInvoicedQty"/>
    <tableColumn id="21" xr3:uid="{21867904-D69E-41E3-B5BE-D9B124B8D7E4}" name="EndingExpectedValue"/>
    <tableColumn id="22" xr3:uid="{21867904-D69E-41E3-B5BE-D9B124B8D7E4}" name="EndingExpectedQty"/>
    <tableColumn id="23" xr3:uid="{21867904-D69E-41E3-B5BE-D9B124B8D7E4}" name="CostPostedToGL"/>
    <tableColumn id="24" xr3:uid="{21867904-D69E-41E3-B5BE-D9B124B8D7E4}" name="InvCostPostedToGL"/>
    <tableColumn id="25" xr3:uid="{21867904-D69E-41E3-B5BE-D9B124B8D7E4}" name="ExpCostPostedToGL"/>
    <tableColumn id="26" xr3:uid="{4DA2AA48-E5EA-4953-9FF5-0A48E2B1B396}" name="StartingExpectedNotInvoicedValue" dataDxfId="251"/>
    <tableColumn id="27" xr3:uid="{EBF95E9A-4676-4285-8B3E-9A29FF0FBB07}" name="StartingExpectedNotInvoicedQty" dataDxfId="250"/>
    <tableColumn id="28" xr3:uid="{C56EBB1D-563B-440D-996F-682CCC4C7B91}" name="IncreaseExpectedNotInvoicedValue" dataDxfId="249"/>
    <tableColumn id="29" xr3:uid="{4F7D3007-DCF7-439C-B910-ACF0159AD0C4}" name="IncreaseExpectedNotInvoicedQty" dataDxfId="248"/>
    <tableColumn id="30" xr3:uid="{B817DBDC-2B12-4696-A13B-76C128CED733}" name="DecreaseExpectedNotInvoicedValue" dataDxfId="247"/>
    <tableColumn id="31" xr3:uid="{39030CBA-CFAF-499A-B40D-8938573DB902}" name="DecreaseExpectedNotInvoicedQty" dataDxfId="246"/>
    <tableColumn id="32" xr3:uid="{51D6EEAA-54D9-4817-B28E-9EBF7C8606C1}" name="EndingExpectedNotInvoicedValue" dataDxfId="245"/>
    <tableColumn id="33" xr3:uid="{88405055-74BF-4C8B-A8E1-7F89FCC98FA3}" name="EndingExpectedNotInvoicedQty" dataDxfId="244"/>
    <tableColumn id="34" xr3:uid="{4286A724-48E4-483B-A14B-A508640AAD19}" name="InvCostPostedToGLDifference" dataDxfId="243"/>
    <tableColumn id="35" xr3:uid="{ACF79EA4-4823-4D8C-BAE6-3CB2C591FBA6}" name="ExpCostPostedToGLDifference" dataDxfId="242"/>
    <tableColumn id="36" xr3:uid="{2F6EA270-9894-4787-B959-82DF419FAB91}" name="CostPostedToGLDifference" dataDxfId="241"/>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240">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239">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238">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237">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7D6A4-487C-4DD4-A85C-65B954662B21}">
  <sheetPr>
    <pageSetUpPr fitToPage="1"/>
  </sheetPr>
  <dimension ref="A2:O24"/>
  <sheetViews>
    <sheetView showGridLines="0" tabSelected="1" workbookViewId="0"/>
  </sheetViews>
  <sheetFormatPr defaultColWidth="9.08203125" defaultRowHeight="20" customHeight="1" x14ac:dyDescent="0.45"/>
  <cols>
    <col min="1" max="1" width="9.08203125" style="13"/>
    <col min="2" max="2" width="22.5" style="8" customWidth="1"/>
    <col min="3" max="3" width="9.58203125" style="8" bestFit="1" customWidth="1"/>
    <col min="4" max="4" width="27.75" style="8" bestFit="1" customWidth="1"/>
    <col min="5" max="5" width="10.58203125" style="8" bestFit="1" customWidth="1"/>
    <col min="6" max="13" width="10.83203125" style="8" customWidth="1"/>
    <col min="14" max="14" width="22.58203125" style="8" bestFit="1" customWidth="1"/>
    <col min="15" max="15" width="25.58203125" style="8" customWidth="1"/>
    <col min="16" max="24" width="10.83203125" customWidth="1"/>
    <col min="28" max="29" width="10.83203125" customWidth="1"/>
    <col min="30" max="30" width="22.33203125" customWidth="1"/>
    <col min="31" max="31" width="22.83203125" bestFit="1" customWidth="1"/>
    <col min="32" max="32" width="16.58203125" customWidth="1"/>
    <col min="33" max="33" width="15.9140625" bestFit="1" customWidth="1"/>
    <col min="34" max="34" width="16.4140625" bestFit="1" customWidth="1"/>
    <col min="35" max="35" width="13.1640625" bestFit="1" customWidth="1"/>
  </cols>
  <sheetData>
    <row r="2" spans="2:15" ht="20" customHeight="1" thickBot="1" x14ac:dyDescent="0.5">
      <c r="B2" s="12" t="s">
        <v>150</v>
      </c>
      <c r="O2" s="9" t="str" cm="1">
        <f t="array" ref="O2">ReportRequest.CompanyName</f>
        <v>Company name Value</v>
      </c>
    </row>
    <row r="3" spans="2:15" ht="20" customHeight="1" thickTop="1" x14ac:dyDescent="0.45"/>
    <row r="4" spans="2:15" ht="20" customHeight="1" x14ac:dyDescent="0.45">
      <c r="B4" s="4" t="e" cm="1">
        <f t="array" ref="B4">ItemFilterHeading</f>
        <v>#N/A</v>
      </c>
      <c r="N4" s="10" t="e" cm="1">
        <f t="array" ref="N4">Caption.DataRetrievedLbl</f>
        <v>#NAME?</v>
      </c>
      <c r="O4" s="11" t="str" cm="1">
        <f t="array" ref="O4">ReportRequest.DateLocal</f>
        <v>Date (Local) Value</v>
      </c>
    </row>
    <row r="6" spans="2:15" ht="20" customHeight="1" x14ac:dyDescent="0.45">
      <c r="B6" s="14"/>
      <c r="C6" s="14"/>
      <c r="D6" s="14"/>
      <c r="E6" s="14"/>
      <c r="F6" s="20" t="e">
        <f>_xlfn.CONCAT(Caption.AsOfLbl, " ", StartDateText)</f>
        <v>#NAME?</v>
      </c>
      <c r="G6" s="21"/>
      <c r="H6" s="20" t="s">
        <v>99</v>
      </c>
      <c r="I6" s="21"/>
      <c r="J6" s="20" t="s">
        <v>100</v>
      </c>
      <c r="K6" s="21"/>
      <c r="L6" s="20" t="e">
        <f>_xlfn.CONCAT(Caption.AsOfLbl, " ", EndDateText)</f>
        <v>#NAME?</v>
      </c>
      <c r="M6" s="21"/>
      <c r="N6" s="14"/>
      <c r="O6" s="14"/>
    </row>
    <row r="7" spans="2:15" ht="21" x14ac:dyDescent="0.45">
      <c r="B7" s="18" t="s">
        <v>102</v>
      </c>
      <c r="C7" s="18" t="s">
        <v>97</v>
      </c>
      <c r="D7" s="18" t="s">
        <v>124</v>
      </c>
      <c r="E7" s="18" t="s">
        <v>103</v>
      </c>
      <c r="F7" s="24" t="s">
        <v>105</v>
      </c>
      <c r="G7" s="24" t="s">
        <v>106</v>
      </c>
      <c r="H7" s="19" t="s">
        <v>117</v>
      </c>
      <c r="I7" s="19" t="s">
        <v>109</v>
      </c>
      <c r="J7" s="24" t="s">
        <v>119</v>
      </c>
      <c r="K7" s="24" t="s">
        <v>111</v>
      </c>
      <c r="L7" s="19" t="s">
        <v>121</v>
      </c>
      <c r="M7" s="19" t="s">
        <v>113</v>
      </c>
      <c r="N7" s="19" t="s">
        <v>115</v>
      </c>
      <c r="O7" s="19" t="s">
        <v>146</v>
      </c>
    </row>
    <row r="8" spans="2:15" ht="21" x14ac:dyDescent="0.45">
      <c r="F8" s="23">
        <v>0</v>
      </c>
      <c r="G8" s="23">
        <v>0</v>
      </c>
      <c r="H8" s="23">
        <v>0</v>
      </c>
      <c r="I8" s="23">
        <v>0</v>
      </c>
      <c r="J8" s="23">
        <v>0</v>
      </c>
      <c r="K8" s="23">
        <v>0</v>
      </c>
      <c r="L8" s="23">
        <v>0</v>
      </c>
      <c r="M8" s="23">
        <v>0</v>
      </c>
      <c r="N8" s="23">
        <v>0</v>
      </c>
      <c r="O8" s="23">
        <v>0</v>
      </c>
    </row>
    <row r="9" spans="2:15" ht="21" x14ac:dyDescent="0.45">
      <c r="B9" s="8" t="s">
        <v>98</v>
      </c>
      <c r="F9" s="23">
        <v>0</v>
      </c>
      <c r="G9" s="23">
        <v>0</v>
      </c>
      <c r="H9" s="23">
        <v>0</v>
      </c>
      <c r="I9" s="23">
        <v>0</v>
      </c>
      <c r="J9" s="23">
        <v>0</v>
      </c>
      <c r="K9" s="23">
        <v>0</v>
      </c>
      <c r="L9" s="23">
        <v>0</v>
      </c>
      <c r="M9" s="23">
        <v>0</v>
      </c>
      <c r="N9" s="23">
        <v>0</v>
      </c>
      <c r="O9" s="23">
        <v>0</v>
      </c>
    </row>
    <row r="10" spans="2:15" ht="20" customHeight="1" x14ac:dyDescent="0.45">
      <c r="B10" s="15"/>
      <c r="C10" s="15"/>
      <c r="D10" s="15"/>
      <c r="E10" s="15"/>
      <c r="F10" s="15"/>
      <c r="G10" s="15"/>
      <c r="H10" s="15"/>
      <c r="I10" s="15"/>
      <c r="J10" s="15"/>
      <c r="K10" s="15"/>
      <c r="L10" s="15"/>
      <c r="M10" s="15"/>
      <c r="N10" s="15"/>
      <c r="O10" s="15"/>
    </row>
    <row r="11" spans="2:15" ht="20" customHeight="1" x14ac:dyDescent="0.45">
      <c r="B11" s="15"/>
      <c r="C11" s="15"/>
      <c r="D11" s="15"/>
      <c r="E11" s="15"/>
      <c r="F11" s="15"/>
      <c r="G11" s="15"/>
      <c r="H11" s="15"/>
      <c r="I11" s="15"/>
      <c r="J11" s="15"/>
      <c r="K11" s="15"/>
      <c r="L11" s="15"/>
      <c r="M11" s="15"/>
      <c r="N11" s="15"/>
      <c r="O11" s="15"/>
    </row>
    <row r="12" spans="2:15" ht="20" customHeight="1" x14ac:dyDescent="0.45">
      <c r="B12" s="15"/>
      <c r="C12" s="15"/>
      <c r="D12" s="15"/>
      <c r="E12" s="15"/>
      <c r="F12" s="15"/>
      <c r="G12" s="15"/>
      <c r="H12" s="15"/>
      <c r="I12" s="15"/>
      <c r="J12" s="15"/>
      <c r="K12" s="15"/>
      <c r="L12" s="15"/>
      <c r="M12" s="15"/>
      <c r="N12" s="15"/>
      <c r="O12" s="15"/>
    </row>
    <row r="13" spans="2:15" ht="20" customHeight="1" x14ac:dyDescent="0.45">
      <c r="B13" s="15"/>
      <c r="C13" s="15"/>
      <c r="D13" s="15"/>
    </row>
    <row r="14" spans="2:15" ht="20" customHeight="1" x14ac:dyDescent="0.45">
      <c r="B14" s="15"/>
      <c r="C14" s="15"/>
      <c r="D14" s="15"/>
    </row>
    <row r="15" spans="2:15" ht="20" customHeight="1" x14ac:dyDescent="0.45">
      <c r="B15" s="15"/>
      <c r="C15" s="15"/>
      <c r="D15" s="15"/>
    </row>
    <row r="16" spans="2:15" ht="20" customHeight="1" x14ac:dyDescent="0.45">
      <c r="B16" s="15"/>
      <c r="C16" s="15"/>
      <c r="D16" s="15"/>
    </row>
    <row r="17" spans="2:4" ht="20" customHeight="1" x14ac:dyDescent="0.45">
      <c r="B17" s="15"/>
      <c r="C17" s="15"/>
      <c r="D17" s="15"/>
    </row>
    <row r="18" spans="2:4" ht="20" customHeight="1" x14ac:dyDescent="0.45">
      <c r="B18" s="15"/>
      <c r="C18" s="15"/>
      <c r="D18" s="15"/>
    </row>
    <row r="19" spans="2:4" ht="20" customHeight="1" x14ac:dyDescent="0.45">
      <c r="B19" s="15"/>
      <c r="C19" s="15"/>
      <c r="D19" s="15"/>
    </row>
    <row r="20" spans="2:4" ht="20" customHeight="1" x14ac:dyDescent="0.45">
      <c r="B20" s="15"/>
      <c r="C20" s="15"/>
      <c r="D20" s="15"/>
    </row>
    <row r="21" spans="2:4" ht="20" customHeight="1" x14ac:dyDescent="0.45">
      <c r="B21" s="15"/>
      <c r="C21" s="15"/>
      <c r="D21" s="15"/>
    </row>
    <row r="22" spans="2:4" ht="20" customHeight="1" x14ac:dyDescent="0.45">
      <c r="B22" s="15"/>
      <c r="C22" s="15"/>
      <c r="D22" s="15"/>
    </row>
    <row r="23" spans="2:4" ht="20" customHeight="1" x14ac:dyDescent="0.45">
      <c r="B23" s="15"/>
      <c r="C23" s="15"/>
      <c r="D23" s="15"/>
    </row>
    <row r="24" spans="2:4" ht="20" customHeight="1" x14ac:dyDescent="0.45">
      <c r="B24" s="15"/>
      <c r="C24" s="15"/>
      <c r="D24" s="15"/>
    </row>
  </sheetData>
  <mergeCells count="4">
    <mergeCell ref="F6:G6"/>
    <mergeCell ref="H6:I6"/>
    <mergeCell ref="J6:K6"/>
    <mergeCell ref="L6:M6"/>
  </mergeCells>
  <pageMargins left="0.25" right="0.25" top="0.75" bottom="0.75" header="0.3" footer="0.3"/>
  <pageSetup paperSize="9" scale="62"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C1BFB-CA5F-4004-B374-43B6DDC92646}">
  <sheetPr>
    <pageSetUpPr fitToPage="1"/>
  </sheetPr>
  <dimension ref="A2:AI25"/>
  <sheetViews>
    <sheetView showGridLines="0" workbookViewId="0"/>
  </sheetViews>
  <sheetFormatPr defaultColWidth="9.08203125" defaultRowHeight="20" customHeight="1" x14ac:dyDescent="0.45"/>
  <cols>
    <col min="1" max="1" width="9.08203125" style="13"/>
    <col min="2" max="2" width="22.5" style="8" customWidth="1"/>
    <col min="3" max="3" width="9.58203125" style="8" bestFit="1" customWidth="1"/>
    <col min="4" max="4" width="27.75" style="8" bestFit="1" customWidth="1"/>
    <col min="5" max="5" width="10.58203125" style="8" bestFit="1" customWidth="1"/>
    <col min="6" max="13" width="10.83203125" style="8" customWidth="1"/>
    <col min="14" max="14" width="22.58203125" style="8" bestFit="1" customWidth="1"/>
    <col min="15" max="15" width="25.58203125" style="8" customWidth="1"/>
    <col min="16" max="24" width="10.83203125" style="8" customWidth="1"/>
    <col min="25" max="27" width="9.08203125" style="8"/>
    <col min="28" max="29" width="10.83203125" style="8" customWidth="1"/>
    <col min="30" max="30" width="22.33203125" style="8" customWidth="1"/>
    <col min="31" max="31" width="22.83203125" style="8" bestFit="1" customWidth="1"/>
    <col min="32" max="32" width="16.58203125" style="8" customWidth="1"/>
    <col min="33" max="33" width="15.9140625" style="8" bestFit="1" customWidth="1"/>
    <col min="34" max="34" width="16.4140625" style="8" bestFit="1" customWidth="1"/>
    <col min="35" max="35" width="13.1640625" style="8" bestFit="1" customWidth="1"/>
    <col min="36" max="16384" width="9.08203125" style="8"/>
  </cols>
  <sheetData>
    <row r="2" spans="2:35" ht="20" customHeight="1" thickBot="1" x14ac:dyDescent="0.5">
      <c r="B2" s="12" t="s">
        <v>123</v>
      </c>
      <c r="O2" s="9" t="str" cm="1">
        <f t="array" ref="O2">ReportRequest.CompanyName</f>
        <v>Company name Value</v>
      </c>
    </row>
    <row r="3" spans="2:35" ht="20" customHeight="1" thickTop="1" x14ac:dyDescent="0.45"/>
    <row r="4" spans="2:35" ht="20" customHeight="1" x14ac:dyDescent="0.45">
      <c r="B4" s="4" t="e" cm="1">
        <f t="array" ref="B4">ItemFilterHeading</f>
        <v>#N/A</v>
      </c>
      <c r="N4" s="10" t="e" cm="1">
        <f t="array" ref="N4">Caption.DataRetrievedLbl</f>
        <v>#NAME?</v>
      </c>
      <c r="O4" s="11" t="str" cm="1">
        <f t="array" ref="O4">ReportRequest.DateLocal</f>
        <v>Date (Local) Value</v>
      </c>
    </row>
    <row r="5" spans="2:35" ht="20" customHeight="1" x14ac:dyDescent="0.45">
      <c r="B5" s="4" t="e" cm="1">
        <f t="array" ref="B5">IF(ShowExpected="Yes", Caption.ReportIncludesExpectedCostsLbl, Caption.ExpectedCostsNotCalculatedLbl)</f>
        <v>#N/A</v>
      </c>
    </row>
    <row r="7" spans="2:35" ht="20" customHeight="1" x14ac:dyDescent="0.45">
      <c r="B7" s="14"/>
      <c r="C7" s="14"/>
      <c r="D7" s="14"/>
      <c r="E7" s="14"/>
      <c r="F7" s="20" t="e">
        <f>_xlfn.CONCAT(Caption.AsOfLbl, " ", StartDateText)</f>
        <v>#NAME?</v>
      </c>
      <c r="G7" s="21"/>
      <c r="H7" s="20" t="s">
        <v>99</v>
      </c>
      <c r="I7" s="21"/>
      <c r="J7" s="20" t="s">
        <v>100</v>
      </c>
      <c r="K7" s="21"/>
      <c r="L7" s="20" t="e">
        <f>_xlfn.CONCAT(Caption.AsOfLbl, " ", EndDateText)</f>
        <v>#NAME?</v>
      </c>
      <c r="M7" s="21"/>
      <c r="N7" s="14"/>
      <c r="O7" s="14"/>
      <c r="P7"/>
      <c r="Q7"/>
      <c r="R7"/>
      <c r="S7"/>
      <c r="T7"/>
      <c r="U7"/>
      <c r="V7"/>
      <c r="W7"/>
      <c r="X7"/>
      <c r="Y7"/>
      <c r="Z7"/>
      <c r="AA7"/>
      <c r="AB7"/>
      <c r="AC7"/>
      <c r="AD7"/>
      <c r="AE7"/>
      <c r="AF7"/>
      <c r="AG7"/>
      <c r="AH7"/>
      <c r="AI7"/>
    </row>
    <row r="8" spans="2:35" ht="21" x14ac:dyDescent="0.45">
      <c r="B8" s="18" t="s">
        <v>102</v>
      </c>
      <c r="C8" s="18" t="s">
        <v>97</v>
      </c>
      <c r="D8" s="18" t="s">
        <v>124</v>
      </c>
      <c r="E8" s="18" t="s">
        <v>103</v>
      </c>
      <c r="F8" s="24" t="s">
        <v>134</v>
      </c>
      <c r="G8" s="24" t="s">
        <v>135</v>
      </c>
      <c r="H8" s="19" t="s">
        <v>136</v>
      </c>
      <c r="I8" s="19" t="s">
        <v>137</v>
      </c>
      <c r="J8" s="24" t="s">
        <v>138</v>
      </c>
      <c r="K8" s="24" t="s">
        <v>139</v>
      </c>
      <c r="L8" s="19" t="s">
        <v>140</v>
      </c>
      <c r="M8" s="19" t="s">
        <v>141</v>
      </c>
      <c r="N8" s="19" t="s">
        <v>116</v>
      </c>
      <c r="O8" s="19" t="s">
        <v>147</v>
      </c>
      <c r="P8"/>
      <c r="Q8"/>
      <c r="R8"/>
      <c r="S8"/>
      <c r="T8"/>
      <c r="U8"/>
      <c r="V8"/>
      <c r="W8"/>
      <c r="X8"/>
      <c r="Y8"/>
      <c r="Z8"/>
      <c r="AA8"/>
      <c r="AB8"/>
      <c r="AC8"/>
      <c r="AD8"/>
      <c r="AE8"/>
      <c r="AF8"/>
      <c r="AG8"/>
      <c r="AH8"/>
      <c r="AI8"/>
    </row>
    <row r="9" spans="2:35" ht="21" x14ac:dyDescent="0.45">
      <c r="F9" s="23">
        <v>0</v>
      </c>
      <c r="G9" s="23">
        <v>0</v>
      </c>
      <c r="H9" s="23">
        <v>0</v>
      </c>
      <c r="I9" s="23">
        <v>0</v>
      </c>
      <c r="J9" s="23">
        <v>0</v>
      </c>
      <c r="K9" s="23">
        <v>0</v>
      </c>
      <c r="L9" s="23">
        <v>0</v>
      </c>
      <c r="M9" s="23">
        <v>0</v>
      </c>
      <c r="N9" s="23">
        <v>0</v>
      </c>
      <c r="O9" s="23">
        <v>0</v>
      </c>
      <c r="P9"/>
      <c r="Q9"/>
      <c r="R9"/>
      <c r="S9"/>
      <c r="T9"/>
      <c r="U9"/>
      <c r="V9"/>
      <c r="W9"/>
      <c r="X9"/>
      <c r="Y9"/>
      <c r="Z9"/>
      <c r="AA9"/>
      <c r="AB9"/>
      <c r="AC9"/>
      <c r="AD9"/>
      <c r="AE9"/>
      <c r="AF9"/>
      <c r="AG9"/>
      <c r="AH9"/>
      <c r="AI9"/>
    </row>
    <row r="10" spans="2:35" ht="21" x14ac:dyDescent="0.45">
      <c r="B10" s="8" t="s">
        <v>98</v>
      </c>
      <c r="F10" s="23">
        <v>0</v>
      </c>
      <c r="G10" s="23">
        <v>0</v>
      </c>
      <c r="H10" s="23">
        <v>0</v>
      </c>
      <c r="I10" s="23">
        <v>0</v>
      </c>
      <c r="J10" s="23">
        <v>0</v>
      </c>
      <c r="K10" s="23">
        <v>0</v>
      </c>
      <c r="L10" s="23">
        <v>0</v>
      </c>
      <c r="M10" s="23">
        <v>0</v>
      </c>
      <c r="N10" s="23">
        <v>0</v>
      </c>
      <c r="O10" s="23">
        <v>0</v>
      </c>
      <c r="P10"/>
      <c r="Q10"/>
      <c r="R10"/>
      <c r="S10"/>
      <c r="T10"/>
      <c r="U10"/>
      <c r="V10"/>
      <c r="W10"/>
      <c r="X10"/>
      <c r="Y10"/>
      <c r="Z10"/>
      <c r="AA10"/>
      <c r="AB10"/>
      <c r="AC10"/>
      <c r="AD10"/>
      <c r="AE10"/>
      <c r="AF10"/>
      <c r="AG10"/>
      <c r="AH10"/>
      <c r="AI10"/>
    </row>
    <row r="11" spans="2:35" ht="20" customHeight="1" x14ac:dyDescent="0.45">
      <c r="B11" s="15"/>
      <c r="C11" s="15"/>
      <c r="D11" s="15"/>
      <c r="E11" s="15"/>
      <c r="F11" s="15"/>
      <c r="G11" s="15"/>
      <c r="H11" s="15"/>
      <c r="I11" s="15"/>
      <c r="J11" s="15"/>
      <c r="K11" s="15"/>
      <c r="L11" s="15"/>
      <c r="M11" s="15"/>
      <c r="N11" s="15"/>
      <c r="O11" s="15"/>
      <c r="P11" s="15"/>
      <c r="Q11" s="15"/>
      <c r="R11" s="15"/>
      <c r="S11" s="15"/>
      <c r="T11" s="15"/>
      <c r="U11" s="15"/>
      <c r="V11" s="15"/>
      <c r="W11" s="15"/>
      <c r="X11" s="15"/>
      <c r="AB11" s="15"/>
      <c r="AC11" s="15"/>
    </row>
    <row r="12" spans="2:35" ht="20" customHeight="1" x14ac:dyDescent="0.45">
      <c r="B12" s="15"/>
      <c r="C12" s="15"/>
      <c r="D12" s="15"/>
      <c r="E12" s="15"/>
      <c r="F12" s="15"/>
      <c r="G12" s="15"/>
      <c r="H12" s="15"/>
      <c r="I12" s="15"/>
      <c r="J12" s="15"/>
      <c r="K12" s="15"/>
      <c r="L12" s="15"/>
      <c r="M12" s="15"/>
      <c r="N12" s="15"/>
      <c r="O12" s="15"/>
      <c r="P12" s="15"/>
      <c r="Q12" s="15"/>
      <c r="R12" s="15"/>
      <c r="S12" s="15"/>
      <c r="T12" s="15"/>
      <c r="U12" s="15"/>
    </row>
    <row r="13" spans="2:35" ht="20" customHeight="1" x14ac:dyDescent="0.45">
      <c r="B13" s="15"/>
      <c r="C13" s="15"/>
      <c r="D13" s="15"/>
      <c r="E13" s="15"/>
      <c r="F13" s="15"/>
      <c r="G13" s="15"/>
      <c r="H13" s="15"/>
      <c r="I13" s="15"/>
      <c r="J13" s="15"/>
      <c r="K13" s="15"/>
      <c r="L13" s="15"/>
      <c r="M13" s="15"/>
      <c r="N13" s="15"/>
      <c r="O13" s="15"/>
      <c r="P13" s="15"/>
      <c r="Q13" s="15"/>
      <c r="R13" s="15"/>
      <c r="S13" s="15"/>
      <c r="T13" s="15"/>
      <c r="U13" s="15"/>
    </row>
    <row r="14" spans="2:35" ht="20" customHeight="1" x14ac:dyDescent="0.45">
      <c r="B14" s="15"/>
      <c r="C14" s="15"/>
      <c r="D14" s="15"/>
    </row>
    <row r="15" spans="2:35" ht="20" customHeight="1" x14ac:dyDescent="0.45">
      <c r="B15" s="15"/>
      <c r="C15" s="15"/>
      <c r="D15" s="15"/>
    </row>
    <row r="16" spans="2:35" ht="20" customHeight="1" x14ac:dyDescent="0.45">
      <c r="B16" s="15"/>
      <c r="C16" s="15"/>
      <c r="D16" s="15"/>
    </row>
    <row r="17" spans="2:4" ht="20" customHeight="1" x14ac:dyDescent="0.45">
      <c r="B17" s="15"/>
      <c r="C17" s="15"/>
      <c r="D17" s="15"/>
    </row>
    <row r="18" spans="2:4" ht="20" customHeight="1" x14ac:dyDescent="0.45">
      <c r="B18" s="15"/>
      <c r="C18" s="15"/>
      <c r="D18" s="15"/>
    </row>
    <row r="19" spans="2:4" ht="20" customHeight="1" x14ac:dyDescent="0.45">
      <c r="B19" s="15"/>
      <c r="C19" s="15"/>
      <c r="D19" s="15"/>
    </row>
    <row r="20" spans="2:4" ht="20" customHeight="1" x14ac:dyDescent="0.45">
      <c r="B20" s="15"/>
      <c r="C20" s="15"/>
      <c r="D20" s="15"/>
    </row>
    <row r="21" spans="2:4" ht="20" customHeight="1" x14ac:dyDescent="0.45">
      <c r="B21" s="15"/>
      <c r="C21" s="15"/>
      <c r="D21" s="15"/>
    </row>
    <row r="22" spans="2:4" ht="20" customHeight="1" x14ac:dyDescent="0.45">
      <c r="B22" s="15"/>
      <c r="C22" s="15"/>
      <c r="D22" s="15"/>
    </row>
    <row r="23" spans="2:4" ht="20" customHeight="1" x14ac:dyDescent="0.45">
      <c r="B23" s="15"/>
      <c r="C23" s="15"/>
      <c r="D23" s="15"/>
    </row>
    <row r="24" spans="2:4" ht="20" customHeight="1" x14ac:dyDescent="0.45">
      <c r="B24" s="15"/>
      <c r="C24" s="15"/>
      <c r="D24" s="15"/>
    </row>
    <row r="25" spans="2:4" ht="20" customHeight="1" x14ac:dyDescent="0.45">
      <c r="B25" s="15"/>
      <c r="C25" s="15"/>
      <c r="D25" s="15"/>
    </row>
  </sheetData>
  <mergeCells count="4">
    <mergeCell ref="F7:G7"/>
    <mergeCell ref="H7:I7"/>
    <mergeCell ref="J7:K7"/>
    <mergeCell ref="L7:M7"/>
  </mergeCells>
  <pageMargins left="0.25" right="0.25" top="0.75" bottom="0.75" header="0.3" footer="0.3"/>
  <pageSetup paperSize="9" scale="62"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9F2A6-FDF6-49CA-BD83-2EFE8EDE6BBE}">
  <sheetPr>
    <pageSetUpPr fitToPage="1"/>
  </sheetPr>
  <dimension ref="A2:AI25"/>
  <sheetViews>
    <sheetView showGridLines="0" workbookViewId="0"/>
  </sheetViews>
  <sheetFormatPr defaultColWidth="9.08203125" defaultRowHeight="20" customHeight="1" x14ac:dyDescent="0.45"/>
  <cols>
    <col min="1" max="1" width="9.08203125" style="13"/>
    <col min="2" max="2" width="22.5" style="8" customWidth="1"/>
    <col min="3" max="3" width="9.58203125" style="8" bestFit="1" customWidth="1"/>
    <col min="4" max="4" width="27.75" style="8" bestFit="1" customWidth="1"/>
    <col min="5" max="5" width="10.58203125" style="8" bestFit="1" customWidth="1"/>
    <col min="6" max="13" width="10.83203125" style="8" customWidth="1"/>
    <col min="14" max="14" width="22.58203125" style="8" bestFit="1" customWidth="1"/>
    <col min="15" max="15" width="25.58203125" style="8" customWidth="1"/>
    <col min="16" max="24" width="10.83203125" style="8" customWidth="1"/>
    <col min="25" max="27" width="9.08203125" style="8"/>
    <col min="28" max="29" width="10.83203125" style="8" customWidth="1"/>
    <col min="30" max="30" width="22.33203125" style="8" customWidth="1"/>
    <col min="31" max="31" width="22.83203125" style="8" bestFit="1" customWidth="1"/>
    <col min="32" max="32" width="16.58203125" style="8" customWidth="1"/>
    <col min="33" max="33" width="15.9140625" style="8" bestFit="1" customWidth="1"/>
    <col min="34" max="34" width="16.4140625" style="8" bestFit="1" customWidth="1"/>
    <col min="35" max="35" width="13.1640625" style="8" bestFit="1" customWidth="1"/>
    <col min="36" max="16384" width="9.08203125" style="8"/>
  </cols>
  <sheetData>
    <row r="2" spans="2:35" ht="20" customHeight="1" thickBot="1" x14ac:dyDescent="0.5">
      <c r="B2" s="12" t="s">
        <v>149</v>
      </c>
      <c r="O2" s="9" t="str" cm="1">
        <f t="array" ref="O2">ReportRequest.CompanyName</f>
        <v>Company name Value</v>
      </c>
    </row>
    <row r="3" spans="2:35" ht="20" customHeight="1" thickTop="1" x14ac:dyDescent="0.45"/>
    <row r="4" spans="2:35" ht="20" customHeight="1" x14ac:dyDescent="0.45">
      <c r="B4" s="4" t="e" cm="1">
        <f t="array" ref="B4">ItemFilterHeading</f>
        <v>#N/A</v>
      </c>
      <c r="N4" s="10" t="e" cm="1">
        <f t="array" ref="N4">Caption.DataRetrievedLbl</f>
        <v>#NAME?</v>
      </c>
      <c r="O4" s="11" t="str" cm="1">
        <f t="array" ref="O4">ReportRequest.DateLocal</f>
        <v>Date (Local) Value</v>
      </c>
    </row>
    <row r="5" spans="2:35" ht="20" customHeight="1" x14ac:dyDescent="0.45">
      <c r="B5" s="4" t="e" cm="1">
        <f t="array" ref="B5">IF(ShowExpected="Yes", Caption.ReportIncludesExpectedCostsLbl, Caption.ExpectedCostsNotCalculatedLbl)</f>
        <v>#N/A</v>
      </c>
    </row>
    <row r="7" spans="2:35" ht="20" customHeight="1" x14ac:dyDescent="0.45">
      <c r="B7" s="14"/>
      <c r="C7" s="14"/>
      <c r="D7" s="14"/>
      <c r="E7" s="14"/>
      <c r="F7" s="20" t="e">
        <f>_xlfn.CONCAT(Caption.AsOfLbl, " ", StartDateText)</f>
        <v>#NAME?</v>
      </c>
      <c r="G7" s="21"/>
      <c r="H7" s="20" t="s">
        <v>99</v>
      </c>
      <c r="I7" s="21"/>
      <c r="J7" s="20" t="s">
        <v>100</v>
      </c>
      <c r="K7" s="21"/>
      <c r="L7" s="20" t="e">
        <f>_xlfn.CONCAT(Caption.AsOfLbl, " ", EndDateText)</f>
        <v>#NAME?</v>
      </c>
      <c r="M7" s="21"/>
      <c r="N7" s="14"/>
      <c r="O7" s="14"/>
      <c r="P7"/>
      <c r="Q7"/>
      <c r="R7"/>
      <c r="S7"/>
      <c r="T7"/>
      <c r="U7"/>
      <c r="V7"/>
      <c r="W7"/>
      <c r="X7"/>
      <c r="Y7"/>
      <c r="Z7"/>
      <c r="AA7"/>
      <c r="AB7"/>
      <c r="AC7"/>
      <c r="AD7"/>
      <c r="AE7"/>
      <c r="AF7"/>
      <c r="AG7"/>
      <c r="AH7"/>
      <c r="AI7"/>
    </row>
    <row r="8" spans="2:35" ht="21" x14ac:dyDescent="0.45">
      <c r="B8" s="18" t="s">
        <v>102</v>
      </c>
      <c r="C8" s="18" t="s">
        <v>97</v>
      </c>
      <c r="D8" s="18" t="s">
        <v>124</v>
      </c>
      <c r="E8" s="18" t="s">
        <v>103</v>
      </c>
      <c r="F8" s="24" t="s">
        <v>107</v>
      </c>
      <c r="G8" s="24" t="s">
        <v>108</v>
      </c>
      <c r="H8" s="19" t="s">
        <v>118</v>
      </c>
      <c r="I8" s="19" t="s">
        <v>110</v>
      </c>
      <c r="J8" s="24" t="s">
        <v>120</v>
      </c>
      <c r="K8" s="24" t="s">
        <v>112</v>
      </c>
      <c r="L8" s="19" t="s">
        <v>122</v>
      </c>
      <c r="M8" s="19" t="s">
        <v>114</v>
      </c>
      <c r="N8" s="19" t="s">
        <v>142</v>
      </c>
      <c r="O8" s="19" t="s">
        <v>148</v>
      </c>
      <c r="P8"/>
      <c r="Q8"/>
      <c r="R8"/>
      <c r="S8"/>
      <c r="T8"/>
      <c r="U8"/>
      <c r="V8"/>
      <c r="W8"/>
      <c r="X8"/>
      <c r="Y8"/>
      <c r="Z8"/>
      <c r="AA8"/>
      <c r="AB8"/>
      <c r="AC8"/>
      <c r="AD8"/>
      <c r="AE8"/>
      <c r="AF8"/>
      <c r="AG8"/>
      <c r="AH8"/>
      <c r="AI8"/>
    </row>
    <row r="9" spans="2:35" ht="21" x14ac:dyDescent="0.45">
      <c r="F9" s="23">
        <v>0</v>
      </c>
      <c r="G9" s="23">
        <v>0</v>
      </c>
      <c r="H9" s="23">
        <v>0</v>
      </c>
      <c r="I9" s="23">
        <v>0</v>
      </c>
      <c r="J9" s="23">
        <v>0</v>
      </c>
      <c r="K9" s="23">
        <v>0</v>
      </c>
      <c r="L9" s="23">
        <v>0</v>
      </c>
      <c r="M9" s="23">
        <v>0</v>
      </c>
      <c r="N9" s="23">
        <v>0</v>
      </c>
      <c r="O9" s="23">
        <v>0</v>
      </c>
      <c r="P9"/>
      <c r="Q9"/>
      <c r="R9"/>
      <c r="S9"/>
      <c r="T9"/>
      <c r="U9"/>
      <c r="V9"/>
      <c r="W9"/>
      <c r="X9"/>
      <c r="Y9"/>
      <c r="Z9"/>
      <c r="AA9"/>
      <c r="AB9"/>
      <c r="AC9"/>
      <c r="AD9"/>
      <c r="AE9"/>
      <c r="AF9"/>
      <c r="AG9"/>
      <c r="AH9"/>
      <c r="AI9"/>
    </row>
    <row r="10" spans="2:35" ht="21" x14ac:dyDescent="0.45">
      <c r="B10" s="8" t="s">
        <v>98</v>
      </c>
      <c r="F10" s="23">
        <v>0</v>
      </c>
      <c r="G10" s="23">
        <v>0</v>
      </c>
      <c r="H10" s="23">
        <v>0</v>
      </c>
      <c r="I10" s="23">
        <v>0</v>
      </c>
      <c r="J10" s="23">
        <v>0</v>
      </c>
      <c r="K10" s="23">
        <v>0</v>
      </c>
      <c r="L10" s="23">
        <v>0</v>
      </c>
      <c r="M10" s="23">
        <v>0</v>
      </c>
      <c r="N10" s="23">
        <v>0</v>
      </c>
      <c r="O10" s="23">
        <v>0</v>
      </c>
      <c r="P10"/>
      <c r="Q10"/>
      <c r="R10"/>
      <c r="S10"/>
      <c r="T10"/>
      <c r="U10"/>
      <c r="V10"/>
      <c r="W10"/>
      <c r="X10"/>
      <c r="Y10"/>
      <c r="Z10"/>
      <c r="AA10"/>
      <c r="AB10"/>
      <c r="AC10"/>
      <c r="AD10"/>
      <c r="AE10"/>
      <c r="AF10"/>
      <c r="AG10"/>
      <c r="AH10"/>
      <c r="AI10"/>
    </row>
    <row r="11" spans="2:35" ht="20" customHeight="1" x14ac:dyDescent="0.45">
      <c r="B11" s="15"/>
      <c r="C11" s="15"/>
      <c r="D11" s="15"/>
      <c r="E11" s="15"/>
      <c r="F11" s="15"/>
      <c r="G11" s="15"/>
      <c r="H11" s="15"/>
      <c r="I11" s="15"/>
      <c r="J11" s="15"/>
      <c r="K11" s="15"/>
      <c r="L11" s="15"/>
      <c r="M11" s="15"/>
      <c r="N11" s="15"/>
      <c r="O11" s="15"/>
      <c r="P11" s="15"/>
      <c r="Q11" s="15"/>
      <c r="R11" s="15"/>
      <c r="S11" s="15"/>
      <c r="T11" s="15"/>
      <c r="U11" s="15"/>
      <c r="V11" s="15"/>
      <c r="W11" s="15"/>
      <c r="X11" s="15"/>
      <c r="AB11" s="15"/>
      <c r="AC11" s="15"/>
    </row>
    <row r="12" spans="2:35" ht="20" customHeight="1" x14ac:dyDescent="0.45">
      <c r="B12" s="15"/>
      <c r="C12" s="15"/>
      <c r="D12" s="15"/>
      <c r="E12" s="15"/>
      <c r="F12" s="15"/>
      <c r="G12" s="15"/>
      <c r="H12" s="15"/>
      <c r="I12" s="15"/>
      <c r="J12" s="15"/>
      <c r="K12" s="15"/>
      <c r="L12" s="15"/>
      <c r="M12" s="15"/>
      <c r="N12" s="15"/>
      <c r="O12" s="15"/>
      <c r="P12" s="15"/>
      <c r="Q12" s="15"/>
      <c r="R12" s="15"/>
      <c r="S12" s="15"/>
      <c r="T12" s="15"/>
      <c r="U12" s="15"/>
    </row>
    <row r="13" spans="2:35" ht="20" customHeight="1" x14ac:dyDescent="0.45">
      <c r="B13" s="15"/>
      <c r="C13" s="15"/>
      <c r="D13" s="15"/>
      <c r="E13" s="15"/>
      <c r="F13" s="15"/>
      <c r="G13" s="15"/>
      <c r="H13" s="15"/>
      <c r="I13" s="15"/>
      <c r="J13" s="15"/>
      <c r="K13" s="15"/>
      <c r="L13" s="15"/>
      <c r="M13" s="15"/>
      <c r="N13" s="15"/>
      <c r="O13" s="15"/>
      <c r="P13" s="15"/>
      <c r="Q13" s="15"/>
      <c r="R13" s="15"/>
      <c r="S13" s="15"/>
      <c r="T13" s="15"/>
      <c r="U13" s="15"/>
    </row>
    <row r="14" spans="2:35" ht="20" customHeight="1" x14ac:dyDescent="0.45">
      <c r="B14" s="15"/>
      <c r="C14" s="15"/>
      <c r="D14" s="15"/>
    </row>
    <row r="15" spans="2:35" ht="20" customHeight="1" x14ac:dyDescent="0.45">
      <c r="B15" s="15"/>
      <c r="C15" s="15"/>
      <c r="D15" s="15"/>
    </row>
    <row r="16" spans="2:35" ht="20" customHeight="1" x14ac:dyDescent="0.45">
      <c r="B16" s="15"/>
      <c r="C16" s="15"/>
      <c r="D16" s="15"/>
    </row>
    <row r="17" spans="2:4" ht="20" customHeight="1" x14ac:dyDescent="0.45">
      <c r="B17" s="15"/>
      <c r="C17" s="15"/>
      <c r="D17" s="15"/>
    </row>
    <row r="18" spans="2:4" ht="20" customHeight="1" x14ac:dyDescent="0.45">
      <c r="B18" s="15"/>
      <c r="C18" s="15"/>
      <c r="D18" s="15"/>
    </row>
    <row r="19" spans="2:4" ht="20" customHeight="1" x14ac:dyDescent="0.45">
      <c r="B19" s="15"/>
      <c r="C19" s="15"/>
      <c r="D19" s="15"/>
    </row>
    <row r="20" spans="2:4" ht="20" customHeight="1" x14ac:dyDescent="0.45">
      <c r="B20" s="15"/>
      <c r="C20" s="15"/>
      <c r="D20" s="15"/>
    </row>
    <row r="21" spans="2:4" ht="20" customHeight="1" x14ac:dyDescent="0.45">
      <c r="B21" s="15"/>
      <c r="C21" s="15"/>
      <c r="D21" s="15"/>
    </row>
    <row r="22" spans="2:4" ht="20" customHeight="1" x14ac:dyDescent="0.45">
      <c r="B22" s="15"/>
      <c r="C22" s="15"/>
      <c r="D22" s="15"/>
    </row>
    <row r="23" spans="2:4" ht="20" customHeight="1" x14ac:dyDescent="0.45">
      <c r="B23" s="15"/>
      <c r="C23" s="15"/>
      <c r="D23" s="15"/>
    </row>
    <row r="24" spans="2:4" ht="20" customHeight="1" x14ac:dyDescent="0.45">
      <c r="B24" s="15"/>
      <c r="C24" s="15"/>
      <c r="D24" s="15"/>
    </row>
    <row r="25" spans="2:4" ht="20" customHeight="1" x14ac:dyDescent="0.45">
      <c r="B25" s="15"/>
      <c r="C25" s="15"/>
      <c r="D25" s="15"/>
    </row>
  </sheetData>
  <mergeCells count="4">
    <mergeCell ref="F7:G7"/>
    <mergeCell ref="H7:I7"/>
    <mergeCell ref="J7:K7"/>
    <mergeCell ref="L7:M7"/>
  </mergeCells>
  <pageMargins left="0.25" right="0.25" top="0.75" bottom="0.75" header="0.3" footer="0.3"/>
  <pageSetup paperSize="9" scale="62" fitToHeight="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6EC41-0191-4FFC-B81E-5BCA474E7BC9}">
  <sheetPr>
    <pageSetUpPr fitToPage="1"/>
  </sheetPr>
  <dimension ref="A1:AI20"/>
  <sheetViews>
    <sheetView showGridLines="0" workbookViewId="0"/>
  </sheetViews>
  <sheetFormatPr defaultColWidth="9.08203125" defaultRowHeight="20" customHeight="1" x14ac:dyDescent="0.45"/>
  <cols>
    <col min="1" max="1" width="50.58203125" style="13" customWidth="1"/>
    <col min="2" max="2" width="22.5" style="8" customWidth="1"/>
    <col min="3" max="3" width="9.58203125" style="8" bestFit="1" customWidth="1"/>
    <col min="4" max="4" width="27.75" style="8" bestFit="1" customWidth="1"/>
    <col min="5" max="5" width="10.58203125" style="8" bestFit="1" customWidth="1"/>
    <col min="6" max="24" width="10.83203125" style="8" customWidth="1"/>
    <col min="25" max="27" width="9.08203125" style="8"/>
    <col min="28" max="29" width="10.83203125" style="8" customWidth="1"/>
    <col min="30" max="30" width="22.33203125" style="8" customWidth="1"/>
    <col min="31" max="31" width="22.83203125" style="8" bestFit="1" customWidth="1"/>
    <col min="32" max="32" width="19.58203125" style="8" bestFit="1" customWidth="1"/>
    <col min="33" max="33" width="15.9140625" style="8" bestFit="1" customWidth="1"/>
    <col min="34" max="34" width="16.4140625" style="8" bestFit="1" customWidth="1"/>
    <col min="35" max="35" width="13.1640625" style="8" bestFit="1" customWidth="1"/>
    <col min="36" max="16384" width="9.08203125" style="8"/>
  </cols>
  <sheetData>
    <row r="1" spans="2:35" ht="20" customHeight="1" x14ac:dyDescent="0.45">
      <c r="B1" s="14"/>
      <c r="C1" s="14"/>
      <c r="D1" s="14"/>
      <c r="E1" s="14"/>
      <c r="F1" s="22" t="e">
        <f>_xlfn.CONCAT(Caption.AsOfLbl, " ", StartDateText)</f>
        <v>#NAME?</v>
      </c>
      <c r="G1" s="22"/>
      <c r="H1" s="22"/>
      <c r="I1" s="22"/>
      <c r="J1" s="22"/>
      <c r="K1" s="22"/>
      <c r="L1" s="22" t="s">
        <v>99</v>
      </c>
      <c r="M1" s="22"/>
      <c r="N1" s="22"/>
      <c r="O1" s="22"/>
      <c r="P1" s="22"/>
      <c r="Q1" s="22"/>
      <c r="R1" s="21" t="s">
        <v>100</v>
      </c>
      <c r="S1" s="21"/>
      <c r="T1" s="21"/>
      <c r="U1" s="21"/>
      <c r="V1" s="21"/>
      <c r="W1" s="21"/>
      <c r="X1" s="21" t="e">
        <f>_xlfn.CONCAT(Caption.AsOfLbl, " ", EndDateText)</f>
        <v>#NAME?</v>
      </c>
      <c r="Y1" s="21"/>
      <c r="Z1" s="21"/>
      <c r="AA1" s="21"/>
      <c r="AB1" s="21"/>
      <c r="AC1" s="21"/>
      <c r="AD1" s="14"/>
      <c r="AE1" s="14"/>
      <c r="AF1" s="14"/>
      <c r="AG1" s="14"/>
      <c r="AH1" s="14"/>
      <c r="AI1" s="14"/>
    </row>
    <row r="2" spans="2:35" ht="20" customHeight="1" x14ac:dyDescent="0.45">
      <c r="B2" s="14"/>
      <c r="C2" s="14"/>
      <c r="D2" s="14"/>
      <c r="E2" s="14"/>
      <c r="F2" s="20" t="s">
        <v>104</v>
      </c>
      <c r="G2" s="21"/>
      <c r="H2" s="20" t="s">
        <v>101</v>
      </c>
      <c r="I2" s="21"/>
      <c r="J2" s="20" t="s">
        <v>133</v>
      </c>
      <c r="K2" s="21"/>
      <c r="L2" s="20" t="s">
        <v>104</v>
      </c>
      <c r="M2" s="21"/>
      <c r="N2" s="21" t="s">
        <v>101</v>
      </c>
      <c r="O2" s="21"/>
      <c r="P2" s="21" t="s">
        <v>133</v>
      </c>
      <c r="Q2" s="21"/>
      <c r="R2" s="20" t="s">
        <v>104</v>
      </c>
      <c r="S2" s="21"/>
      <c r="T2" s="20" t="s">
        <v>101</v>
      </c>
      <c r="U2" s="21"/>
      <c r="V2" s="20" t="s">
        <v>133</v>
      </c>
      <c r="W2" s="21"/>
      <c r="X2" s="20" t="s">
        <v>104</v>
      </c>
      <c r="Y2" s="21"/>
      <c r="Z2" s="21" t="s">
        <v>101</v>
      </c>
      <c r="AA2" s="21"/>
      <c r="AB2" s="21" t="s">
        <v>133</v>
      </c>
      <c r="AC2" s="21"/>
      <c r="AD2" s="17"/>
      <c r="AE2" s="14"/>
      <c r="AF2" s="14"/>
      <c r="AG2" s="14"/>
      <c r="AH2" s="14"/>
      <c r="AI2" s="14"/>
    </row>
    <row r="3" spans="2:35" ht="21" x14ac:dyDescent="0.45">
      <c r="B3" s="18" t="s">
        <v>102</v>
      </c>
      <c r="C3" s="18" t="s">
        <v>97</v>
      </c>
      <c r="D3" s="18" t="s">
        <v>124</v>
      </c>
      <c r="E3" s="18" t="s">
        <v>103</v>
      </c>
      <c r="F3" s="24" t="s">
        <v>105</v>
      </c>
      <c r="G3" s="24" t="s">
        <v>106</v>
      </c>
      <c r="H3" s="24" t="s">
        <v>134</v>
      </c>
      <c r="I3" s="24" t="s">
        <v>135</v>
      </c>
      <c r="J3" s="24" t="s">
        <v>107</v>
      </c>
      <c r="K3" s="24" t="s">
        <v>108</v>
      </c>
      <c r="L3" s="19" t="s">
        <v>117</v>
      </c>
      <c r="M3" s="19" t="s">
        <v>109</v>
      </c>
      <c r="N3" s="19" t="s">
        <v>136</v>
      </c>
      <c r="O3" s="19" t="s">
        <v>137</v>
      </c>
      <c r="P3" s="19" t="s">
        <v>118</v>
      </c>
      <c r="Q3" s="19" t="s">
        <v>110</v>
      </c>
      <c r="R3" s="24" t="s">
        <v>119</v>
      </c>
      <c r="S3" s="24" t="s">
        <v>111</v>
      </c>
      <c r="T3" s="24" t="s">
        <v>138</v>
      </c>
      <c r="U3" s="24" t="s">
        <v>139</v>
      </c>
      <c r="V3" s="24" t="s">
        <v>120</v>
      </c>
      <c r="W3" s="24" t="s">
        <v>112</v>
      </c>
      <c r="X3" s="19" t="s">
        <v>121</v>
      </c>
      <c r="Y3" s="19" t="s">
        <v>113</v>
      </c>
      <c r="Z3" s="19" t="s">
        <v>140</v>
      </c>
      <c r="AA3" s="19" t="s">
        <v>141</v>
      </c>
      <c r="AB3" s="19" t="s">
        <v>122</v>
      </c>
      <c r="AC3" s="19" t="s">
        <v>114</v>
      </c>
      <c r="AD3" s="19" t="s">
        <v>115</v>
      </c>
      <c r="AE3" s="19" t="s">
        <v>116</v>
      </c>
      <c r="AF3" s="19" t="s">
        <v>142</v>
      </c>
      <c r="AG3" s="19" t="s">
        <v>146</v>
      </c>
      <c r="AH3" s="19" t="s">
        <v>147</v>
      </c>
      <c r="AI3" s="19" t="s">
        <v>148</v>
      </c>
    </row>
    <row r="4" spans="2:35" ht="21" x14ac:dyDescent="0.45">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c r="AF4" s="23">
        <v>0</v>
      </c>
      <c r="AG4" s="23">
        <v>0</v>
      </c>
      <c r="AH4" s="23">
        <v>0</v>
      </c>
      <c r="AI4" s="23">
        <v>0</v>
      </c>
    </row>
    <row r="5" spans="2:35" ht="21" x14ac:dyDescent="0.45">
      <c r="B5" s="8" t="s">
        <v>98</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c r="AF5" s="23">
        <v>0</v>
      </c>
      <c r="AG5" s="23">
        <v>0</v>
      </c>
      <c r="AH5" s="23">
        <v>0</v>
      </c>
      <c r="AI5" s="23">
        <v>0</v>
      </c>
    </row>
    <row r="6" spans="2:35" ht="20" customHeight="1" x14ac:dyDescent="0.45">
      <c r="B6" s="15"/>
      <c r="C6" s="15"/>
      <c r="D6" s="15"/>
      <c r="E6" s="15"/>
      <c r="F6" s="15"/>
      <c r="G6" s="15"/>
      <c r="H6" s="15"/>
      <c r="I6" s="15"/>
      <c r="J6" s="15"/>
      <c r="K6" s="15"/>
      <c r="L6" s="15"/>
      <c r="M6" s="15"/>
      <c r="N6" s="15"/>
      <c r="O6" s="15"/>
      <c r="P6" s="15"/>
      <c r="Q6" s="15"/>
      <c r="R6" s="15"/>
      <c r="S6" s="15"/>
      <c r="T6" s="15"/>
      <c r="U6" s="15"/>
      <c r="V6" s="15"/>
      <c r="W6" s="15"/>
      <c r="X6" s="15"/>
      <c r="AB6" s="15"/>
      <c r="AC6" s="15"/>
    </row>
    <row r="7" spans="2:35" ht="20" customHeight="1" x14ac:dyDescent="0.45">
      <c r="B7" s="15"/>
      <c r="C7" s="15"/>
      <c r="D7" s="15"/>
      <c r="E7" s="15"/>
      <c r="F7" s="15"/>
      <c r="G7" s="15"/>
      <c r="H7" s="15"/>
      <c r="I7" s="15"/>
      <c r="J7" s="15"/>
      <c r="K7" s="15"/>
      <c r="L7" s="15"/>
      <c r="M7" s="15"/>
      <c r="N7" s="15"/>
      <c r="O7" s="15"/>
      <c r="P7" s="15"/>
      <c r="Q7" s="15"/>
      <c r="R7" s="15"/>
      <c r="S7" s="15"/>
      <c r="T7" s="15"/>
      <c r="U7" s="15"/>
    </row>
    <row r="8" spans="2:35" ht="20" customHeight="1" x14ac:dyDescent="0.45">
      <c r="B8" s="15"/>
      <c r="C8" s="15"/>
      <c r="D8" s="15"/>
      <c r="E8" s="15"/>
      <c r="F8" s="15"/>
      <c r="G8" s="15"/>
      <c r="H8" s="15"/>
      <c r="I8" s="15"/>
      <c r="J8" s="15"/>
      <c r="K8" s="15"/>
      <c r="L8" s="15"/>
      <c r="M8" s="15"/>
      <c r="N8" s="15"/>
      <c r="O8" s="15"/>
      <c r="P8" s="15"/>
      <c r="Q8" s="15"/>
      <c r="R8" s="15"/>
      <c r="S8" s="15"/>
      <c r="T8" s="15"/>
      <c r="U8" s="15"/>
    </row>
    <row r="9" spans="2:35" ht="20" customHeight="1" x14ac:dyDescent="0.45">
      <c r="B9" s="15"/>
      <c r="C9" s="15"/>
      <c r="D9" s="15"/>
    </row>
    <row r="10" spans="2:35" ht="20" customHeight="1" x14ac:dyDescent="0.45">
      <c r="B10" s="15"/>
      <c r="C10" s="15"/>
      <c r="D10" s="15"/>
    </row>
    <row r="11" spans="2:35" ht="20" customHeight="1" x14ac:dyDescent="0.45">
      <c r="B11" s="15"/>
      <c r="C11" s="15"/>
      <c r="D11" s="15"/>
    </row>
    <row r="12" spans="2:35" ht="20" customHeight="1" x14ac:dyDescent="0.45">
      <c r="B12" s="15"/>
      <c r="C12" s="15"/>
      <c r="D12" s="15"/>
    </row>
    <row r="13" spans="2:35" ht="20" customHeight="1" x14ac:dyDescent="0.45">
      <c r="B13" s="15"/>
      <c r="C13" s="15"/>
      <c r="D13" s="15"/>
    </row>
    <row r="14" spans="2:35" ht="20" customHeight="1" x14ac:dyDescent="0.45">
      <c r="B14" s="15"/>
      <c r="C14" s="15"/>
      <c r="D14" s="15"/>
    </row>
    <row r="15" spans="2:35" ht="20" customHeight="1" x14ac:dyDescent="0.45">
      <c r="B15" s="15"/>
      <c r="C15" s="15"/>
      <c r="D15" s="15"/>
    </row>
    <row r="16" spans="2:35" ht="20" customHeight="1" x14ac:dyDescent="0.45">
      <c r="B16" s="15"/>
      <c r="C16" s="15"/>
      <c r="D16" s="15"/>
    </row>
    <row r="17" spans="2:4" ht="20" customHeight="1" x14ac:dyDescent="0.45">
      <c r="B17" s="15"/>
      <c r="C17" s="15"/>
      <c r="D17" s="15"/>
    </row>
    <row r="18" spans="2:4" ht="20" customHeight="1" x14ac:dyDescent="0.45">
      <c r="B18" s="15"/>
      <c r="C18" s="15"/>
      <c r="D18" s="15"/>
    </row>
    <row r="19" spans="2:4" ht="20" customHeight="1" x14ac:dyDescent="0.45">
      <c r="B19" s="15"/>
      <c r="C19" s="15"/>
      <c r="D19" s="15"/>
    </row>
    <row r="20" spans="2:4" ht="20" customHeight="1" x14ac:dyDescent="0.45">
      <c r="B20" s="15"/>
      <c r="C20" s="15"/>
      <c r="D20" s="15"/>
    </row>
  </sheetData>
  <mergeCells count="16">
    <mergeCell ref="F1:K1"/>
    <mergeCell ref="L1:Q1"/>
    <mergeCell ref="R1:W1"/>
    <mergeCell ref="X1:AC1"/>
    <mergeCell ref="F2:G2"/>
    <mergeCell ref="H2:I2"/>
    <mergeCell ref="L2:M2"/>
    <mergeCell ref="N2:O2"/>
    <mergeCell ref="R2:S2"/>
    <mergeCell ref="J2:K2"/>
    <mergeCell ref="P2:Q2"/>
    <mergeCell ref="V2:W2"/>
    <mergeCell ref="AB2:AC2"/>
    <mergeCell ref="X2:Y2"/>
    <mergeCell ref="Z2:AA2"/>
    <mergeCell ref="T2:U2"/>
  </mergeCells>
  <pageMargins left="0.25" right="0.25" top="0.75" bottom="0.75" header="0.3" footer="0.3"/>
  <pageSetup paperSize="9" scale="27" fitToHeight="0" orientation="landscape"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1454-2D2B-48E0-835D-F3454CB39883}">
  <dimension ref="A1:B8"/>
  <sheetViews>
    <sheetView showGridLines="0" workbookViewId="0"/>
  </sheetViews>
  <sheetFormatPr defaultRowHeight="20" customHeight="1" x14ac:dyDescent="0.45"/>
  <cols>
    <col min="1" max="1" width="18.83203125" customWidth="1"/>
    <col min="2" max="2" width="27.83203125" customWidth="1"/>
  </cols>
  <sheetData>
    <row r="1" spans="1:2" ht="20" customHeight="1" x14ac:dyDescent="0.45">
      <c r="A1" s="3" t="s">
        <v>91</v>
      </c>
      <c r="B1" s="4" t="str" cm="1">
        <f t="array" ref="B1">ReportRequest.EnvironmentName</f>
        <v>Environment name Value</v>
      </c>
    </row>
    <row r="2" spans="1:2" ht="20" customHeight="1" x14ac:dyDescent="0.45">
      <c r="A2" s="3" t="s">
        <v>92</v>
      </c>
      <c r="B2" s="4" t="str" cm="1">
        <f t="array" ref="B2">ReportRequest.CompanyName</f>
        <v>Company name Value</v>
      </c>
    </row>
    <row r="3" spans="1:2" ht="20" customHeight="1" x14ac:dyDescent="0.45">
      <c r="A3" s="3" t="s">
        <v>93</v>
      </c>
      <c r="B3" s="4" t="str" cm="1">
        <f t="array" ref="B3">ReportRequest.UserName</f>
        <v>User name Value</v>
      </c>
    </row>
    <row r="4" spans="1:2" ht="20" customHeight="1" x14ac:dyDescent="0.45">
      <c r="A4" s="3" t="s">
        <v>94</v>
      </c>
      <c r="B4" s="5" t="str" cm="1">
        <f t="array" ref="B4">ReportRequest.DateLocal</f>
        <v>Date (Local) Value</v>
      </c>
    </row>
    <row r="5" spans="1:2" ht="20" customHeight="1" x14ac:dyDescent="0.45">
      <c r="A5" s="3"/>
      <c r="B5" s="6" t="str" cm="1">
        <f t="array" ref="B5">ReportRequest.DateLocal</f>
        <v>Date (Local) Value</v>
      </c>
    </row>
    <row r="6" spans="1:2" ht="20" customHeight="1" x14ac:dyDescent="0.45">
      <c r="A6" s="3" t="s">
        <v>95</v>
      </c>
      <c r="B6" s="4" t="str" cm="1">
        <f t="array" ref="B6">ReportMetadata.ObjectCaption</f>
        <v>Object Caption Value</v>
      </c>
    </row>
    <row r="7" spans="1:2" ht="20" customHeight="1" x14ac:dyDescent="0.45">
      <c r="A7" s="3" t="s">
        <v>96</v>
      </c>
      <c r="B7" s="7" t="str">
        <f>HYPERLINK(_xlfn.CONCAT("https://learn.microsoft.com/dynamics365/business-central/reports/report-",ReportMetadata.ObjectID))</f>
        <v>https://learn.microsoft.com/dynamics365/business-central/reports/report-Object ID Value</v>
      </c>
    </row>
    <row r="8" spans="1:2" ht="20" customHeight="1" x14ac:dyDescent="0.45">
      <c r="A8" s="3"/>
      <c r="B8" s="8"/>
    </row>
  </sheetData>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ED3B3-4C4F-4AD6-B464-94BF8C3A46DA}">
  <dimension ref="A1:AH2"/>
  <sheetViews>
    <sheetView topLeftCell="N1" workbookViewId="0"/>
  </sheetViews>
  <sheetFormatPr defaultRowHeight="16.5" x14ac:dyDescent="0.45"/>
  <cols>
    <col min="1" max="1" width="9.5" bestFit="1" customWidth="1"/>
    <col min="2" max="2" width="17" bestFit="1" customWidth="1"/>
    <col min="3" max="3" width="24.08203125" bestFit="1" customWidth="1"/>
    <col min="4" max="4" width="29.9140625" bestFit="1" customWidth="1"/>
    <col min="5" max="5" width="22.33203125" bestFit="1" customWidth="1"/>
    <col min="6" max="6" width="20.6640625" bestFit="1" customWidth="1"/>
    <col min="7" max="7" width="23" bestFit="1" customWidth="1"/>
    <col min="8" max="8" width="21.33203125" bestFit="1" customWidth="1"/>
    <col min="9" max="9" width="22.5" bestFit="1" customWidth="1"/>
    <col min="10" max="10" width="20.83203125" bestFit="1" customWidth="1"/>
    <col min="11" max="11" width="23.25" bestFit="1" customWidth="1"/>
    <col min="12" max="12" width="21.5" bestFit="1" customWidth="1"/>
    <col min="13" max="13" width="23.25" bestFit="1" customWidth="1"/>
    <col min="14" max="14" width="21.5" bestFit="1" customWidth="1"/>
    <col min="15" max="15" width="23.9140625" bestFit="1" customWidth="1"/>
    <col min="16" max="16" width="22.1640625" bestFit="1" customWidth="1"/>
    <col min="17" max="17" width="21.33203125" bestFit="1" customWidth="1"/>
    <col min="18" max="18" width="19.6640625" bestFit="1" customWidth="1"/>
    <col min="19" max="19" width="22" bestFit="1" customWidth="1"/>
    <col min="20" max="20" width="20.33203125" bestFit="1" customWidth="1"/>
    <col min="21" max="21" width="17.33203125" bestFit="1" customWidth="1"/>
    <col min="22" max="22" width="20.08203125" bestFit="1" customWidth="1"/>
    <col min="23" max="23" width="20.58203125" bestFit="1" customWidth="1"/>
    <col min="24" max="24" width="33.83203125" bestFit="1" customWidth="1"/>
    <col min="25" max="25" width="32.1640625" bestFit="1" customWidth="1"/>
    <col min="26" max="26" width="34" bestFit="1" customWidth="1"/>
    <col min="27" max="27" width="32.33203125" bestFit="1" customWidth="1"/>
    <col min="28" max="28" width="34.6640625" bestFit="1" customWidth="1"/>
    <col min="29" max="29" width="33" bestFit="1" customWidth="1"/>
    <col min="30" max="30" width="32.83203125" bestFit="1" customWidth="1"/>
    <col min="31" max="31" width="31.08203125" bestFit="1" customWidth="1"/>
    <col min="32" max="32" width="29.1640625" bestFit="1" customWidth="1"/>
    <col min="33" max="33" width="29.6640625" bestFit="1" customWidth="1"/>
    <col min="34" max="34" width="26.4140625" bestFit="1" customWidth="1"/>
    <col min="35" max="35" width="24" bestFit="1" customWidth="1"/>
    <col min="36" max="36" width="22.25" bestFit="1" customWidth="1"/>
    <col min="37" max="37" width="24.1640625" bestFit="1" customWidth="1"/>
    <col min="38" max="38" width="22.4140625" bestFit="1" customWidth="1"/>
    <col min="39" max="39" width="24.83203125" bestFit="1" customWidth="1"/>
    <col min="40" max="40" width="23.08203125" bestFit="1" customWidth="1"/>
    <col min="41" max="41" width="22.9140625" bestFit="1" customWidth="1"/>
    <col min="42" max="42" width="21.25" bestFit="1" customWidth="1"/>
    <col min="43" max="43" width="20.58203125" bestFit="1" customWidth="1"/>
  </cols>
  <sheetData>
    <row r="1" spans="1:34" x14ac:dyDescent="0.45">
      <c r="A1" t="s">
        <v>66</v>
      </c>
      <c r="B1" t="s">
        <v>67</v>
      </c>
      <c r="C1" t="s">
        <v>68</v>
      </c>
      <c r="D1" t="s">
        <v>69</v>
      </c>
      <c r="E1" t="s">
        <v>70</v>
      </c>
      <c r="F1" t="s">
        <v>71</v>
      </c>
      <c r="G1" t="s">
        <v>72</v>
      </c>
      <c r="H1" t="s">
        <v>73</v>
      </c>
      <c r="I1" t="s">
        <v>74</v>
      </c>
      <c r="J1" t="s">
        <v>75</v>
      </c>
      <c r="K1" t="s">
        <v>76</v>
      </c>
      <c r="L1" t="s">
        <v>77</v>
      </c>
      <c r="M1" t="s">
        <v>78</v>
      </c>
      <c r="N1" t="s">
        <v>79</v>
      </c>
      <c r="O1" t="s">
        <v>80</v>
      </c>
      <c r="P1" t="s">
        <v>81</v>
      </c>
      <c r="Q1" t="s">
        <v>82</v>
      </c>
      <c r="R1" t="s">
        <v>83</v>
      </c>
      <c r="S1" t="s">
        <v>84</v>
      </c>
      <c r="T1" t="s">
        <v>85</v>
      </c>
      <c r="U1" t="s">
        <v>86</v>
      </c>
      <c r="V1" t="s">
        <v>87</v>
      </c>
      <c r="W1" t="s">
        <v>88</v>
      </c>
      <c r="X1" t="s">
        <v>125</v>
      </c>
      <c r="Y1" t="s">
        <v>126</v>
      </c>
      <c r="Z1" t="s">
        <v>127</v>
      </c>
      <c r="AA1" t="s">
        <v>128</v>
      </c>
      <c r="AB1" t="s">
        <v>129</v>
      </c>
      <c r="AC1" t="s">
        <v>130</v>
      </c>
      <c r="AD1" t="s">
        <v>131</v>
      </c>
      <c r="AE1" t="s">
        <v>132</v>
      </c>
      <c r="AF1" t="s">
        <v>144</v>
      </c>
      <c r="AG1" t="s">
        <v>145</v>
      </c>
      <c r="AH1" t="s">
        <v>143</v>
      </c>
    </row>
    <row r="2" spans="1:34" x14ac:dyDescent="0.45">
      <c r="A2" t="s">
        <v>90</v>
      </c>
      <c r="B2" t="s">
        <v>90</v>
      </c>
      <c r="C2" t="s">
        <v>90</v>
      </c>
      <c r="D2" t="s">
        <v>90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sheetData>
  <phoneticPr fontId="1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
  <sheetViews>
    <sheetView topLeftCell="AD1" workbookViewId="0">
      <pane ySplit="1" topLeftCell="A2" activePane="bottomLeft" state="frozen"/>
      <selection pane="bottomLeft" activeCell="AJ2" sqref="AJ2"/>
    </sheetView>
  </sheetViews>
  <sheetFormatPr defaultRowHeight="16.5" x14ac:dyDescent="0.45"/>
  <cols>
    <col min="1" max="1" width="15.75" bestFit="1" customWidth="1"/>
    <col min="2" max="2" width="11.4140625" bestFit="1" customWidth="1"/>
    <col min="3" max="3" width="9.5" bestFit="1" customWidth="1"/>
    <col min="4" max="4" width="17" bestFit="1" customWidth="1"/>
    <col min="5" max="5" width="24.08203125" bestFit="1" customWidth="1"/>
    <col min="6" max="6" width="29.9140625" bestFit="1" customWidth="1"/>
    <col min="7" max="7" width="22.33203125" bestFit="1" customWidth="1"/>
    <col min="8" max="8" width="20.6640625" bestFit="1" customWidth="1"/>
    <col min="9" max="9" width="23" bestFit="1" customWidth="1"/>
    <col min="10" max="10" width="21.33203125" bestFit="1" customWidth="1"/>
    <col min="11" max="11" width="22.5" bestFit="1" customWidth="1"/>
    <col min="12" max="12" width="20.83203125" bestFit="1" customWidth="1"/>
    <col min="13" max="13" width="23.25" bestFit="1" customWidth="1"/>
    <col min="14" max="14" width="21.5" bestFit="1" customWidth="1"/>
    <col min="15" max="15" width="23.25" bestFit="1" customWidth="1"/>
    <col min="16" max="16" width="21.5" bestFit="1" customWidth="1"/>
    <col min="17" max="17" width="23.9140625" bestFit="1" customWidth="1"/>
    <col min="18" max="18" width="22.1640625" bestFit="1" customWidth="1"/>
    <col min="19" max="19" width="21.33203125" bestFit="1" customWidth="1"/>
    <col min="20" max="20" width="19.6640625" bestFit="1" customWidth="1"/>
    <col min="21" max="21" width="22" bestFit="1" customWidth="1"/>
    <col min="22" max="22" width="20.33203125" bestFit="1" customWidth="1"/>
    <col min="23" max="23" width="17.33203125" bestFit="1" customWidth="1"/>
    <col min="24" max="24" width="20.08203125" bestFit="1" customWidth="1"/>
    <col min="25" max="25" width="20.58203125" bestFit="1" customWidth="1"/>
    <col min="26" max="26" width="33.83203125" bestFit="1" customWidth="1"/>
    <col min="27" max="27" width="32.1640625" bestFit="1" customWidth="1"/>
    <col min="28" max="28" width="34" bestFit="1" customWidth="1"/>
    <col min="29" max="29" width="32.33203125" bestFit="1" customWidth="1"/>
    <col min="30" max="30" width="34.6640625" bestFit="1" customWidth="1"/>
    <col min="31" max="31" width="33" bestFit="1" customWidth="1"/>
    <col min="32" max="32" width="32.83203125" bestFit="1" customWidth="1"/>
    <col min="33" max="33" width="31.08203125" bestFit="1" customWidth="1"/>
    <col min="34" max="34" width="21.1640625" bestFit="1" customWidth="1"/>
    <col min="35" max="35" width="26.4140625" bestFit="1" customWidth="1"/>
    <col min="36" max="36" width="29.1640625" bestFit="1" customWidth="1"/>
  </cols>
  <sheetData>
    <row r="1" spans="1:36" x14ac:dyDescent="0.45">
      <c r="A1" t="s">
        <v>64</v>
      </c>
      <c r="B1" t="s">
        <v>65</v>
      </c>
      <c r="C1" t="s">
        <v>66</v>
      </c>
      <c r="D1" t="s">
        <v>67</v>
      </c>
      <c r="E1" t="s">
        <v>68</v>
      </c>
      <c r="F1" t="s">
        <v>69</v>
      </c>
      <c r="G1" t="s">
        <v>70</v>
      </c>
      <c r="H1" t="s">
        <v>71</v>
      </c>
      <c r="I1" t="s">
        <v>72</v>
      </c>
      <c r="J1" t="s">
        <v>73</v>
      </c>
      <c r="K1" t="s">
        <v>74</v>
      </c>
      <c r="L1" t="s">
        <v>75</v>
      </c>
      <c r="M1" t="s">
        <v>76</v>
      </c>
      <c r="N1" t="s">
        <v>77</v>
      </c>
      <c r="O1" t="s">
        <v>78</v>
      </c>
      <c r="P1" t="s">
        <v>79</v>
      </c>
      <c r="Q1" t="s">
        <v>80</v>
      </c>
      <c r="R1" t="s">
        <v>81</v>
      </c>
      <c r="S1" t="s">
        <v>82</v>
      </c>
      <c r="T1" t="s">
        <v>83</v>
      </c>
      <c r="U1" t="s">
        <v>84</v>
      </c>
      <c r="V1" t="s">
        <v>85</v>
      </c>
      <c r="W1" t="s">
        <v>86</v>
      </c>
      <c r="X1" t="s">
        <v>87</v>
      </c>
      <c r="Y1" t="s">
        <v>88</v>
      </c>
      <c r="Z1" s="16" t="s">
        <v>125</v>
      </c>
      <c r="AA1" s="16" t="s">
        <v>126</v>
      </c>
      <c r="AB1" s="16" t="s">
        <v>127</v>
      </c>
      <c r="AC1" s="16" t="s">
        <v>128</v>
      </c>
      <c r="AD1" s="16" t="s">
        <v>129</v>
      </c>
      <c r="AE1" s="16" t="s">
        <v>130</v>
      </c>
      <c r="AF1" s="16" t="s">
        <v>131</v>
      </c>
      <c r="AG1" s="16" t="s">
        <v>132</v>
      </c>
      <c r="AH1" s="16" t="s">
        <v>144</v>
      </c>
      <c r="AI1" s="16" t="s">
        <v>145</v>
      </c>
      <c r="AJ1" s="16" t="s">
        <v>143</v>
      </c>
    </row>
    <row r="2" spans="1:36" x14ac:dyDescent="0.45">
      <c r="A2" t="s">
        <v>89</v>
      </c>
      <c r="B2" t="s">
        <v>90</v>
      </c>
      <c r="C2" t="s">
        <v>90</v>
      </c>
      <c r="D2" t="s">
        <v>90</v>
      </c>
      <c r="E2" t="s">
        <v>90</v>
      </c>
      <c r="F2" t="s">
        <v>90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c r="AJ2" s="2">
        <v>0</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D16" sqref="D16"/>
    </sheetView>
  </sheetViews>
  <sheetFormatPr defaultRowHeight="16.5" x14ac:dyDescent="0.45"/>
  <cols>
    <col min="1" max="1" width="16.9140625" customWidth="1"/>
    <col min="2" max="2" width="11.4140625" customWidth="1"/>
  </cols>
  <sheetData>
    <row r="1" spans="1:3" x14ac:dyDescent="0.45">
      <c r="A1" t="s">
        <v>2</v>
      </c>
      <c r="B1" t="s">
        <v>0</v>
      </c>
      <c r="C1" t="s">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D16" sqref="D16"/>
    </sheetView>
  </sheetViews>
  <sheetFormatPr defaultRowHeight="16.5" x14ac:dyDescent="0.45"/>
  <cols>
    <col min="1" max="1" width="10.1640625" customWidth="1"/>
    <col min="2" max="2" width="17.4140625" customWidth="1"/>
  </cols>
  <sheetData>
    <row r="1" spans="1:2" x14ac:dyDescent="0.45">
      <c r="A1" t="s">
        <v>3</v>
      </c>
      <c r="B1" t="s">
        <v>1</v>
      </c>
    </row>
    <row r="2" spans="1:2" x14ac:dyDescent="0.45">
      <c r="A2" t="s">
        <v>2</v>
      </c>
      <c r="B2" t="s">
        <v>47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D16" sqref="D16"/>
    </sheetView>
  </sheetViews>
  <sheetFormatPr defaultRowHeight="16.5" x14ac:dyDescent="0.45"/>
  <cols>
    <col min="1" max="1" width="25.6640625" customWidth="1"/>
    <col min="2" max="2" width="40.6640625" customWidth="1"/>
    <col min="3" max="3" width="5.6640625" customWidth="1"/>
    <col min="4" max="4" width="25.6640625" customWidth="1"/>
    <col min="5" max="5" width="40.6640625" customWidth="1"/>
    <col min="6" max="6" width="5.6640625" customWidth="1"/>
    <col min="7" max="7" width="25.6640625" customWidth="1"/>
    <col min="8" max="8" width="40.6640625" customWidth="1"/>
    <col min="9" max="9" width="5.6640625" customWidth="1"/>
    <col min="10" max="10" width="40.6640625" customWidth="1"/>
    <col min="11" max="11" width="25.66406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48</v>
      </c>
      <c r="E2" t="s">
        <v>49</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50</v>
      </c>
      <c r="E7" t="s">
        <v>51</v>
      </c>
    </row>
    <row r="8" spans="1:11" x14ac:dyDescent="0.45">
      <c r="A8" t="s">
        <v>58</v>
      </c>
      <c r="B8" t="s">
        <v>59</v>
      </c>
      <c r="D8" t="s">
        <v>36</v>
      </c>
      <c r="E8" t="s">
        <v>37</v>
      </c>
    </row>
    <row r="9" spans="1:11" x14ac:dyDescent="0.45">
      <c r="A9" t="s">
        <v>20</v>
      </c>
      <c r="B9" t="s">
        <v>21</v>
      </c>
      <c r="D9" t="s">
        <v>38</v>
      </c>
      <c r="E9" t="s">
        <v>39</v>
      </c>
    </row>
    <row r="10" spans="1:11" x14ac:dyDescent="0.45">
      <c r="A10" t="s">
        <v>22</v>
      </c>
      <c r="B10" t="s">
        <v>23</v>
      </c>
      <c r="D10" t="s">
        <v>40</v>
      </c>
      <c r="E10" t="s">
        <v>41</v>
      </c>
    </row>
    <row r="11" spans="1:11" x14ac:dyDescent="0.45">
      <c r="A11" t="s">
        <v>24</v>
      </c>
      <c r="B11" t="s">
        <v>25</v>
      </c>
      <c r="D11" t="s">
        <v>60</v>
      </c>
      <c r="E11" t="s">
        <v>61</v>
      </c>
    </row>
    <row r="12" spans="1:11" x14ac:dyDescent="0.45">
      <c r="D12" t="s">
        <v>62</v>
      </c>
      <c r="E12" t="s">
        <v>63</v>
      </c>
    </row>
    <row r="13" spans="1:11" x14ac:dyDescent="0.45">
      <c r="D13" t="s">
        <v>0</v>
      </c>
      <c r="E13" t="s">
        <v>42</v>
      </c>
    </row>
    <row r="14" spans="1:11" x14ac:dyDescent="0.45">
      <c r="D14" t="s">
        <v>43</v>
      </c>
      <c r="E14" t="s">
        <v>44</v>
      </c>
    </row>
    <row r="15" spans="1:11" x14ac:dyDescent="0.45">
      <c r="D15" t="s">
        <v>52</v>
      </c>
      <c r="E15" t="s">
        <v>53</v>
      </c>
    </row>
    <row r="16" spans="1:11" x14ac:dyDescent="0.45">
      <c r="D16" t="s">
        <v>54</v>
      </c>
      <c r="E16" t="s">
        <v>55</v>
      </c>
    </row>
    <row r="17" spans="4:5" x14ac:dyDescent="0.45">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073E89-71FC-4BC9-A8DA-A3D41B847675}">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$InvValInvoicedPrintLbl$</vt:lpstr>
      <vt:lpstr>$InvValExpectedPrintLbl$</vt:lpstr>
      <vt:lpstr>$InvValTotalPrintLbl$</vt:lpstr>
      <vt:lpstr>$InventoryValuationAnalysisLbl$</vt:lpstr>
      <vt:lpstr>$AboutTheReportLbl$</vt:lpstr>
      <vt:lpstr>InventoryValuation_Query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Dan Williams</cp:lastModifiedBy>
  <cp:lastPrinted>2026-01-14T00:10:25Z</cp:lastPrinted>
  <dcterms:modified xsi:type="dcterms:W3CDTF">2026-01-22T23:44:51Z</dcterms:modified>
</cp:coreProperties>
</file>
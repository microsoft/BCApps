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aniel.williams\Source\Gold\Yellowstone.Dan\app\Inventory\Reports\"/>
    </mc:Choice>
  </mc:AlternateContent>
  <xr:revisionPtr revIDLastSave="0" documentId="13_ncr:1_{47620B9E-4C3F-4B70-BAF1-A89663C689AE}" xr6:coauthVersionLast="47" xr6:coauthVersionMax="47" xr10:uidLastSave="{00000000-0000-0000-0000-000000000000}"/>
  <bookViews>
    <workbookView xWindow="-14130" yWindow="-16320" windowWidth="29040" windowHeight="15720" xr2:uid="{00000000-000D-0000-FFFF-FFFF00000000}"/>
  </bookViews>
  <sheets>
    <sheet name="$InvAvailPlanPrintLbl$" sheetId="6" r:id="rId1"/>
    <sheet name="$InvAvailPlanAnalysisLbl$" sheetId="9" r:id="rId2"/>
    <sheet name="$AboutTheReportLbl$" sheetId="8" r:id="rId3"/>
    <sheet name="InventoryAvailabilityPlan_Query" sheetId="5" state="hidden" r:id="rId4"/>
    <sheet name="Data" sheetId="1" state="hidden" r:id="rId5"/>
    <sheet name="TranslationData" sheetId="2" state="hidden" r:id="rId6"/>
    <sheet name="CaptionData" sheetId="3" state="hidden" r:id="rId7"/>
    <sheet name="Aggregated Metadata" sheetId="4" state="hidden" r:id="rId8"/>
  </sheets>
  <definedNames>
    <definedName name="ExternalData_1" localSheetId="3" hidden="1">InventoryAvailabilityPlan_Query!$A$1:$O$2</definedName>
    <definedName name="ItemFilterHeading" localSheetId="1">_xlfn.XLOOKUP("ItemFilterHeading", ReportRequestPageValues[Request Page Option], ReportRequestPageValues[Request Page Option Value])</definedName>
    <definedName name="ItemFilterHeading">_xlfn.XLOOKUP("ItemFilterHeading", ReportRequestPageValues[Request Page Option], ReportRequestPageValues[Request Page Option Value])</definedName>
    <definedName name="Period1Text" localSheetId="1">_xlfn.XLOOKUP("Period1Text", ReportRequestPageValues[Request Page Option], ReportRequestPageValues[Request Page Option Value])</definedName>
    <definedName name="Period1Text">_xlfn.XLOOKUP("Period1Text", ReportRequestPageValues[Request Page Option], ReportRequestPageValues[Request Page Option Value])</definedName>
    <definedName name="Period2Text" localSheetId="1">_xlfn.XLOOKUP("Period2Text", ReportRequestPageValues[Request Page Option], ReportRequestPageValues[Request Page Option Value])</definedName>
    <definedName name="Period2Text">_xlfn.XLOOKUP("Period2Text", ReportRequestPageValues[Request Page Option], ReportRequestPageValues[Request Page Option Value])</definedName>
    <definedName name="Period3Text" localSheetId="1">_xlfn.XLOOKUP("Period3Text", ReportRequestPageValues[Request Page Option], ReportRequestPageValues[Request Page Option Value])</definedName>
    <definedName name="Period3Text">_xlfn.XLOOKUP("Period3Text", ReportRequestPageValues[Request Page Option], ReportRequestPageValues[Request Page Option Value])</definedName>
    <definedName name="Period4Text" localSheetId="1">_xlfn.XLOOKUP("Period4Text", ReportRequestPageValues[Request Page Option], ReportRequestPageValues[Request Page Option Value])</definedName>
    <definedName name="Period4Text">_xlfn.XLOOKUP("Period4Text", ReportRequestPageValues[Request Page Option], ReportRequestPageValues[Request Page Option Value])</definedName>
    <definedName name="Period5Text" localSheetId="1">_xlfn.XLOOKUP("Period5Text", ReportRequestPageValues[Request Page Option], ReportRequestPageValues[Request Page Option Value])</definedName>
    <definedName name="Period5Text">_xlfn.XLOOKUP("Period5Text", ReportRequestPageValues[Request Page Option], ReportRequestPageValues[Request Page Option Value])</definedName>
    <definedName name="Period6Text" localSheetId="1">_xlfn.XLOOKUP("Period6Text", ReportRequestPageValues[Request Page Option], ReportRequestPageValues[Request Page Option Value])</definedName>
    <definedName name="Period6Text">_xlfn.XLOOKUP("Period6Text", ReportRequestPageValues[Request Page Option], ReportRequestPageValues[Request Page Option Value])</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CategoryName">#N/A</definedName>
    <definedName name="Slicer_Description">#N/A</definedName>
    <definedName name="Slicer_ItemNo">#N/A</definedName>
    <definedName name="Slicer_LocationCode">#N/A</definedName>
    <definedName name="Slicer_VariantCode">#N/A</definedName>
  </definedNames>
  <calcPr calcId="191029"/>
  <pivotCaches>
    <pivotCache cacheId="19"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9" l="1" a="1"/>
  <c r="N1" i="9" s="1"/>
  <c r="M1" i="9" a="1"/>
  <c r="M1" i="9" s="1"/>
  <c r="L1" i="9" a="1"/>
  <c r="L1" i="9" s="1"/>
  <c r="K1" i="9" a="1"/>
  <c r="K1" i="9" s="1"/>
  <c r="J1" i="9" a="1"/>
  <c r="J1" i="9" s="1"/>
  <c r="I1" i="9" a="1"/>
  <c r="I1" i="9" s="1"/>
  <c r="N6" i="6" a="1"/>
  <c r="N6" i="6" s="1"/>
  <c r="M6" i="6" a="1"/>
  <c r="M6" i="6" s="1"/>
  <c r="L6" i="6" a="1"/>
  <c r="L6" i="6" s="1"/>
  <c r="K6" i="6" a="1"/>
  <c r="K6" i="6" s="1"/>
  <c r="J6" i="6" a="1"/>
  <c r="J6" i="6" s="1"/>
  <c r="I6" i="6" a="1"/>
  <c r="I6" i="6" s="1"/>
  <c r="B4" i="6" a="1"/>
  <c r="B4" i="6" s="1"/>
  <c r="B7" i="8"/>
  <c r="B6" i="8" a="1"/>
  <c r="B6" i="8" s="1"/>
  <c r="B5" i="8" a="1"/>
  <c r="B5" i="8" s="1"/>
  <c r="B4" i="8" a="1"/>
  <c r="B4" i="8" s="1"/>
  <c r="B3" i="8" a="1"/>
  <c r="B3" i="8" s="1"/>
  <c r="B2" i="8" a="1"/>
  <c r="B2" i="8" s="1"/>
  <c r="B1" i="8" a="1"/>
  <c r="B1" i="8" s="1"/>
  <c r="O2" i="6" a="1"/>
  <c r="O2" i="6" s="1"/>
  <c r="O4" i="6" a="1"/>
  <c r="O4"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BBE1A3-CF14-486F-8470-CC46AB2AA996}" keepAlive="1" name="Query - InventoryAvailabilityPlan_Query" description="Connection to the 'InventoryAvailabilityPlan_Query' query in the workbook." type="5" refreshedVersion="8" refreshOnLoad="1" saveData="1">
    <dbPr connection="Provider=Microsoft.Mashup.OleDb.1;Data Source=$Workbook$;Location=InventoryAvailabilityPlan_Query;Extended Properties=&quot;&quot;" command="SELECT * FROM [InventoryAvailabilityPlan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<sst xmlns="http://schemas.openxmlformats.org/spreadsheetml/2006/main" count="147" uniqueCount="102">
  <si>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</si>
  <si>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</si>
  <si>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</si>
  <si>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</si>
  <si>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</si>
  <si>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</si>
  <si>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</si>
  <si>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</si>
  <si>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</si>
  <si>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</si>
  <si>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</si>
  <si>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</si>
  <si>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</si>
  <si>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</si>
  <si>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</si>
  <si>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</si>
  <si>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</si>
  <si>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</si>
  <si>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</si>
  <si>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</si>
  <si>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</si>
  <si>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</si>
  <si>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</si>
  <si>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</si>
  <si>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</si>
  <si>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</si>
  <si>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</si>
  <si>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</si>
  <si>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</si>
  <si>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</si>
  <si>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</si>
  <si>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</si>
  <si>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</si>
  <si>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</si>
  <si>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</si>
  <si>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</si>
  <si>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</si>
  <si>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</si>
  <si>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</si>
  <si>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</si>
  <si>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</si>
  <si>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</si>
  <si>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</si>
  <si>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</si>
  <si>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</si>
  <si>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</si>
  <si>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</si>
  <si>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</si>
  <si>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</si>
  <si>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</si>
  <si>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</si>
  <si>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</si>
  <si>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</si>
  <si>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</si>
  <si>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</si>
  <si>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</si>
  <si>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</si>
  <si>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</si>
  <si>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</si>
  <si>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</si>
  <si>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</si>
  <si>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</si>
  <si>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</si>
  <si>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</si>
  <si>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Description</t>
  </si>
  <si>
    <t>LocationCode</t>
  </si>
  <si>
    <t>VariantCode</t>
  </si>
  <si>
    <t>CategoryName</t>
  </si>
  <si>
    <t/>
  </si>
  <si>
    <t>$InventoryAvailabilityPlanLbl$</t>
  </si>
  <si>
    <t>$ItemNo$</t>
  </si>
  <si>
    <t>$Description$</t>
  </si>
  <si>
    <t>$LocationCode$</t>
  </si>
  <si>
    <t>$VariantCode$</t>
  </si>
  <si>
    <t>$CategoryName$</t>
  </si>
  <si>
    <t>$DataRetrievedLbl$</t>
  </si>
  <si>
    <t>$EnvironmentLbl$</t>
  </si>
  <si>
    <t>$CompanyLbl$</t>
  </si>
  <si>
    <t>$UserLbl$</t>
  </si>
  <si>
    <t>$RunOnLbl$</t>
  </si>
  <si>
    <t>$ReportNameLbl$</t>
  </si>
  <si>
    <t>$DocumentationLbl$</t>
  </si>
  <si>
    <t>ItemNo</t>
  </si>
  <si>
    <t>$BeforeLbl$</t>
  </si>
  <si>
    <t>$AfterLbl$</t>
  </si>
  <si>
    <t>Quantity1</t>
  </si>
  <si>
    <t>Quantity2</t>
  </si>
  <si>
    <t>Quantity3</t>
  </si>
  <si>
    <t>Quantity4</t>
  </si>
  <si>
    <t>Quantity5</t>
  </si>
  <si>
    <t>Quantity6</t>
  </si>
  <si>
    <t>Quantity7</t>
  </si>
  <si>
    <t>Quantity8</t>
  </si>
  <si>
    <t>$Quantity2$</t>
  </si>
  <si>
    <t>$Quantity3$</t>
  </si>
  <si>
    <t>$Quantity4$</t>
  </si>
  <si>
    <t>$Quantity5$</t>
  </si>
  <si>
    <t>$Quantity6$</t>
  </si>
  <si>
    <t>$Quantity7$</t>
  </si>
  <si>
    <t>CurrentQuantity</t>
  </si>
  <si>
    <t>Custom_CurrentQuantity</t>
  </si>
  <si>
    <t>$CurrentQuantity$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</si>
</sst>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6" x14ac:knownFonts="1">
    <font>
      <sz val="11"/>
      <name val="Segoe UI"/>
      <family val="2"/>
      <scheme val="minor"/>
    </font>
    <font>
      <sz val="11"/>
      <color theme="1"/>
      <name val="Segoe UI"/>
      <family val="2"/>
      <scheme val="minor"/>
    </font>
    <font>
      <b/>
      <sz val="11"/>
      <name val="Segoe UI"/>
      <family val="2"/>
      <scheme val="minor"/>
    </font>
    <font>
      <sz val="10"/>
      <name val="Segoe UI"/>
      <family val="2"/>
      <scheme val="minor"/>
    </font>
    <font>
      <sz val="14"/>
      <name val="Segoe UI"/>
      <family val="2"/>
      <scheme val="minor"/>
    </font>
    <font>
      <sz val="10"/>
      <color theme="1"/>
      <name val="Segoe UI Semibold"/>
      <family val="2"/>
      <scheme val="major"/>
    </font>
    <font>
      <u/>
      <sz val="11"/>
      <color theme="10"/>
      <name val="Segoe UI"/>
      <family val="2"/>
      <scheme val="minor"/>
    </font>
    <font>
      <b/>
      <sz val="13"/>
      <color theme="1"/>
      <name val="Segoe UI"/>
      <family val="2"/>
      <scheme val="minor"/>
    </font>
    <font>
      <b/>
      <sz val="10"/>
      <color theme="1"/>
      <name val="Segoe UI Semibold"/>
      <family val="2"/>
      <scheme val="major"/>
    </font>
    <font>
      <sz val="10"/>
      <color rgb="FF212121"/>
      <name val="Segoe UI"/>
      <family val="2"/>
      <scheme val="minor"/>
    </font>
    <font>
      <b/>
      <sz val="18"/>
      <color rgb="FF212121"/>
      <name val="Segoe UI Semibold"/>
      <family val="2"/>
      <scheme val="major"/>
    </font>
    <font>
      <u/>
      <sz val="10"/>
      <color theme="10"/>
      <name val="Segoe UI"/>
      <family val="2"/>
      <scheme val="minor"/>
    </font>
    <font>
      <sz val="8"/>
      <name val="Segoe UI"/>
      <family val="2"/>
      <scheme val="minor"/>
    </font>
    <font>
      <sz val="10"/>
      <color theme="1"/>
      <name val="Segoe UI Semibold"/>
      <family val="2"/>
      <scheme val="major"/>
    </font>
    <font>
      <sz val="15"/>
      <name val="Segoe UI"/>
      <family val="2"/>
      <scheme val="minor"/>
    </font>
    <font>
      <sz val="10"/>
      <name val="Segoe UI Semibold"/>
      <scheme val="major"/>
    </font>
  </fonts>
  <fills count="4">
    <fill>
      <patternFill patternType="none"/>
    </fill>
    <fill>
      <patternFill patternType="gray125"/>
    </fill>
    <fill>
      <patternFill patternType="solid">
        <fgColor rgb="FFC0C0C0"/>
        <bgColor indexed="64"/>
      </patternFill>
    </fill>
    <fill>
      <patternFill patternType="solid">
        <fgColor theme="5"/>
        <bgColor indexed="64"/>
      </patternFill>
    </fill>
  </fills>
  <borders count="3">
    <border>
      <left/>
      <right/>
      <top/>
      <bottom/>
      <diagonal/>
    </border>
    <border>
      <left/>
      <right/>
      <top/>
      <bottom style="thick">
        <color theme="4" tint="0.499984740745262"/>
      </bottom>
      <diagonal/>
    </border>
    <border>
      <left/>
      <right/>
      <top style="thin">
        <color theme="4"/>
      </top>
      <bottom style="thin">
        <color theme="4"/>
      </bottom>
      <diagonal/>
    </border>
  </borders>
  <cellStyleXfs count="4">
    <xf numFmtId="0" fontId="0" fillId="0" borderId="0"/>
    <xf numFmtId="0" fontId="6" fillId="0" borderId="0" applyNumberFormat="0" applyFill="0" applyBorder="0" applyAlignment="0" applyProtection="0"/>
    <xf numFmtId="0" fontId="7" fillId="0" borderId="1" applyNumberFormat="0" applyFill="0" applyAlignment="0" applyProtection="0"/>
    <xf numFmtId="0" fontId="1" fillId="0" borderId="0"/>
  </cellStyleXfs>
  <cellXfs count="24">
    <xf numFmtId="0" fontId="0" fillId="0" borderId="0" xfId="0"/>
    <xf numFmtId="49" fontId="2" fillId="2" borderId="0" xfId="0" applyNumberFormat="1" applyFont="1" applyFill="1"/>
    <xf numFmtId="4" fontId="0" fillId="0" borderId="0" xfId="0" applyNumberFormat="1"/>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8" fillId="0" borderId="1" xfId="2" applyFont="1" applyAlignment="1">
      <alignment horizontal="right" vertical="center"/>
    </xf>
    <xf numFmtId="0" fontId="9" fillId="0" borderId="0" xfId="0" applyFont="1" applyAlignment="1">
      <alignment horizontal="right" vertical="center"/>
    </xf>
    <xf numFmtId="164" fontId="9" fillId="0" borderId="0" xfId="0" applyNumberFormat="1" applyFont="1" applyAlignment="1">
      <alignment horizontal="right" vertical="center"/>
    </xf>
    <xf numFmtId="0" fontId="10" fillId="0" borderId="0" xfId="3" applyFont="1" applyAlignment="1">
      <alignment vertical="center"/>
    </xf>
    <xf numFmtId="0" fontId="3" fillId="0" borderId="0" xfId="0" applyFont="1" applyAlignment="1">
      <alignment horizontal="left" vertical="center"/>
    </xf>
    <xf numFmtId="0" fontId="5" fillId="0" borderId="0" xfId="0" applyFont="1" applyAlignment="1">
      <alignment vertical="center"/>
    </xf>
    <xf numFmtId="164" fontId="3" fillId="0" borderId="0" xfId="0" applyNumberFormat="1" applyFont="1" applyAlignment="1">
      <alignment horizontal="left" vertical="center"/>
    </xf>
    <xf numFmtId="165" fontId="3" fillId="0" borderId="0" xfId="0" applyNumberFormat="1" applyFont="1" applyAlignment="1">
      <alignment horizontal="left" vertical="center"/>
    </xf>
    <xf numFmtId="0" fontId="11" fillId="0" borderId="0" xfId="1" applyFont="1" applyAlignment="1">
      <alignment vertical="center"/>
    </xf>
    <xf numFmtId="0" fontId="4" fillId="0" borderId="0" xfId="0" applyFont="1"/>
    <xf numFmtId="0" fontId="3" fillId="0" borderId="0" xfId="0" applyFont="1"/>
    <xf numFmtId="0" fontId="13" fillId="3" borderId="2" xfId="0" applyFont="1" applyFill="1" applyBorder="1" applyAlignment="1">
      <alignment horizontal="right" vertical="center"/>
    </xf>
    <xf numFmtId="0" fontId="13" fillId="3" borderId="2" xfId="0" applyFont="1" applyFill="1" applyBorder="1" applyAlignment="1">
      <alignment horizontal="right" wrapText="1"/>
    </xf>
    <xf numFmtId="0" fontId="14" fillId="0" borderId="0" xfId="0" applyFont="1" applyAlignment="1">
      <alignment vertical="center"/>
    </xf>
    <xf numFmtId="0" fontId="15" fillId="0" borderId="0" xfId="0" pivotButton="1" applyFont="1" applyAlignment="1">
      <alignment vertical="center"/>
    </xf>
    <xf numFmtId="0" fontId="3" fillId="0" borderId="0" xfId="0" applyNumberFormat="1" applyFont="1" applyAlignment="1">
      <alignment horizontal="right" vertical="center"/>
    </xf>
    <xf numFmtId="0" fontId="15" fillId="0" borderId="0" xfId="0" applyFont="1" applyAlignment="1">
      <alignment horizontal="right" vertical="center"/>
    </xf>
    <xf numFmtId="0" fontId="15" fillId="0" borderId="0" xfId="0" pivotButton="1" applyFont="1" applyAlignment="1">
      <alignment horizontal="right" vertical="center"/>
    </xf>
  </cellXfs>
  <cellStyles count="4">
    <cellStyle name="Heading 2 2" xfId="2" xr:uid="{E0A1C475-ABA0-4AF3-AEFE-1A76A36E988F}"/>
    <cellStyle name="Hyperlink" xfId="1" builtinId="8"/>
    <cellStyle name="Normal" xfId="0" builtinId="0"/>
    <cellStyle name="Normal 2" xfId="3" xr:uid="{56FEC530-77DB-4009-9344-00C3C865EDE0}"/>
  </cellStyles>
  <dxfs count="124">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font>
        <name val="Segoe UI Semibold"/>
        <scheme val="major"/>
      </font>
    </dxf>
    <dxf>
      <alignment vertical="center"/>
    </dxf>
    <dxf>
      <alignment vertical="center"/>
    </dxf>
    <dxf>
      <alignment vertical="center"/>
    </dxf>
    <dxf>
      <alignment vertical="center"/>
    </dxf>
    <dxf>
      <alignment vertical="center"/>
    </dxf>
    <dxf>
      <font>
        <name val="Segoe UI Semibold"/>
        <scheme val="major"/>
      </fon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font>
        <name val="Segoe UI Semibold"/>
        <scheme val="major"/>
      </font>
    </dxf>
    <dxf>
      <alignment vertical="center"/>
    </dxf>
    <dxf>
      <alignment vertical="center"/>
    </dxf>
    <dxf>
      <alignment vertical="center"/>
    </dxf>
    <dxf>
      <alignment vertical="center"/>
    </dxf>
    <dxf>
      <alignment vertical="center"/>
    </dxf>
    <dxf>
      <font>
        <name val="Segoe UI Semibold"/>
        <scheme val="major"/>
      </font>
    </dxf>
    <dxf>
      <alignment horizontal="right"/>
    </dxf>
    <dxf>
      <font>
        <name val="Segoe UI Semibold"/>
        <scheme val="major"/>
      </font>
    </dxf>
    <dxf>
      <alignment horizontal="righ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alignment horizontal="right"/>
    </dxf>
    <dxf>
      <font>
        <name val="Segoe UI Semibold"/>
        <scheme val="major"/>
      </font>
    </dxf>
    <dxf>
      <alignment horizontal="right"/>
    </dxf>
    <dxf>
      <font>
        <name val="Segoe UI Semibold"/>
        <scheme val="major"/>
      </font>
    </dxf>
    <dxf>
      <alignment vertical="center"/>
    </dxf>
    <dxf>
      <alignment vertical="center"/>
    </dxf>
    <dxf>
      <alignment vertical="center"/>
    </dxf>
    <dxf>
      <alignment vertical="center"/>
    </dxf>
    <dxf>
      <alignment vertical="center"/>
    </dxf>
    <dxf>
      <font>
        <name val="Segoe UI Semibold"/>
        <scheme val="major"/>
      </fon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right"/>
    </dxf>
    <dxf>
      <font>
        <name val="Segoe UI Semibold"/>
        <scheme val="major"/>
      </font>
    </dxf>
    <dxf>
      <alignment horizontal="right"/>
    </dxf>
    <dxf>
      <font>
        <name val="Segoe UI Semibold"/>
        <scheme val="major"/>
      </font>
    </dxf>
    <dxf>
      <alignment vertical="center"/>
    </dxf>
    <dxf>
      <alignment vertical="center"/>
    </dxf>
    <dxf>
      <alignment vertical="center"/>
    </dxf>
    <dxf>
      <alignment vertical="center"/>
    </dxf>
    <dxf>
      <alignment vertical="center"/>
    </dxf>
    <dxf>
      <font>
        <name val="Segoe UI Semibold"/>
        <scheme val="major"/>
      </fon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4" xr9:uid="{80D32CC6-B7D5-485D-BFE7-61D57DE3A4C6}">
      <tableStyleElement type="wholeTable" dxfId="123"/>
      <tableStyleElement type="headerRow" dxfId="122"/>
      <tableStyleElement type="totalRow" dxfId="121"/>
      <tableStyleElement type="secondRowStripe" dxfId="120"/>
    </tableStyle>
    <tableStyle name="Business Central Reports Slicer Style (Template)" pivot="0" table="0" count="10" xr9:uid="{7DE5635D-ED9C-451C-9066-3FD550D71DFD}">
      <tableStyleElement type="wholeTable" dxfId="119"/>
      <tableStyleElement type="headerRow" dxfId="118"/>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1821175</xdr:colOff>
      <xdr:row>8</xdr:row>
      <xdr:rowOff>264525</xdr:rowOff>
    </xdr:to>
    <mc:AlternateContent xmlns:mc="http://schemas.openxmlformats.org/markup-compatibility/2006" xmlns:a14="http://schemas.microsoft.com/office/drawing/2010/main">
      <mc:Choice Requires="a14">
        <xdr:graphicFrame macro="">
          <xdr:nvGraphicFramePr>
            <xdr:cNvPr id="2" name="$ItemNo$">
              <a:extLst>
                <a:ext uri="{FF2B5EF4-FFF2-40B4-BE49-F238E27FC236}">
                  <a16:creationId xmlns:a16="http://schemas.microsoft.com/office/drawing/2014/main" id="{743DCD40-CD68-7A75-9745-0FDA46AD37C0}"/>
                </a:ext>
              </a:extLst>
            </xdr:cNvPr>
            <xdr:cNvGraphicFramePr/>
          </xdr:nvGraphicFramePr>
          <xdr:xfrm>
            <a:off x="0" y="0"/>
            <a:ext cx="0" cy="0"/>
          </xdr:xfrm>
          <a:graphic>
            <a:graphicData uri="http://schemas.microsoft.com/office/drawing/2010/slicer">
              <sle:slicer xmlns:sle="http://schemas.microsoft.com/office/drawing/2010/slicer" name="$ItemNo$"/>
            </a:graphicData>
          </a:graphic>
        </xdr:graphicFrame>
      </mc:Choice>
      <mc:Fallback xmlns="">
        <xdr:sp macro="" textlink="">
          <xdr:nvSpPr>
            <xdr:cNvPr id="0" name=""/>
            <xdr:cNvSpPr>
              <a:spLocks noTextEdit="1"/>
            </xdr:cNvSpPr>
          </xdr:nvSpPr>
          <xdr:spPr>
            <a:xfrm>
              <a:off x="0" y="0"/>
              <a:ext cx="1818000" cy="26172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1857375</xdr:colOff>
      <xdr:row>0</xdr:row>
      <xdr:rowOff>0</xdr:rowOff>
    </xdr:from>
    <xdr:to>
      <xdr:col>0</xdr:col>
      <xdr:colOff>3669025</xdr:colOff>
      <xdr:row>8</xdr:row>
      <xdr:rowOff>264525</xdr:rowOff>
    </xdr:to>
    <mc:AlternateContent xmlns:mc="http://schemas.openxmlformats.org/markup-compatibility/2006" xmlns:a14="http://schemas.microsoft.com/office/drawing/2010/main">
      <mc:Choice Requires="a14">
        <xdr:graphicFrame macro="">
          <xdr:nvGraphicFramePr>
            <xdr:cNvPr id="3" name="$Description$">
              <a:extLst>
                <a:ext uri="{FF2B5EF4-FFF2-40B4-BE49-F238E27FC236}">
                  <a16:creationId xmlns:a16="http://schemas.microsoft.com/office/drawing/2014/main" id="{F0E5DB1D-E2CB-9EFB-070C-028322DEFB1A}"/>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1854200" y="0"/>
              <a:ext cx="1811650" cy="26172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9</xdr:row>
      <xdr:rowOff>34925</xdr:rowOff>
    </xdr:from>
    <xdr:to>
      <xdr:col>0</xdr:col>
      <xdr:colOff>1821175</xdr:colOff>
      <xdr:row>18</xdr:row>
      <xdr:rowOff>258175</xdr:rowOff>
    </xdr:to>
    <mc:AlternateContent xmlns:mc="http://schemas.openxmlformats.org/markup-compatibility/2006" xmlns:a14="http://schemas.microsoft.com/office/drawing/2010/main">
      <mc:Choice Requires="a14">
        <xdr:graphicFrame macro="">
          <xdr:nvGraphicFramePr>
            <xdr:cNvPr id="4" name="$LocationCode$">
              <a:extLst>
                <a:ext uri="{FF2B5EF4-FFF2-40B4-BE49-F238E27FC236}">
                  <a16:creationId xmlns:a16="http://schemas.microsoft.com/office/drawing/2014/main" id="{5FAE474D-BD1A-09B8-9633-61FAC576AFF4}"/>
                </a:ext>
              </a:extLst>
            </xdr:cNvPr>
            <xdr:cNvGraphicFramePr/>
          </xdr:nvGraphicFramePr>
          <xdr:xfrm>
            <a:off x="0" y="0"/>
            <a:ext cx="0" cy="0"/>
          </xdr:xfrm>
          <a:graphic>
            <a:graphicData uri="http://schemas.microsoft.com/office/drawing/2010/slicer">
              <sle:slicer xmlns:sle="http://schemas.microsoft.com/office/drawing/2010/slicer" name="$LocationCode$"/>
            </a:graphicData>
          </a:graphic>
        </xdr:graphicFrame>
      </mc:Choice>
      <mc:Fallback xmlns="">
        <xdr:sp macro="" textlink="">
          <xdr:nvSpPr>
            <xdr:cNvPr id="0" name=""/>
            <xdr:cNvSpPr>
              <a:spLocks noTextEdit="1"/>
            </xdr:cNvSpPr>
          </xdr:nvSpPr>
          <xdr:spPr>
            <a:xfrm>
              <a:off x="0" y="2654300"/>
              <a:ext cx="1818000" cy="26203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1857375</xdr:colOff>
      <xdr:row>9</xdr:row>
      <xdr:rowOff>34925</xdr:rowOff>
    </xdr:from>
    <xdr:to>
      <xdr:col>0</xdr:col>
      <xdr:colOff>3678550</xdr:colOff>
      <xdr:row>18</xdr:row>
      <xdr:rowOff>255000</xdr:rowOff>
    </xdr:to>
    <mc:AlternateContent xmlns:mc="http://schemas.openxmlformats.org/markup-compatibility/2006" xmlns:a14="http://schemas.microsoft.com/office/drawing/2010/main">
      <mc:Choice Requires="a14">
        <xdr:graphicFrame macro="">
          <xdr:nvGraphicFramePr>
            <xdr:cNvPr id="5" name="$VariantCode$">
              <a:extLst>
                <a:ext uri="{FF2B5EF4-FFF2-40B4-BE49-F238E27FC236}">
                  <a16:creationId xmlns:a16="http://schemas.microsoft.com/office/drawing/2014/main" id="{815521B5-AC84-52D8-0C18-46E562B75531}"/>
                </a:ext>
              </a:extLst>
            </xdr:cNvPr>
            <xdr:cNvGraphicFramePr/>
          </xdr:nvGraphicFramePr>
          <xdr:xfrm>
            <a:off x="0" y="0"/>
            <a:ext cx="0" cy="0"/>
          </xdr:xfrm>
          <a:graphic>
            <a:graphicData uri="http://schemas.microsoft.com/office/drawing/2010/slicer">
              <sle:slicer xmlns:sle="http://schemas.microsoft.com/office/drawing/2010/slicer" name="$VariantCode$"/>
            </a:graphicData>
          </a:graphic>
        </xdr:graphicFrame>
      </mc:Choice>
      <mc:Fallback xmlns="">
        <xdr:sp macro="" textlink="">
          <xdr:nvSpPr>
            <xdr:cNvPr id="0" name=""/>
            <xdr:cNvSpPr>
              <a:spLocks noTextEdit="1"/>
            </xdr:cNvSpPr>
          </xdr:nvSpPr>
          <xdr:spPr>
            <a:xfrm>
              <a:off x="1854200" y="2654300"/>
              <a:ext cx="1824350" cy="26235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19</xdr:row>
      <xdr:rowOff>28575</xdr:rowOff>
    </xdr:from>
    <xdr:to>
      <xdr:col>0</xdr:col>
      <xdr:colOff>1821175</xdr:colOff>
      <xdr:row>28</xdr:row>
      <xdr:rowOff>248650</xdr:rowOff>
    </xdr:to>
    <mc:AlternateContent xmlns:mc="http://schemas.openxmlformats.org/markup-compatibility/2006" xmlns:a14="http://schemas.microsoft.com/office/drawing/2010/main">
      <mc:Choice Requires="a14">
        <xdr:graphicFrame macro="">
          <xdr:nvGraphicFramePr>
            <xdr:cNvPr id="6" name="$CategoryName$">
              <a:extLst>
                <a:ext uri="{FF2B5EF4-FFF2-40B4-BE49-F238E27FC236}">
                  <a16:creationId xmlns:a16="http://schemas.microsoft.com/office/drawing/2014/main" id="{76B92C26-C743-E30C-7643-718D5BA64290}"/>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0" y="5311775"/>
              <a:ext cx="1818000" cy="26235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5993.63763553241" createdVersion="8" refreshedVersion="8" minRefreshableVersion="3" recordCount="1" xr:uid="{B5F7AF2A-B8EA-41D0-933B-16230DE89CDE}">
  <cacheSource type="worksheet">
    <worksheetSource name="InventoryAvailabilityPlan_Query"/>
  </cacheSource>
  <cacheFields count="15">
    <cacheField name="ItemNo" numFmtId="0">
      <sharedItems count="1">
        <s v=""/>
      </sharedItems>
    </cacheField>
    <cacheField name="Description" numFmtId="0">
      <sharedItems count="1">
        <s v=""/>
      </sharedItems>
    </cacheField>
    <cacheField name="LocationCode" numFmtId="0">
      <sharedItems count="1">
        <s v=""/>
      </sharedItems>
    </cacheField>
    <cacheField name="VariantCode" numFmtId="0">
      <sharedItems count="1">
        <s v=""/>
      </sharedItems>
    </cacheField>
    <cacheField name="CategoryName" numFmtId="0">
      <sharedItems count="1">
        <s v=""/>
      </sharedItems>
    </cacheField>
    <cacheField name="CurrentQuantity" numFmtId="0">
      <sharedItems containsSemiMixedTypes="0" containsString="0" containsNumber="1" containsInteger="1" minValue="0" maxValue="0"/>
    </cacheField>
    <cacheField name="Quantity1" numFmtId="0">
      <sharedItems containsSemiMixedTypes="0" containsString="0" containsNumber="1" containsInteger="1" minValue="0" maxValue="0"/>
    </cacheField>
    <cacheField name="Quantity2" numFmtId="0">
      <sharedItems containsSemiMixedTypes="0" containsString="0" containsNumber="1" containsInteger="1" minValue="0" maxValue="0"/>
    </cacheField>
    <cacheField name="Quantity3" numFmtId="0">
      <sharedItems containsSemiMixedTypes="0" containsString="0" containsNumber="1" containsInteger="1" minValue="0" maxValue="0"/>
    </cacheField>
    <cacheField name="Quantity4" numFmtId="0">
      <sharedItems containsSemiMixedTypes="0" containsString="0" containsNumber="1" containsInteger="1" minValue="0" maxValue="0"/>
    </cacheField>
    <cacheField name="Quantity5" numFmtId="0">
      <sharedItems containsSemiMixedTypes="0" containsString="0" containsNumber="1" containsInteger="1" minValue="0" maxValue="0"/>
    </cacheField>
    <cacheField name="Quantity6" numFmtId="0">
      <sharedItems containsSemiMixedTypes="0" containsString="0" containsNumber="1" containsInteger="1" minValue="0" maxValue="0"/>
    </cacheField>
    <cacheField name="Quantity7" numFmtId="0">
      <sharedItems containsSemiMixedTypes="0" containsString="0" containsNumber="1" containsInteger="1" minValue="0" maxValue="0"/>
    </cacheField>
    <cacheField name="Quantity8" numFmtId="0">
      <sharedItems containsSemiMixedTypes="0" containsString="0" containsNumber="1" containsInteger="1" minValue="0" maxValue="0"/>
    </cacheField>
    <cacheField name="Custom_CurrentQuantity" numFmtId="0">
      <sharedItems count="1">
        <s v=""/>
      </sharedItems>
    </cacheField>
  </cacheFields>
  <extLst>
    <ext xmlns:x14="http://schemas.microsoft.com/office/spreadsheetml/2009/9/main" uri="{725AE2AE-9491-48be-B2B4-4EB974FC3084}">
      <x14:pivotCacheDefinition pivotCacheId="1821879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n v="0"/>
    <n v="0"/>
    <n v="0"/>
    <n v="0"/>
    <n v="0"/>
    <n v="0"/>
    <n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2C9E07-2E58-4FA3-8A23-C7C5BD30CAAA}" name="PivotTable1" cacheId="19"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7:O8" firstHeaderRow="0" firstDataRow="1" firstDataCol="6"/>
  <pivotFields count="15">
    <pivotField name="$ItemNo$" axis="axisRow" compact="0" outline="0" subtotalTop="0" showAll="0" defaultSubtotal="0">
      <items count="1">
        <item x="0"/>
      </items>
    </pivotField>
    <pivotField name="$Description$" axis="axisRow" compact="0" outline="0" showAll="0" defaultSubtotal="0">
      <items count="1">
        <item x="0"/>
      </items>
    </pivotField>
    <pivotField name="$LocationCode$" axis="axisRow" compact="0" outline="0" showAll="0" defaultSubtotal="0">
      <items count="1">
        <item x="0"/>
      </items>
    </pivotField>
    <pivotField name="$VariantCode$" axis="axisRow" compact="0" outline="0" showAll="0" defaultSubtotal="0">
      <items count="1">
        <item x="0"/>
      </items>
    </pivotField>
    <pivotField name="$CategoryName$" axis="axisRow" compact="0" outline="0" showAll="0" defaultSubtotal="0">
      <items count="1">
        <item x="0"/>
      </items>
    </pivotField>
    <pivotField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name="$CurrentQuantity$" axis="axisRow" compact="0" outline="0" subtotalTop="0" showAll="0" defaultSubtotal="0">
      <items count="1">
        <item x="0"/>
      </items>
    </pivotField>
  </pivotFields>
  <rowFields count="6">
    <field x="0"/>
    <field x="1"/>
    <field x="2"/>
    <field x="3"/>
    <field x="4"/>
    <field x="14"/>
  </rowFields>
  <rowItems count="1">
    <i>
      <x/>
      <x/>
      <x/>
      <x/>
      <x/>
      <x/>
    </i>
  </rowItems>
  <colFields count="1">
    <field x="-2"/>
  </colFields>
  <colItems count="8">
    <i>
      <x/>
    </i>
    <i i="1">
      <x v="1"/>
    </i>
    <i i="2">
      <x v="2"/>
    </i>
    <i i="3">
      <x v="3"/>
    </i>
    <i i="4">
      <x v="4"/>
    </i>
    <i i="5">
      <x v="5"/>
    </i>
    <i i="6">
      <x v="6"/>
    </i>
    <i i="7">
      <x v="7"/>
    </i>
  </colItems>
  <dataFields count="8">
    <dataField name="$BeforeLbl$" fld="6" baseField="0" baseItem="0"/>
    <dataField name="$Quantity2$" fld="7" baseField="0" baseItem="0"/>
    <dataField name="$Quantity3$" fld="8" baseField="0" baseItem="0"/>
    <dataField name="$Quantity4$" fld="9" baseField="0" baseItem="0"/>
    <dataField name="$Quantity5$" fld="10" baseField="0" baseItem="0"/>
    <dataField name="$Quantity6$" fld="11" baseField="0" baseItem="0"/>
    <dataField name="$Quantity7$" fld="12" baseField="0" baseItem="0"/>
    <dataField name="$AfterLbl$" fld="13" baseField="0" baseItem="0"/>
  </dataFields>
  <formats count="27">
    <format dxfId="117">
      <pivotArea type="all" dataOnly="0" outline="0" fieldPosition="0"/>
    </format>
    <format dxfId="116">
      <pivotArea outline="0" collapsedLevelsAreSubtotals="1" fieldPosition="0"/>
    </format>
    <format dxfId="115">
      <pivotArea field="1" type="button" dataOnly="0" labelOnly="1" outline="0" axis="axisRow" fieldPosition="1"/>
    </format>
    <format dxfId="114">
      <pivotArea field="2" type="button" dataOnly="0" labelOnly="1" outline="0" axis="axisRow" fieldPosition="2"/>
    </format>
    <format dxfId="113">
      <pivotArea field="3" type="button" dataOnly="0" labelOnly="1" outline="0" axis="axisRow" fieldPosition="3"/>
    </format>
    <format dxfId="112">
      <pivotArea field="4" type="button" dataOnly="0" labelOnly="1" outline="0" axis="axisRow" fieldPosition="4"/>
    </format>
    <format dxfId="111">
      <pivotArea type="all" dataOnly="0" outline="0" fieldPosition="0"/>
    </format>
    <format dxfId="110">
      <pivotArea outline="0" collapsedLevelsAreSubtotals="1" fieldPosition="0"/>
    </format>
    <format dxfId="109">
      <pivotArea field="1" type="button" dataOnly="0" labelOnly="1" outline="0" axis="axisRow" fieldPosition="1"/>
    </format>
    <format dxfId="108">
      <pivotArea field="2" type="button" dataOnly="0" labelOnly="1" outline="0" axis="axisRow" fieldPosition="2"/>
    </format>
    <format dxfId="107">
      <pivotArea field="3" type="button" dataOnly="0" labelOnly="1" outline="0" axis="axisRow" fieldPosition="3"/>
    </format>
    <format dxfId="106">
      <pivotArea field="4" type="button" dataOnly="0" labelOnly="1" outline="0" axis="axisRow" fieldPosition="4"/>
    </format>
    <format dxfId="105">
      <pivotArea field="1" type="button" dataOnly="0" labelOnly="1" outline="0" axis="axisRow" fieldPosition="1"/>
    </format>
    <format dxfId="104">
      <pivotArea field="2" type="button" dataOnly="0" labelOnly="1" outline="0" axis="axisRow" fieldPosition="2"/>
    </format>
    <format dxfId="103">
      <pivotArea field="3" type="button" dataOnly="0" labelOnly="1" outline="0" axis="axisRow" fieldPosition="3"/>
    </format>
    <format dxfId="102">
      <pivotArea field="4" type="button" dataOnly="0" labelOnly="1" outline="0" axis="axisRow" fieldPosition="4"/>
    </format>
    <format dxfId="101">
      <pivotArea outline="0" collapsedLevelsAreSubtotals="1" fieldPosition="0"/>
    </format>
    <format dxfId="100">
      <pivotArea field="0" type="button" dataOnly="0" labelOnly="1" outline="0" axis="axisRow" fieldPosition="0"/>
    </format>
    <format dxfId="99">
      <pivotArea field="0" type="button" dataOnly="0" labelOnly="1" outline="0" axis="axisRow" fieldPosition="0"/>
    </format>
    <format dxfId="98">
      <pivotArea field="1" type="button" dataOnly="0" labelOnly="1" outline="0" axis="axisRow" fieldPosition="1"/>
    </format>
    <format dxfId="97">
      <pivotArea field="2" type="button" dataOnly="0" labelOnly="1" outline="0" axis="axisRow" fieldPosition="2"/>
    </format>
    <format dxfId="96">
      <pivotArea field="3" type="button" dataOnly="0" labelOnly="1" outline="0" axis="axisRow" fieldPosition="3"/>
    </format>
    <format dxfId="95">
      <pivotArea field="4" type="button" dataOnly="0" labelOnly="1" outline="0" axis="axisRow" fieldPosition="4"/>
    </format>
    <format dxfId="94">
      <pivotArea dataOnly="0" labelOnly="1" outline="0" fieldPosition="0">
        <references count="1">
          <reference field="4294967294" count="8">
            <x v="0"/>
            <x v="1"/>
            <x v="2"/>
            <x v="3"/>
            <x v="4"/>
            <x v="5"/>
            <x v="6"/>
            <x v="7"/>
          </reference>
        </references>
      </pivotArea>
    </format>
    <format dxfId="93">
      <pivotArea dataOnly="0" labelOnly="1" outline="0" fieldPosition="0">
        <references count="1">
          <reference field="4294967294" count="8">
            <x v="0"/>
            <x v="1"/>
            <x v="2"/>
            <x v="3"/>
            <x v="4"/>
            <x v="5"/>
            <x v="6"/>
            <x v="7"/>
          </reference>
        </references>
      </pivotArea>
    </format>
    <format dxfId="92">
      <pivotArea field="14" type="button" dataOnly="0" labelOnly="1" outline="0" axis="axisRow" fieldPosition="5"/>
    </format>
    <format dxfId="91">
      <pivotArea field="14" type="button" dataOnly="0" labelOnly="1" outline="0" axis="axisRow" fieldPosition="5"/>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99330A-8328-4704-826B-07F3A0CFE425}" name="PivotTable1" cacheId="19"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2:O3" firstHeaderRow="0" firstDataRow="1" firstDataCol="6"/>
  <pivotFields count="15">
    <pivotField name="$ItemNo$" axis="axisRow" compact="0" outline="0" subtotalTop="0" showAll="0" defaultSubtotal="0">
      <items count="1">
        <item x="0"/>
      </items>
    </pivotField>
    <pivotField name="$Description$" axis="axisRow" compact="0" outline="0" showAll="0" defaultSubtotal="0">
      <items count="1">
        <item x="0"/>
      </items>
    </pivotField>
    <pivotField name="$LocationCode$" axis="axisRow" compact="0" outline="0" showAll="0" defaultSubtotal="0">
      <items count="1">
        <item x="0"/>
      </items>
    </pivotField>
    <pivotField name="$VariantCode$" axis="axisRow" compact="0" outline="0" showAll="0" defaultSubtotal="0">
      <items count="1">
        <item x="0"/>
      </items>
    </pivotField>
    <pivotField name="$CategoryName$" axis="axisRow" compact="0" outline="0" showAll="0" defaultSubtotal="0">
      <items count="1">
        <item x="0"/>
      </items>
    </pivotField>
    <pivotField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name="$CurrentQuantity$" axis="axisRow" compact="0" outline="0" subtotalTop="0" showAll="0" defaultSubtotal="0">
      <items count="1">
        <item x="0"/>
      </items>
    </pivotField>
  </pivotFields>
  <rowFields count="6">
    <field x="0"/>
    <field x="1"/>
    <field x="2"/>
    <field x="3"/>
    <field x="4"/>
    <field x="14"/>
  </rowFields>
  <rowItems count="1">
    <i>
      <x/>
      <x/>
      <x/>
      <x/>
      <x/>
      <x/>
    </i>
  </rowItems>
  <colFields count="1">
    <field x="-2"/>
  </colFields>
  <colItems count="8">
    <i>
      <x/>
    </i>
    <i i="1">
      <x v="1"/>
    </i>
    <i i="2">
      <x v="2"/>
    </i>
    <i i="3">
      <x v="3"/>
    </i>
    <i i="4">
      <x v="4"/>
    </i>
    <i i="5">
      <x v="5"/>
    </i>
    <i i="6">
      <x v="6"/>
    </i>
    <i i="7">
      <x v="7"/>
    </i>
  </colItems>
  <dataFields count="8">
    <dataField name="$BeforeLbl$" fld="6" baseField="0" baseItem="0"/>
    <dataField name="$Quantity2$" fld="7" baseField="0" baseItem="0"/>
    <dataField name="$Quantity3$" fld="8" baseField="0" baseItem="0"/>
    <dataField name="$Quantity4$" fld="9" baseField="0" baseItem="0"/>
    <dataField name="$Quantity5$" fld="10" baseField="0" baseItem="0"/>
    <dataField name="$Quantity6$" fld="11" baseField="0" baseItem="0"/>
    <dataField name="$Quantity7$" fld="12" baseField="0" baseItem="0"/>
    <dataField name="$AfterLbl$" fld="13" baseField="0" baseItem="0"/>
  </dataFields>
  <formats count="27">
    <format dxfId="90">
      <pivotArea type="all" dataOnly="0" outline="0" fieldPosition="0"/>
    </format>
    <format dxfId="89">
      <pivotArea outline="0" collapsedLevelsAreSubtotals="1" fieldPosition="0"/>
    </format>
    <format dxfId="88">
      <pivotArea field="1" type="button" dataOnly="0" labelOnly="1" outline="0" axis="axisRow" fieldPosition="1"/>
    </format>
    <format dxfId="87">
      <pivotArea field="2" type="button" dataOnly="0" labelOnly="1" outline="0" axis="axisRow" fieldPosition="2"/>
    </format>
    <format dxfId="86">
      <pivotArea field="3" type="button" dataOnly="0" labelOnly="1" outline="0" axis="axisRow" fieldPosition="3"/>
    </format>
    <format dxfId="85">
      <pivotArea field="4" type="button" dataOnly="0" labelOnly="1" outline="0" axis="axisRow" fieldPosition="4"/>
    </format>
    <format dxfId="84">
      <pivotArea type="all" dataOnly="0" outline="0" fieldPosition="0"/>
    </format>
    <format dxfId="83">
      <pivotArea outline="0" collapsedLevelsAreSubtotals="1" fieldPosition="0"/>
    </format>
    <format dxfId="82">
      <pivotArea field="1" type="button" dataOnly="0" labelOnly="1" outline="0" axis="axisRow" fieldPosition="1"/>
    </format>
    <format dxfId="81">
      <pivotArea field="2" type="button" dataOnly="0" labelOnly="1" outline="0" axis="axisRow" fieldPosition="2"/>
    </format>
    <format dxfId="80">
      <pivotArea field="3" type="button" dataOnly="0" labelOnly="1" outline="0" axis="axisRow" fieldPosition="3"/>
    </format>
    <format dxfId="79">
      <pivotArea field="4" type="button" dataOnly="0" labelOnly="1" outline="0" axis="axisRow" fieldPosition="4"/>
    </format>
    <format dxfId="78">
      <pivotArea field="1" type="button" dataOnly="0" labelOnly="1" outline="0" axis="axisRow" fieldPosition="1"/>
    </format>
    <format dxfId="77">
      <pivotArea field="2" type="button" dataOnly="0" labelOnly="1" outline="0" axis="axisRow" fieldPosition="2"/>
    </format>
    <format dxfId="76">
      <pivotArea field="3" type="button" dataOnly="0" labelOnly="1" outline="0" axis="axisRow" fieldPosition="3"/>
    </format>
    <format dxfId="75">
      <pivotArea field="4" type="button" dataOnly="0" labelOnly="1" outline="0" axis="axisRow" fieldPosition="4"/>
    </format>
    <format dxfId="74">
      <pivotArea outline="0" collapsedLevelsAreSubtotals="1" fieldPosition="0"/>
    </format>
    <format dxfId="73">
      <pivotArea field="0" type="button" dataOnly="0" labelOnly="1" outline="0" axis="axisRow" fieldPosition="0"/>
    </format>
    <format dxfId="72">
      <pivotArea field="0" type="button" dataOnly="0" labelOnly="1" outline="0" axis="axisRow" fieldPosition="0"/>
    </format>
    <format dxfId="71">
      <pivotArea field="1" type="button" dataOnly="0" labelOnly="1" outline="0" axis="axisRow" fieldPosition="1"/>
    </format>
    <format dxfId="70">
      <pivotArea field="2" type="button" dataOnly="0" labelOnly="1" outline="0" axis="axisRow" fieldPosition="2"/>
    </format>
    <format dxfId="69">
      <pivotArea field="3" type="button" dataOnly="0" labelOnly="1" outline="0" axis="axisRow" fieldPosition="3"/>
    </format>
    <format dxfId="68">
      <pivotArea field="4" type="button" dataOnly="0" labelOnly="1" outline="0" axis="axisRow" fieldPosition="4"/>
    </format>
    <format dxfId="67">
      <pivotArea dataOnly="0" labelOnly="1" outline="0" fieldPosition="0">
        <references count="1">
          <reference field="4294967294" count="8">
            <x v="0"/>
            <x v="1"/>
            <x v="2"/>
            <x v="3"/>
            <x v="4"/>
            <x v="5"/>
            <x v="6"/>
            <x v="7"/>
          </reference>
        </references>
      </pivotArea>
    </format>
    <format dxfId="66">
      <pivotArea dataOnly="0" labelOnly="1" outline="0" fieldPosition="0">
        <references count="1">
          <reference field="4294967294" count="8">
            <x v="0"/>
            <x v="1"/>
            <x v="2"/>
            <x v="3"/>
            <x v="4"/>
            <x v="5"/>
            <x v="6"/>
            <x v="7"/>
          </reference>
        </references>
      </pivotArea>
    </format>
    <format dxfId="65">
      <pivotArea field="14" type="button" dataOnly="0" labelOnly="1" outline="0" axis="axisRow" fieldPosition="5"/>
    </format>
    <format dxfId="64">
      <pivotArea field="14" type="button" dataOnly="0" labelOnly="1" outline="0" axis="axisRow" fieldPosition="5"/>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9976C50F-4042-4C2C-A94F-43C5FB05E2FD}" autoFormatId="16" applyNumberFormats="0" applyBorderFormats="0" applyFontFormats="0" applyPatternFormats="0" applyAlignmentFormats="0" applyWidthHeightFormats="0">
  <queryTableRefresh nextId="37">
    <queryTableFields count="15">
      <queryTableField id="16" name="ItemNo" tableColumnId="1"/>
      <queryTableField id="2" name="Description" tableColumnId="2"/>
      <queryTableField id="3" name="LocationCode" tableColumnId="3"/>
      <queryTableField id="4" name="VariantCode" tableColumnId="4"/>
      <queryTableField id="5" name="CategoryName" tableColumnId="5"/>
      <queryTableField id="34" name="CurrentQuantity" tableColumnId="6"/>
      <queryTableField id="18" name="Quantity1" tableColumnId="7"/>
      <queryTableField id="19" name="Quantity2" tableColumnId="8"/>
      <queryTableField id="20" name="Quantity3" tableColumnId="9"/>
      <queryTableField id="21" name="Quantity4" tableColumnId="10"/>
      <queryTableField id="22" name="Quantity5" tableColumnId="11"/>
      <queryTableField id="23" name="Quantity6" tableColumnId="12"/>
      <queryTableField id="24" name="Quantity7" tableColumnId="13"/>
      <queryTableField id="25" name="Quantity8" tableColumnId="14"/>
      <queryTableField id="35" name="Custom_CurrentQuantit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No" xr10:uid="{59821361-FE2C-4B41-BEBA-96A9EBA80292}" sourceName="ItemNo">
  <pivotTables>
    <pivotTable tabId="9" name="PivotTable1"/>
  </pivotTables>
  <data>
    <tabular pivotCacheId="1821879780"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387D09F1-048A-41B8-975B-14050A9CCBDC}" sourceName="Description">
  <pivotTables>
    <pivotTable tabId="9" name="PivotTable1"/>
  </pivotTables>
  <data>
    <tabular pivotCacheId="1821879780"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Code" xr10:uid="{ECC33EDA-B267-40EA-BEAB-334AF0120882}" sourceName="LocationCode">
  <pivotTables>
    <pivotTable tabId="9" name="PivotTable1"/>
  </pivotTables>
  <data>
    <tabular pivotCacheId="1821879780"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ntCode" xr10:uid="{2EF8175B-F844-4527-8C8D-9DEB73440BEF}" sourceName="VariantCode">
  <pivotTables>
    <pivotTable tabId="9" name="PivotTable1"/>
  </pivotTables>
  <data>
    <tabular pivotCacheId="1821879780"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BF354DDD-764C-4194-A079-F49A78124F19}" sourceName="CategoryName">
  <pivotTables>
    <pivotTable tabId="9" name="PivotTable1"/>
  </pivotTables>
  <data>
    <tabular pivotCacheId="1821879780"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No$" xr10:uid="{68AD09E1-4D4E-4483-A41A-EDBD5FD14B2C}" cache="Slicer_ItemNo" caption="$ItemNo$" style="Business Central Reports Slicer Style (Template)" rowHeight="273050"/>
  <slicer name="$Description$" xr10:uid="{412FFFCC-5BA9-485D-963F-A826A532C968}" cache="Slicer_Description" caption="$Description$" style="Business Central Reports Slicer Style (Template)" rowHeight="273050"/>
  <slicer name="$LocationCode$" xr10:uid="{FFE7DBB3-DB96-49AD-AAA1-C39A05BAC9DE}" cache="Slicer_LocationCode" caption="$LocationCode$" style="Business Central Reports Slicer Style (Template)" rowHeight="273050"/>
  <slicer name="$VariantCode$" xr10:uid="{250A1225-88BF-41AC-978B-593353BA1786}" cache="Slicer_VariantCode" caption="$VariantCode$" style="Business Central Reports Slicer Style (Template)" rowHeight="273050"/>
  <slicer name="$CategoryName$" xr10:uid="{DF5A7EDA-96BC-402B-A18A-09CAF684C652}" cache="Slicer_CategoryName" caption="$CategoryName$"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664FD2-14AC-4B32-9E4A-900AF5A7A959}" name="InventoryAvailabilityPlan_Query" displayName="InventoryAvailabilityPlan_Query" ref="A1:O2" tableType="queryTable" totalsRowShown="0">
  <autoFilter ref="A1:O2" xr:uid="{D0664FD2-14AC-4B32-9E4A-900AF5A7A959}"/>
  <tableColumns count="15">
    <tableColumn id="1" xr3:uid="{4BBFD8A3-02CA-4737-9587-960793AA4998}" uniqueName="1" name="ItemNo" queryTableFieldId="16" dataDxfId="63"/>
    <tableColumn id="2" xr3:uid="{C2D841CA-D53C-4956-AFA0-2D75F8259AF9}" uniqueName="2" name="Description" queryTableFieldId="2" dataDxfId="62"/>
    <tableColumn id="3" xr3:uid="{5C478BE6-1451-4A8D-ACF3-C30850545ED1}" uniqueName="3" name="LocationCode" queryTableFieldId="3" dataDxfId="61"/>
    <tableColumn id="4" xr3:uid="{732F178A-19D3-4948-9EE0-C5A23FD3D5BA}" uniqueName="4" name="VariantCode" queryTableFieldId="4" dataDxfId="60"/>
    <tableColumn id="5" xr3:uid="{92F0D0D5-832B-4308-AED5-CEE6C1703164}" uniqueName="5" name="CategoryName" queryTableFieldId="5" dataDxfId="59"/>
    <tableColumn id="6" xr3:uid="{FB7ECC35-B8CB-4C8F-93D5-E918CA34748B}" uniqueName="6" name="CurrentQuantity" queryTableFieldId="34"/>
    <tableColumn id="7" xr3:uid="{ABB53D6A-8024-4C5D-8E9B-616A29EE54D6}" uniqueName="7" name="Quantity1" queryTableFieldId="18"/>
    <tableColumn id="8" xr3:uid="{2AA81AD9-E705-4E9D-AD1E-2C4F60F598A4}" uniqueName="8" name="Quantity2" queryTableFieldId="19"/>
    <tableColumn id="9" xr3:uid="{AE1FB38F-351C-4EDB-A5C3-A84CAFA102CC}" uniqueName="9" name="Quantity3" queryTableFieldId="20"/>
    <tableColumn id="10" xr3:uid="{22240AAD-D493-420D-B677-154DEFF4C8E5}" uniqueName="10" name="Quantity4" queryTableFieldId="21"/>
    <tableColumn id="11" xr3:uid="{44EBF112-AEED-4EFF-B714-1F6F839B2D22}" uniqueName="11" name="Quantity5" queryTableFieldId="22"/>
    <tableColumn id="12" xr3:uid="{2E33CDF6-896D-4629-B48D-FE7A5B15EA1D}" uniqueName="12" name="Quantity6" queryTableFieldId="23"/>
    <tableColumn id="13" xr3:uid="{7A4C6E04-D260-4D60-9C20-C9F2227707BE}" uniqueName="13" name="Quantity7" queryTableFieldId="24"/>
    <tableColumn id="14" xr3:uid="{CB46B374-5E9D-4B2B-B21E-B9ADD9438783}" uniqueName="14" name="Quantity8" queryTableFieldId="25"/>
    <tableColumn id="15" xr3:uid="{284890B5-1A1B-4321-B8C5-BA03D1F70DCF}" uniqueName="15" name="Custom_CurrentQuantity" queryTableField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N2" totalsRowShown="0" headerRowDxfId="58">
  <autoFilter ref="A1:N2" xr:uid="{41D726F2-778D-4B1C-A5EA-875FED73D050}"/>
  <tableColumns count="14">
    <tableColumn id="1" xr3:uid="{21867904-D69E-41E3-B5BE-D9B124B8D7E4}" name="ItemNo"/>
    <tableColumn id="2" xr3:uid="{21867904-D69E-41E3-B5BE-D9B124B8D7E4}" name="Description"/>
    <tableColumn id="3" xr3:uid="{21867904-D69E-41E3-B5BE-D9B124B8D7E4}" name="LocationCode"/>
    <tableColumn id="4" xr3:uid="{21867904-D69E-41E3-B5BE-D9B124B8D7E4}" name="VariantCode"/>
    <tableColumn id="5" xr3:uid="{21867904-D69E-41E3-B5BE-D9B124B8D7E4}" name="CategoryName"/>
    <tableColumn id="6" xr3:uid="{21867904-D69E-41E3-B5BE-D9B124B8D7E4}" name="CurrentQuantity"/>
    <tableColumn id="7" xr3:uid="{21867904-D69E-41E3-B5BE-D9B124B8D7E4}" name="Quantity1"/>
    <tableColumn id="8" xr3:uid="{21867904-D69E-41E3-B5BE-D9B124B8D7E4}" name="Quantity2"/>
    <tableColumn id="9" xr3:uid="{21867904-D69E-41E3-B5BE-D9B124B8D7E4}" name="Quantity3"/>
    <tableColumn id="10" xr3:uid="{21867904-D69E-41E3-B5BE-D9B124B8D7E4}" name="Quantity4"/>
    <tableColumn id="11" xr3:uid="{21867904-D69E-41E3-B5BE-D9B124B8D7E4}" name="Quantity5"/>
    <tableColumn id="12" xr3:uid="{21867904-D69E-41E3-B5BE-D9B124B8D7E4}" name="Quantity6"/>
    <tableColumn id="13" xr3:uid="{21867904-D69E-41E3-B5BE-D9B124B8D7E4}" name="Quantity7"/>
    <tableColumn id="14" xr3:uid="{21867904-D69E-41E3-B5BE-D9B124B8D7E4}" name="Quantity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57">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56">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55">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54">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66AA8-068E-4FCD-BFF4-D41EFEE71E34}">
  <sheetPr>
    <pageSetUpPr fitToPage="1"/>
  </sheetPr>
  <dimension ref="A2:P8"/>
  <sheetViews>
    <sheetView showGridLines="0" tabSelected="1" zoomScaleNormal="100" workbookViewId="0"/>
  </sheetViews>
  <sheetFormatPr defaultRowHeight="21" x14ac:dyDescent="0.45"/>
  <cols>
    <col min="1" max="1" width="9.08203125" style="5" customWidth="1"/>
    <col min="2" max="2" width="12.58203125" style="4" customWidth="1"/>
    <col min="3" max="3" width="24" style="4" bestFit="1" customWidth="1"/>
    <col min="4" max="4" width="13.75" style="4" bestFit="1" customWidth="1"/>
    <col min="5" max="5" width="12.75" style="4" bestFit="1" customWidth="1"/>
    <col min="6" max="6" width="15.83203125" style="4" customWidth="1"/>
    <col min="7" max="7" width="13.83203125" style="4" bestFit="1" customWidth="1"/>
    <col min="8" max="14" width="9" style="4" customWidth="1"/>
    <col min="15" max="15" width="25.58203125" style="4" customWidth="1"/>
    <col min="16" max="16384" width="8.6640625" style="4"/>
  </cols>
  <sheetData>
    <row r="2" spans="1:16" ht="26.5" thickBot="1" x14ac:dyDescent="0.5">
      <c r="B2" s="9" t="s">
        <v>69</v>
      </c>
      <c r="N2" s="3"/>
      <c r="O2" s="6" t="str" cm="1">
        <f t="array" ref="O2">ReportRequest.CompanyName</f>
        <v>Company name Value</v>
      </c>
    </row>
    <row r="3" spans="1:16" ht="21.5" thickTop="1" x14ac:dyDescent="0.45">
      <c r="N3" s="3"/>
      <c r="O3" s="3"/>
    </row>
    <row r="4" spans="1:16" x14ac:dyDescent="0.45">
      <c r="B4" s="10" t="e" cm="1">
        <f t="array" ref="B4">ItemFilterHeading</f>
        <v>#N/A</v>
      </c>
      <c r="N4" s="7" t="s">
        <v>75</v>
      </c>
      <c r="O4" s="8" t="str" cm="1">
        <f t="array" ref="O4">ReportRequest.DateLocal</f>
        <v>Date (Local) Value</v>
      </c>
    </row>
    <row r="5" spans="1:16" x14ac:dyDescent="0.45">
      <c r="B5" s="10"/>
      <c r="N5" s="7"/>
      <c r="O5" s="8"/>
    </row>
    <row r="6" spans="1:16" ht="30" customHeight="1" x14ac:dyDescent="0.45">
      <c r="B6" s="17"/>
      <c r="C6" s="17"/>
      <c r="D6" s="17"/>
      <c r="E6" s="17"/>
      <c r="F6" s="17"/>
      <c r="G6" s="17"/>
      <c r="H6" s="17"/>
      <c r="I6" s="18" t="e" cm="1">
        <f t="array" ref="I6">Period1Text</f>
        <v>#N/A</v>
      </c>
      <c r="J6" s="18" t="e" cm="1">
        <f t="array" ref="J6">Period2Text</f>
        <v>#N/A</v>
      </c>
      <c r="K6" s="18" t="e" cm="1">
        <f t="array" ref="K6">Period3Text</f>
        <v>#N/A</v>
      </c>
      <c r="L6" s="18" t="e" cm="1">
        <f t="array" ref="L6">Period4Text</f>
        <v>#N/A</v>
      </c>
      <c r="M6" s="18" t="e" cm="1">
        <f t="array" ref="M6">Period5Text</f>
        <v>#N/A</v>
      </c>
      <c r="N6" s="18" t="e" cm="1">
        <f t="array" ref="N6">Period6Text</f>
        <v>#N/A</v>
      </c>
      <c r="O6" s="17"/>
    </row>
    <row r="7" spans="1:16" s="16" customFormat="1" ht="20" customHeight="1" x14ac:dyDescent="0.55000000000000004">
      <c r="A7" s="15"/>
      <c r="B7" s="20" t="s">
        <v>70</v>
      </c>
      <c r="C7" s="20" t="s">
        <v>71</v>
      </c>
      <c r="D7" s="20" t="s">
        <v>72</v>
      </c>
      <c r="E7" s="20" t="s">
        <v>73</v>
      </c>
      <c r="F7" s="20" t="s">
        <v>74</v>
      </c>
      <c r="G7" s="23" t="s">
        <v>101</v>
      </c>
      <c r="H7" s="22" t="s">
        <v>83</v>
      </c>
      <c r="I7" s="22" t="s">
        <v>93</v>
      </c>
      <c r="J7" s="22" t="s">
        <v>94</v>
      </c>
      <c r="K7" s="22" t="s">
        <v>95</v>
      </c>
      <c r="L7" s="22" t="s">
        <v>96</v>
      </c>
      <c r="M7" s="22" t="s">
        <v>97</v>
      </c>
      <c r="N7" s="22" t="s">
        <v>98</v>
      </c>
      <c r="O7" s="22" t="s">
        <v>84</v>
      </c>
      <c r="P7"/>
    </row>
    <row r="8" spans="1:16" x14ac:dyDescent="0.45">
      <c r="H8" s="21">
        <v>0</v>
      </c>
      <c r="I8" s="21">
        <v>0</v>
      </c>
      <c r="J8" s="21">
        <v>0</v>
      </c>
      <c r="K8" s="21">
        <v>0</v>
      </c>
      <c r="L8" s="21">
        <v>0</v>
      </c>
      <c r="M8" s="21">
        <v>0</v>
      </c>
      <c r="N8" s="21">
        <v>0</v>
      </c>
      <c r="O8" s="21">
        <v>0</v>
      </c>
      <c r="P8"/>
    </row>
  </sheetData>
  <pageMargins left="0.25" right="0.25" top="0.75" bottom="0.75" header="0.3" footer="0.3"/>
  <pageSetup paperSize="9" scale="46"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59C7C-53FE-40E7-A540-D1ABE2AD68AA}">
  <dimension ref="A1:P8"/>
  <sheetViews>
    <sheetView showGridLines="0" zoomScaleNormal="100" workbookViewId="0"/>
  </sheetViews>
  <sheetFormatPr defaultRowHeight="21" x14ac:dyDescent="0.45"/>
  <cols>
    <col min="1" max="1" width="50.58203125" style="5" customWidth="1"/>
    <col min="2" max="2" width="12.58203125" style="4" customWidth="1"/>
    <col min="3" max="3" width="24" style="4" bestFit="1" customWidth="1"/>
    <col min="4" max="4" width="13.75" style="4" bestFit="1" customWidth="1"/>
    <col min="5" max="5" width="12.75" style="4" bestFit="1" customWidth="1"/>
    <col min="6" max="6" width="15.83203125" style="4" customWidth="1"/>
    <col min="7" max="7" width="13.83203125" style="4" bestFit="1" customWidth="1"/>
    <col min="8" max="15" width="9" style="4" customWidth="1"/>
    <col min="16" max="16384" width="8.6640625" style="4"/>
  </cols>
  <sheetData>
    <row r="1" spans="1:16" ht="30" customHeight="1" x14ac:dyDescent="0.45">
      <c r="A1" s="19"/>
      <c r="B1" s="17"/>
      <c r="C1" s="17"/>
      <c r="D1" s="17"/>
      <c r="E1" s="17"/>
      <c r="F1" s="17"/>
      <c r="G1" s="17"/>
      <c r="H1" s="17"/>
      <c r="I1" s="18" t="e" cm="1">
        <f t="array" ref="I1">Period1Text</f>
        <v>#N/A</v>
      </c>
      <c r="J1" s="18" t="e" cm="1">
        <f t="array" ref="J1">Period2Text</f>
        <v>#N/A</v>
      </c>
      <c r="K1" s="18" t="e" cm="1">
        <f t="array" ref="K1">Period3Text</f>
        <v>#N/A</v>
      </c>
      <c r="L1" s="18" t="e" cm="1">
        <f t="array" ref="L1">Period4Text</f>
        <v>#N/A</v>
      </c>
      <c r="M1" s="18" t="e" cm="1">
        <f t="array" ref="M1">Period5Text</f>
        <v>#N/A</v>
      </c>
      <c r="N1" s="18" t="e" cm="1">
        <f t="array" ref="N1">Period6Text</f>
        <v>#N/A</v>
      </c>
      <c r="O1" s="17"/>
    </row>
    <row r="2" spans="1:16" x14ac:dyDescent="0.45">
      <c r="B2" s="20" t="s">
        <v>70</v>
      </c>
      <c r="C2" s="20" t="s">
        <v>71</v>
      </c>
      <c r="D2" s="20" t="s">
        <v>72</v>
      </c>
      <c r="E2" s="20" t="s">
        <v>73</v>
      </c>
      <c r="F2" s="20" t="s">
        <v>74</v>
      </c>
      <c r="G2" s="23" t="s">
        <v>101</v>
      </c>
      <c r="H2" s="22" t="s">
        <v>83</v>
      </c>
      <c r="I2" s="22" t="s">
        <v>93</v>
      </c>
      <c r="J2" s="22" t="s">
        <v>94</v>
      </c>
      <c r="K2" s="22" t="s">
        <v>95</v>
      </c>
      <c r="L2" s="22" t="s">
        <v>96</v>
      </c>
      <c r="M2" s="22" t="s">
        <v>97</v>
      </c>
      <c r="N2" s="22" t="s">
        <v>98</v>
      </c>
      <c r="O2" s="22" t="s">
        <v>84</v>
      </c>
    </row>
    <row r="3" spans="1:16" x14ac:dyDescent="0.45">
      <c r="H3" s="21">
        <v>0</v>
      </c>
      <c r="I3" s="21">
        <v>0</v>
      </c>
      <c r="J3" s="21">
        <v>0</v>
      </c>
      <c r="K3" s="21">
        <v>0</v>
      </c>
      <c r="L3" s="21">
        <v>0</v>
      </c>
      <c r="M3" s="21">
        <v>0</v>
      </c>
      <c r="N3" s="21">
        <v>0</v>
      </c>
      <c r="O3" s="21">
        <v>0</v>
      </c>
    </row>
    <row r="5" spans="1:16" x14ac:dyDescent="0.45">
      <c r="B5" s="10"/>
      <c r="N5" s="7"/>
    </row>
    <row r="6" spans="1:16" ht="30" customHeight="1" x14ac:dyDescent="0.45"/>
    <row r="7" spans="1:16" s="16" customFormat="1" ht="20" customHeight="1" x14ac:dyDescent="0.55000000000000004">
      <c r="A7" s="15"/>
      <c r="B7" s="4"/>
      <c r="C7" s="4"/>
      <c r="D7" s="4"/>
      <c r="E7" s="4"/>
      <c r="F7" s="4"/>
      <c r="G7" s="4"/>
      <c r="H7" s="4"/>
      <c r="I7" s="4"/>
      <c r="J7" s="4"/>
      <c r="K7" s="4"/>
      <c r="L7" s="4"/>
      <c r="M7" s="4"/>
      <c r="N7" s="4"/>
      <c r="O7" s="4"/>
      <c r="P7"/>
    </row>
    <row r="8" spans="1:16" x14ac:dyDescent="0.45">
      <c r="P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0660-31EC-4E12-BCC5-79205CF815BB}">
  <dimension ref="A1:B8"/>
  <sheetViews>
    <sheetView showGridLines="0" workbookViewId="0"/>
  </sheetViews>
  <sheetFormatPr defaultRowHeight="20" customHeight="1" x14ac:dyDescent="0.45"/>
  <cols>
    <col min="1" max="1" width="18.83203125" customWidth="1"/>
    <col min="2" max="2" width="27.83203125" customWidth="1"/>
  </cols>
  <sheetData>
    <row r="1" spans="1:2" ht="20" customHeight="1" x14ac:dyDescent="0.45">
      <c r="A1" s="11" t="s">
        <v>76</v>
      </c>
      <c r="B1" s="10" t="str" cm="1">
        <f t="array" ref="B1">ReportRequest.EnvironmentName</f>
        <v>Environment name Value</v>
      </c>
    </row>
    <row r="2" spans="1:2" ht="20" customHeight="1" x14ac:dyDescent="0.45">
      <c r="A2" s="11" t="s">
        <v>77</v>
      </c>
      <c r="B2" s="10" t="str" cm="1">
        <f t="array" ref="B2">ReportRequest.CompanyName</f>
        <v>Company name Value</v>
      </c>
    </row>
    <row r="3" spans="1:2" ht="20" customHeight="1" x14ac:dyDescent="0.45">
      <c r="A3" s="11" t="s">
        <v>78</v>
      </c>
      <c r="B3" s="10" t="str" cm="1">
        <f t="array" ref="B3">ReportRequest.UserName</f>
        <v>User name Value</v>
      </c>
    </row>
    <row r="4" spans="1:2" ht="20" customHeight="1" x14ac:dyDescent="0.45">
      <c r="A4" s="11" t="s">
        <v>79</v>
      </c>
      <c r="B4" s="12" t="str" cm="1">
        <f t="array" ref="B4">ReportRequest.DateLocal</f>
        <v>Date (Local) Value</v>
      </c>
    </row>
    <row r="5" spans="1:2" ht="20" customHeight="1" x14ac:dyDescent="0.45">
      <c r="A5" s="11"/>
      <c r="B5" s="13" t="str" cm="1">
        <f t="array" ref="B5">ReportRequest.DateLocal</f>
        <v>Date (Local) Value</v>
      </c>
    </row>
    <row r="6" spans="1:2" ht="20" customHeight="1" x14ac:dyDescent="0.45">
      <c r="A6" s="11" t="s">
        <v>80</v>
      </c>
      <c r="B6" s="10" t="str" cm="1">
        <f t="array" ref="B6">ReportMetadata.ObjectCaption</f>
        <v>Object Caption Value</v>
      </c>
    </row>
    <row r="7" spans="1:2" ht="20" customHeight="1" x14ac:dyDescent="0.45">
      <c r="A7" s="11" t="s">
        <v>81</v>
      </c>
      <c r="B7" s="14" t="str">
        <f>HYPERLINK(_xlfn.CONCAT("https://learn.microsoft.com/dynamics365/business-central/reports/report-",ReportMetadata.ObjectID))</f>
        <v>https://learn.microsoft.com/dynamics365/business-central/reports/report-Object ID Value</v>
      </c>
    </row>
    <row r="8" spans="1:2" ht="20" customHeight="1" x14ac:dyDescent="0.45">
      <c r="A8" s="11"/>
      <c r="B8"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C4AA9-A12D-41FF-A8C0-300F728F9F06}">
  <dimension ref="A1:O2"/>
  <sheetViews>
    <sheetView workbookViewId="0">
      <selection sqref="A1:O2"/>
    </sheetView>
  </sheetViews>
  <sheetFormatPr defaultRowHeight="16.5" x14ac:dyDescent="0.45"/>
  <cols>
    <col min="1" max="1" width="10" bestFit="1" customWidth="1"/>
    <col min="2" max="2" width="13.25" bestFit="1" customWidth="1"/>
    <col min="3" max="3" width="15.08203125" bestFit="1" customWidth="1"/>
    <col min="4" max="4" width="14" bestFit="1" customWidth="1"/>
    <col min="5" max="5" width="16.5" bestFit="1" customWidth="1"/>
    <col min="6" max="6" width="17.58203125" bestFit="1" customWidth="1"/>
    <col min="7" max="13" width="12" bestFit="1" customWidth="1"/>
    <col min="14" max="14" width="12" customWidth="1"/>
    <col min="15" max="15" width="25.33203125" bestFit="1" customWidth="1"/>
    <col min="16" max="16" width="12" bestFit="1" customWidth="1"/>
    <col min="17" max="17" width="22.5" bestFit="1" customWidth="1"/>
    <col min="18" max="24" width="11.58203125" bestFit="1" customWidth="1"/>
    <col min="25" max="26" width="22.5" bestFit="1" customWidth="1"/>
  </cols>
  <sheetData>
    <row r="1" spans="1:15" x14ac:dyDescent="0.45">
      <c r="A1" t="s">
        <v>82</v>
      </c>
      <c r="B1" t="s">
        <v>64</v>
      </c>
      <c r="C1" t="s">
        <v>65</v>
      </c>
      <c r="D1" t="s">
        <v>66</v>
      </c>
      <c r="E1" t="s">
        <v>67</v>
      </c>
      <c r="F1" t="s">
        <v>99</v>
      </c>
      <c r="G1" t="s">
        <v>85</v>
      </c>
      <c r="H1" t="s">
        <v>86</v>
      </c>
      <c r="I1" t="s">
        <v>87</v>
      </c>
      <c r="J1" t="s">
        <v>88</v>
      </c>
      <c r="K1" t="s">
        <v>89</v>
      </c>
      <c r="L1" t="s">
        <v>90</v>
      </c>
      <c r="M1" t="s">
        <v>91</v>
      </c>
      <c r="N1" t="s">
        <v>92</v>
      </c>
      <c r="O1" t="s">
        <v>100</v>
      </c>
    </row>
    <row r="2" spans="1:15" x14ac:dyDescent="0.45">
      <c r="A2" t="s">
        <v>68</v>
      </c>
      <c r="B2" t="s">
        <v>68</v>
      </c>
      <c r="C2" t="s">
        <v>68</v>
      </c>
      <c r="D2" t="s">
        <v>68</v>
      </c>
      <c r="E2" t="s">
        <v>68</v>
      </c>
      <c r="F2">
        <v>0</v>
      </c>
      <c r="G2">
        <v>0</v>
      </c>
      <c r="H2">
        <v>0</v>
      </c>
      <c r="I2">
        <v>0</v>
      </c>
      <c r="J2">
        <v>0</v>
      </c>
      <c r="K2">
        <v>0</v>
      </c>
      <c r="L2">
        <v>0</v>
      </c>
      <c r="M2">
        <v>0</v>
      </c>
      <c r="N2">
        <v>0</v>
      </c>
      <c r="O2" t="s">
        <v>68</v>
      </c>
    </row>
  </sheetData>
  <phoneticPr fontId="1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workbookViewId="0">
      <pane ySplit="1" topLeftCell="A2" activePane="bottomLeft" state="frozen"/>
      <selection sqref="A1:O2"/>
      <selection pane="bottomLeft"/>
    </sheetView>
  </sheetViews>
  <sheetFormatPr defaultRowHeight="16.5" x14ac:dyDescent="0.45"/>
  <cols>
    <col min="1" max="1" width="10" bestFit="1" customWidth="1"/>
    <col min="2" max="2" width="13.25" bestFit="1" customWidth="1"/>
    <col min="3" max="3" width="15.08203125" bestFit="1" customWidth="1"/>
    <col min="4" max="4" width="14" bestFit="1" customWidth="1"/>
    <col min="5" max="5" width="16.5" bestFit="1" customWidth="1"/>
    <col min="6" max="6" width="14.75" bestFit="1" customWidth="1"/>
    <col min="7" max="14" width="11.58203125" bestFit="1" customWidth="1"/>
  </cols>
  <sheetData>
    <row r="1" spans="1:14" x14ac:dyDescent="0.45">
      <c r="A1" t="s">
        <v>82</v>
      </c>
      <c r="B1" t="s">
        <v>64</v>
      </c>
      <c r="C1" t="s">
        <v>65</v>
      </c>
      <c r="D1" t="s">
        <v>66</v>
      </c>
      <c r="E1" t="s">
        <v>67</v>
      </c>
      <c r="F1" t="s">
        <v>99</v>
      </c>
      <c r="G1" t="s">
        <v>85</v>
      </c>
      <c r="H1" t="s">
        <v>86</v>
      </c>
      <c r="I1" t="s">
        <v>87</v>
      </c>
      <c r="J1" t="s">
        <v>88</v>
      </c>
      <c r="K1" t="s">
        <v>89</v>
      </c>
      <c r="L1" t="s">
        <v>90</v>
      </c>
      <c r="M1" t="s">
        <v>91</v>
      </c>
      <c r="N1" t="s">
        <v>92</v>
      </c>
    </row>
    <row r="2" spans="1:14" x14ac:dyDescent="0.45">
      <c r="A2" t="s">
        <v>68</v>
      </c>
      <c r="B2" t="s">
        <v>68</v>
      </c>
      <c r="C2" t="s">
        <v>68</v>
      </c>
      <c r="D2" t="s">
        <v>68</v>
      </c>
      <c r="E2" t="s">
        <v>68</v>
      </c>
      <c r="F2" s="2">
        <v>0</v>
      </c>
      <c r="G2" s="2">
        <v>0</v>
      </c>
      <c r="H2" s="2">
        <v>0</v>
      </c>
      <c r="I2" s="2">
        <v>0</v>
      </c>
      <c r="J2" s="2">
        <v>0</v>
      </c>
      <c r="K2" s="2">
        <v>0</v>
      </c>
      <c r="L2" s="2">
        <v>0</v>
      </c>
      <c r="M2" s="2">
        <v>0</v>
      </c>
      <c r="N2" s="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heetViews>
  <sheetFormatPr defaultRowHeight="16.5" x14ac:dyDescent="0.45"/>
  <cols>
    <col min="1" max="1" width="16.9140625" customWidth="1"/>
    <col min="2" max="2" width="11.4140625" customWidth="1"/>
  </cols>
  <sheetData>
    <row r="1" spans="1:3" x14ac:dyDescent="0.45">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heetViews>
  <sheetFormatPr defaultRowHeight="16.5" x14ac:dyDescent="0.45"/>
  <cols>
    <col min="1" max="1" width="10.1640625" customWidth="1"/>
    <col min="2" max="2" width="17.41406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heetViews>
  <sheetFormatPr defaultRowHeight="16.5" x14ac:dyDescent="0.45"/>
  <cols>
    <col min="1" max="1" width="25.6640625" customWidth="1"/>
    <col min="2" max="2" width="40.6640625" customWidth="1"/>
    <col min="3" max="3" width="5.6640625" customWidth="1"/>
    <col min="4" max="4" width="25.6640625" customWidth="1"/>
    <col min="5" max="5" width="40.6640625" customWidth="1"/>
    <col min="6" max="6" width="5.6640625" customWidth="1"/>
    <col min="7" max="7" width="25.6640625" customWidth="1"/>
    <col min="8" max="8" width="40.6640625" customWidth="1"/>
    <col min="9" max="9" width="5.6640625" customWidth="1"/>
    <col min="10" max="10" width="40.6640625" customWidth="1"/>
    <col min="11" max="11" width="25.66406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00A9E4-52BF-441C-888C-958B69324525}">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$InvAvailPlanPrintLbl$</vt:lpstr>
      <vt:lpstr>$InvAvailPlanAnalysisLbl$</vt:lpstr>
      <vt:lpstr>$AboutTheReportLbl$</vt:lpstr>
      <vt:lpstr>InventoryAvailabilityPlan_Query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2025-12-02T01:49:40Z</cp:lastPrinted>
  <dcterms:modified xsi:type="dcterms:W3CDTF">2025-12-02T04:20:09Z</dcterms:modified>
</cp:coreProperties>
</file>
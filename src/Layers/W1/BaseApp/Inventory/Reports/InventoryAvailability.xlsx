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1EB16AF1-FA39-4489-A85E-DC3D1E64C09A}" xr6:coauthVersionLast="47" xr6:coauthVersionMax="47" xr10:uidLastSave="{00000000-0000-0000-0000-000000000000}"/>
  <bookViews>
    <workbookView xWindow="-14130" yWindow="-16320" windowWidth="29040" windowHeight="15720" xr2:uid="{00000000-000D-0000-FFFF-FFFF00000000}"/>
  </bookViews>
  <sheets>
    <sheet name="$InvAvailabilityPrintLbl$" sheetId="6" r:id="rId1"/>
    <sheet name="$InvAvailabilityAnalysisLbl$" sheetId="8" r:id="rId2"/>
    <sheet name="$AboutTheReportLbl$" sheetId="5" r:id="rId3"/>
    <sheet name="InventoryAvailability_Query" sheetId="7"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InventoryAvailability_Query!$A$1:$AH$2</definedName>
    <definedName name="ItemFilterHeading" localSheetId="1">_xlfn.XLOOKUP("ItemFilterHeading", ReportRequestPageValues[Request Page Option], ReportRequestPageValues[Request Page Option Value])</definedName>
    <definedName name="ItemFilterHeading">_xlfn.XLOOKUP("ItemFilterHeading",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scription_Item">#N/A</definedName>
    <definedName name="Slicer_InventPostGroup_Item">#N/A</definedName>
    <definedName name="Slicer_No_Item">#N/A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a="1"/>
  <c r="B4" i="6" s="1"/>
  <c r="M4" i="6" a="1"/>
  <c r="M4" i="6" s="1"/>
  <c r="N4" i="6" a="1"/>
  <c r="N4" i="6" s="1"/>
  <c r="N2" i="6" a="1"/>
  <c r="N2" i="6" s="1"/>
  <c r="B6" i="5" a="1"/>
  <c r="B6" i="5" s="1"/>
  <c r="B5" i="5" a="1"/>
  <c r="B5" i="5" s="1"/>
  <c r="B4" i="5" a="1"/>
  <c r="B4" i="5" s="1"/>
  <c r="B3" i="5" a="1"/>
  <c r="B3" i="5" s="1"/>
  <c r="B2" i="5" a="1"/>
  <c r="B2" i="5" s="1"/>
  <c r="B1" i="5" a="1"/>
  <c r="B1" i="5" s="1"/>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B8C164-D4BA-4897-84AB-82C959D52CEF}" keepAlive="1" name="Query - InventoryAvailability_Query" description="Connection to the 'InventoryAvailability_Query' query in the workbook." type="5" refreshedVersion="8" refreshOnLoad="1" saveData="1">
    <dbPr connection="Provider=Microsoft.Mashup.OleDb.1;Data Source=$Workbook$;Location=InventoryAvailability_Query;Extended Properties=&quot;&quot;" command="SELECT * FROM [InventoryAvailability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<sst xmlns="http://schemas.openxmlformats.org/spreadsheetml/2006/main" count="190" uniqueCount="121">
  <si>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</si>
  <si>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</si>
  <si>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</si>
  <si>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</si>
  <si>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</si>
  <si>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</si>
  <si>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</si>
  <si>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</si>
  <si>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</si>
  <si>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</si>
  <si>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</si>
  <si>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</si>
  <si>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</si>
  <si>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</si>
  <si>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</si>
  <si>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</si>
  <si>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</si>
  <si>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</si>
  <si>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</si>
  <si>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</si>
  <si>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</si>
  <si>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</si>
  <si>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</si>
  <si>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</si>
  <si>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</si>
  <si>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</si>
  <si>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</si>
  <si>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</si>
  <si>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</si>
  <si>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</si>
  <si>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</si>
  <si>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</si>
  <si>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</si>
  <si>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</si>
  <si>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</si>
  <si>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</si>
  <si>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</si>
  <si>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</si>
  <si>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</si>
  <si>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</si>
  <si>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</si>
  <si>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</si>
  <si>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</si>
  <si>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</si>
  <si>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</si>
  <si>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</si>
  <si>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</si>
  <si>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</si>
  <si>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</si>
  <si>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</si>
  <si>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</si>
  <si>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</si>
  <si>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</si>
  <si>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</si>
  <si>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</si>
  <si>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</si>
  <si>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</si>
  <si>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</si>
  <si>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</si>
  <si>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</si>
  <si>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</si>
  <si>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</si>
  <si>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</si>
  <si>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</si>
  <si>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UseStockkeepingUnit</t>
  </si>
  <si>
    <t>InventPostGroup_Item</t>
  </si>
  <si>
    <t>InvtReorder</t>
  </si>
  <si>
    <t>ReorderPoint_Item</t>
  </si>
  <si>
    <t>ProjAvailBalance</t>
  </si>
  <si>
    <t>PlannedOrderReceipt</t>
  </si>
  <si>
    <t>BackOrderQty</t>
  </si>
  <si>
    <t>ScheduledReceipt</t>
  </si>
  <si>
    <t>GrossRequirement</t>
  </si>
  <si>
    <t>BaseUnitofMeasure_Item</t>
  </si>
  <si>
    <t>AssemblyBOM_Item</t>
  </si>
  <si>
    <t>Description_Item</t>
  </si>
  <si>
    <t>No_Item</t>
  </si>
  <si>
    <t>AssemblyBOMStock_Item</t>
  </si>
  <si>
    <t>UnitofMeasure_Item</t>
  </si>
  <si>
    <t>InvtReorder2</t>
  </si>
  <si>
    <t>ReordPoint_StockkeepUnit</t>
  </si>
  <si>
    <t>ProjAvailBalance2</t>
  </si>
  <si>
    <t>BackOrderQty2</t>
  </si>
  <si>
    <t>PlannedOrderReceipt2</t>
  </si>
  <si>
    <t>ScheduledReceipt2</t>
  </si>
  <si>
    <t>GrossRequirement2</t>
  </si>
  <si>
    <t>VariantCode_StockkeepUnit</t>
  </si>
  <si>
    <t>LocCode_StockkeepUnit</t>
  </si>
  <si>
    <t>SKUPrintLoop</t>
  </si>
  <si>
    <t>False</t>
  </si>
  <si>
    <t/>
  </si>
  <si>
    <t>$EnvironmentLbl$</t>
  </si>
  <si>
    <t>$CompanyLbl$</t>
  </si>
  <si>
    <t>$UserLbl$</t>
  </si>
  <si>
    <t>$RunOnLbl$</t>
  </si>
  <si>
    <t>$ReportNameLbl$</t>
  </si>
  <si>
    <t>$DocumentationLbl$</t>
  </si>
  <si>
    <t>$InventoryAvailabilityLbl$</t>
  </si>
  <si>
    <t>Custom_AssemblyBOM</t>
  </si>
  <si>
    <t>Custom_UOM</t>
  </si>
  <si>
    <t>Custom_GrossRequirement</t>
  </si>
  <si>
    <t>Custom_ScheduledReceipt</t>
  </si>
  <si>
    <t>Custom_PlannedOrderReceipt</t>
  </si>
  <si>
    <t>Custom_BackOrderQty</t>
  </si>
  <si>
    <t>Custom_ProjAvailBalance</t>
  </si>
  <si>
    <t>Custom_ReorderPoint</t>
  </si>
  <si>
    <t>Custom_InventoryReorder</t>
  </si>
  <si>
    <t>$No_Item$</t>
  </si>
  <si>
    <t>$Description_Item$</t>
  </si>
  <si>
    <t>$BOMLbl$</t>
  </si>
  <si>
    <t>$BaseUOMLbl$</t>
  </si>
  <si>
    <t>$GrossRequirementLbl$</t>
  </si>
  <si>
    <t>$ScheduledReceiptLbl$</t>
  </si>
  <si>
    <t>$PlannedOrderReceiptLbl$</t>
  </si>
  <si>
    <t>$QuantityOnBackOrderLbl$</t>
  </si>
  <si>
    <t>$ProjectedAvailableBalLbl$</t>
  </si>
  <si>
    <t>$ReorderLbl$</t>
  </si>
  <si>
    <t>$ReorderPoint_Item$</t>
  </si>
  <si>
    <t>$VariantCode_StockkeepUnit$</t>
  </si>
  <si>
    <t>$LocCode_StockkeepUnit$</t>
  </si>
  <si>
    <t>$InventPostGroup_Item$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</si>
</sst>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4" x14ac:knownFonts="1">
    <font>
      <sz val="11"/>
      <name val="Segoe UI"/>
      <family val="2"/>
      <scheme val="minor"/>
    </font>
    <font>
      <sz val="11"/>
      <color theme="1"/>
      <name val="Segoe UI"/>
      <family val="2"/>
      <scheme val="minor"/>
    </font>
    <font>
      <b/>
      <sz val="11"/>
      <name val="Segoe UI"/>
      <family val="2"/>
      <scheme val="minor"/>
    </font>
    <font>
      <u/>
      <sz val="11"/>
      <color rgb="FF00838F"/>
      <name val="Segoe UI"/>
      <family val="2"/>
      <scheme val="minor"/>
    </font>
    <font>
      <sz val="10"/>
      <color theme="1"/>
      <name val="Segoe UI Semibold"/>
      <family val="2"/>
      <scheme val="major"/>
    </font>
    <font>
      <sz val="10"/>
      <name val="Segoe UI"/>
      <family val="2"/>
      <scheme val="minor"/>
    </font>
    <font>
      <u/>
      <sz val="10"/>
      <color rgb="FF00838F"/>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rgb="FF212121"/>
      <name val="Segoe UI"/>
      <family val="2"/>
      <scheme val="minor"/>
    </font>
    <font>
      <sz val="14"/>
      <name val="Segoe UI"/>
      <family val="2"/>
      <scheme val="minor"/>
    </font>
    <font>
      <sz val="8"/>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3" fillId="0" borderId="0" applyNumberFormat="0" applyFill="0" applyBorder="0" applyAlignment="0" applyProtection="0"/>
    <xf numFmtId="0" fontId="1" fillId="0" borderId="0"/>
    <xf numFmtId="0" fontId="8" fillId="0" borderId="1" applyNumberFormat="0" applyFill="0" applyAlignment="0" applyProtection="0"/>
  </cellStyleXfs>
  <cellXfs count="19">
    <xf numFmtId="0" fontId="0" fillId="0" borderId="0" xfId="0"/>
    <xf numFmtId="49" fontId="2" fillId="2" borderId="0" xfId="0" applyNumberFormat="1" applyFont="1" applyFill="1"/>
    <xf numFmtId="4" fontId="0" fillId="0" borderId="0" xfId="0" applyNumberFormat="1"/>
    <xf numFmtId="1" fontId="0" fillId="0" borderId="0" xfId="0" applyNumberFormat="1"/>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left" vertical="center"/>
    </xf>
    <xf numFmtId="164" fontId="5" fillId="0" borderId="0" xfId="0" applyNumberFormat="1" applyFont="1" applyAlignment="1">
      <alignment horizontal="left" vertical="center"/>
    </xf>
    <xf numFmtId="165" fontId="5" fillId="0" borderId="0" xfId="0" applyNumberFormat="1" applyFont="1" applyAlignment="1">
      <alignment horizontal="left" vertical="center"/>
    </xf>
    <xf numFmtId="0" fontId="0" fillId="0" borderId="0" xfId="0" applyAlignment="1">
      <alignment vertical="center"/>
    </xf>
    <xf numFmtId="0" fontId="6" fillId="0" borderId="0" xfId="1" applyFont="1" applyAlignment="1">
      <alignment vertical="center"/>
    </xf>
    <xf numFmtId="0" fontId="7" fillId="0" borderId="0" xfId="2" applyFont="1" applyAlignment="1">
      <alignment vertical="center"/>
    </xf>
    <xf numFmtId="0" fontId="9" fillId="0" borderId="1" xfId="3"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0" applyFont="1" applyAlignment="1">
      <alignment vertical="center"/>
    </xf>
    <xf numFmtId="0" fontId="13" fillId="0" borderId="0" xfId="0" pivotButton="1" applyFont="1" applyAlignment="1">
      <alignment vertical="center"/>
    </xf>
    <xf numFmtId="0" fontId="13" fillId="0" borderId="0" xfId="0" applyFont="1" applyAlignment="1">
      <alignment horizontal="right" vertical="center"/>
    </xf>
    <xf numFmtId="0" fontId="5" fillId="0" borderId="0" xfId="0" applyNumberFormat="1" applyFont="1" applyAlignment="1">
      <alignment vertical="center"/>
    </xf>
  </cellXfs>
  <cellStyles count="4">
    <cellStyle name="Heading 2 2" xfId="3" xr:uid="{C207F001-3F2E-473B-9FF9-618975E04F3C}"/>
    <cellStyle name="Hyperlink" xfId="1" builtinId="8"/>
    <cellStyle name="Normal" xfId="0" builtinId="0"/>
    <cellStyle name="Normal 2" xfId="2" xr:uid="{454E8A3E-5373-4143-9AB8-E3BF93BB4F83}"/>
  </cellStyles>
  <dxfs count="18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11146AEC-12AE-47AA-AC2F-40AA5C3378A3}">
      <tableStyleElement type="wholeTable" dxfId="179"/>
      <tableStyleElement type="headerRow" dxfId="178"/>
      <tableStyleElement type="totalRow" dxfId="177"/>
      <tableStyleElement type="secondRowStripe" dxfId="176"/>
    </tableStyle>
    <tableStyle name="Business Central Reports Slicer Style (Template)" pivot="0" table="0" count="10" xr9:uid="{90EA4965-2361-4489-9FCC-244AC683F6E3}">
      <tableStyleElement type="wholeTable" dxfId="175"/>
      <tableStyleElement type="headerRow" dxfId="174"/>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9</xdr:row>
      <xdr:rowOff>247650</xdr:rowOff>
    </xdr:from>
    <xdr:to>
      <xdr:col>0</xdr:col>
      <xdr:colOff>1818000</xdr:colOff>
      <xdr:row>19</xdr:row>
      <xdr:rowOff>190650</xdr:rowOff>
    </xdr:to>
    <mc:AlternateContent xmlns:mc="http://schemas.openxmlformats.org/markup-compatibility/2006" xmlns:a14="http://schemas.microsoft.com/office/drawing/2010/main">
      <mc:Choice Requires="a14">
        <xdr:graphicFrame macro="">
          <xdr:nvGraphicFramePr>
            <xdr:cNvPr id="2" name="$InventPostGroup_Item$">
              <a:extLst>
                <a:ext uri="{FF2B5EF4-FFF2-40B4-BE49-F238E27FC236}">
                  <a16:creationId xmlns:a16="http://schemas.microsoft.com/office/drawing/2014/main" id="{082C2F40-0915-E84A-996A-40B2368C4A82}"/>
                </a:ext>
              </a:extLst>
            </xdr:cNvPr>
            <xdr:cNvGraphicFramePr/>
          </xdr:nvGraphicFramePr>
          <xdr:xfrm>
            <a:off x="0" y="0"/>
            <a:ext cx="0" cy="0"/>
          </xdr:xfrm>
          <a:graphic>
            <a:graphicData uri="http://schemas.microsoft.com/office/drawing/2010/slicer">
              <sle:slicer xmlns:sle="http://schemas.microsoft.com/office/drawing/2010/slicer" name="$InventPostGroup_Item$"/>
            </a:graphicData>
          </a:graphic>
        </xdr:graphicFrame>
      </mc:Choice>
      <mc:Fallback xmlns="">
        <xdr:sp macro="" textlink="">
          <xdr:nvSpPr>
            <xdr:cNvPr id="0" name=""/>
            <xdr:cNvSpPr>
              <a:spLocks noTextEdit="1"/>
            </xdr:cNvSpPr>
          </xdr:nvSpPr>
          <xdr:spPr>
            <a:xfrm>
              <a:off x="0" y="264795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1863725</xdr:colOff>
      <xdr:row>0</xdr:row>
      <xdr:rowOff>0</xdr:rowOff>
    </xdr:from>
    <xdr:to>
      <xdr:col>0</xdr:col>
      <xdr:colOff>3675375</xdr:colOff>
      <xdr:row>9</xdr:row>
      <xdr:rowOff>209700</xdr:rowOff>
    </xdr:to>
    <mc:AlternateContent xmlns:mc="http://schemas.openxmlformats.org/markup-compatibility/2006" xmlns:a14="http://schemas.microsoft.com/office/drawing/2010/main">
      <mc:Choice Requires="a14">
        <xdr:graphicFrame macro="">
          <xdr:nvGraphicFramePr>
            <xdr:cNvPr id="3" name="$Description_Item$">
              <a:extLst>
                <a:ext uri="{FF2B5EF4-FFF2-40B4-BE49-F238E27FC236}">
                  <a16:creationId xmlns:a16="http://schemas.microsoft.com/office/drawing/2014/main" id="{9C04D494-651B-EAD3-8451-819CB991DD53}"/>
                </a:ext>
              </a:extLst>
            </xdr:cNvPr>
            <xdr:cNvGraphicFramePr/>
          </xdr:nvGraphicFramePr>
          <xdr:xfrm>
            <a:off x="0" y="0"/>
            <a:ext cx="0" cy="0"/>
          </xdr:xfrm>
          <a:graphic>
            <a:graphicData uri="http://schemas.microsoft.com/office/drawing/2010/slicer">
              <sle:slicer xmlns:sle="http://schemas.microsoft.com/office/drawing/2010/slicer" name="$Description_Item$"/>
            </a:graphicData>
          </a:graphic>
        </xdr:graphicFrame>
      </mc:Choice>
      <mc:Fallback xmlns="">
        <xdr:sp macro="" textlink="">
          <xdr:nvSpPr>
            <xdr:cNvPr id="0" name=""/>
            <xdr:cNvSpPr>
              <a:spLocks noTextEdit="1"/>
            </xdr:cNvSpPr>
          </xdr:nvSpPr>
          <xdr:spPr>
            <a:xfrm>
              <a:off x="1863725" y="0"/>
              <a:ext cx="181165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0</xdr:rowOff>
    </xdr:from>
    <xdr:to>
      <xdr:col>0</xdr:col>
      <xdr:colOff>1818000</xdr:colOff>
      <xdr:row>9</xdr:row>
      <xdr:rowOff>209700</xdr:rowOff>
    </xdr:to>
    <mc:AlternateContent xmlns:mc="http://schemas.openxmlformats.org/markup-compatibility/2006" xmlns:a14="http://schemas.microsoft.com/office/drawing/2010/main">
      <mc:Choice Requires="a14">
        <xdr:graphicFrame macro="">
          <xdr:nvGraphicFramePr>
            <xdr:cNvPr id="4" name="$No_Item$">
              <a:extLst>
                <a:ext uri="{FF2B5EF4-FFF2-40B4-BE49-F238E27FC236}">
                  <a16:creationId xmlns:a16="http://schemas.microsoft.com/office/drawing/2014/main" id="{FF342F28-7EF8-4BC9-A82F-51CAECD13A4D}"/>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87.655435532404" createdVersion="8" refreshedVersion="8" minRefreshableVersion="3" recordCount="1" xr:uid="{D932E1A0-6F2F-4D5F-AD85-990B4960B8CD}">
  <cacheSource type="worksheet">
    <worksheetSource name="InventoryAvailability_Query"/>
  </cacheSource>
  <cacheFields count="34">
    <cacheField name="UseStockkeepingUnit" numFmtId="0">
      <sharedItems/>
    </cacheField>
    <cacheField name="InventPostGroup_Item" numFmtId="0">
      <sharedItems count="1">
        <s v=""/>
      </sharedItems>
    </cacheField>
    <cacheField name="InvtReorder" numFmtId="0">
      <sharedItems/>
    </cacheField>
    <cacheField name="ReorderPoint_Item" numFmtId="0">
      <sharedItems containsSemiMixedTypes="0" containsString="0" containsNumber="1" containsInteger="1" minValue="0" maxValue="0"/>
    </cacheField>
    <cacheField name="ProjAvailBalance" numFmtId="0">
      <sharedItems containsSemiMixedTypes="0" containsString="0" containsNumber="1" containsInteger="1" minValue="0" maxValue="0"/>
    </cacheField>
    <cacheField name="PlannedOrderReceipt" numFmtId="0">
      <sharedItems containsSemiMixedTypes="0" containsString="0" containsNumber="1" containsInteger="1" minValue="0" maxValue="0"/>
    </cacheField>
    <cacheField name="BackOrderQty" numFmtId="0">
      <sharedItems containsSemiMixedTypes="0" containsString="0" containsNumber="1" containsInteger="1" minValue="0" maxValue="0"/>
    </cacheField>
    <cacheField name="ScheduledReceipt" numFmtId="0">
      <sharedItems containsSemiMixedTypes="0" containsString="0" containsNumber="1" containsInteger="1" minValue="0" maxValue="0"/>
    </cacheField>
    <cacheField name="GrossRequirement" numFmtId="0">
      <sharedItems containsSemiMixedTypes="0" containsString="0" containsNumber="1" containsInteger="1" minValue="0" maxValue="0"/>
    </cacheField>
    <cacheField name="BaseUnitofMeasure_Item" numFmtId="0">
      <sharedItems/>
    </cacheField>
    <cacheField name="AssemblyBOM_Item" numFmtId="0">
      <sharedItems/>
    </cacheField>
    <cacheField name="Description_Item" numFmtId="0">
      <sharedItems count="1">
        <s v=""/>
      </sharedItems>
    </cacheField>
    <cacheField name="No_Item" numFmtId="0">
      <sharedItems count="1">
        <s v=""/>
      </sharedItems>
    </cacheField>
    <cacheField name="AssemblyBOMStock_Item" numFmtId="0">
      <sharedItems/>
    </cacheField>
    <cacheField name="UnitofMeasure_Item" numFmtId="0">
      <sharedItems/>
    </cacheField>
    <cacheField name="InvtReorder2" numFmtId="0">
      <sharedItems/>
    </cacheField>
    <cacheField name="ReordPoint_StockkeepUnit" numFmtId="0">
      <sharedItems containsSemiMixedTypes="0" containsString="0" containsNumber="1" containsInteger="1" minValue="0" maxValue="0"/>
    </cacheField>
    <cacheField name="ProjAvailBalance2" numFmtId="0">
      <sharedItems containsSemiMixedTypes="0" containsString="0" containsNumber="1" containsInteger="1" minValue="0" maxValue="0"/>
    </cacheField>
    <cacheField name="BackOrderQty2" numFmtId="0">
      <sharedItems containsSemiMixedTypes="0" containsString="0" containsNumber="1" containsInteger="1" minValue="0" maxValue="0"/>
    </cacheField>
    <cacheField name="PlannedOrderReceipt2" numFmtId="0">
      <sharedItems containsSemiMixedTypes="0" containsString="0" containsNumber="1" containsInteger="1" minValue="0" maxValue="0"/>
    </cacheField>
    <cacheField name="ScheduledReceipt2" numFmtId="0">
      <sharedItems containsSemiMixedTypes="0" containsString="0" containsNumber="1" containsInteger="1" minValue="0" maxValue="0"/>
    </cacheField>
    <cacheField name="GrossRequirement2" numFmtId="0">
      <sharedItems containsSemiMixedTypes="0" containsString="0" containsNumber="1" containsInteger="1" minValue="0" maxValue="0"/>
    </cacheField>
    <cacheField name="VariantCode_StockkeepUnit" numFmtId="0">
      <sharedItems count="1">
        <s v=""/>
      </sharedItems>
    </cacheField>
    <cacheField name="LocCode_StockkeepUnit" numFmtId="0">
      <sharedItems count="1">
        <s v=""/>
      </sharedItems>
    </cacheField>
    <cacheField name="SKUPrintLoop" numFmtId="0">
      <sharedItems containsSemiMixedTypes="0" containsString="0" containsNumber="1" containsInteger="1" minValue="0" maxValue="0"/>
    </cacheField>
    <cacheField name="Custom_AssemblyBOM" numFmtId="0">
      <sharedItems count="1">
        <s v=""/>
      </sharedItems>
    </cacheField>
    <cacheField name="Custom_UOM" numFmtId="0">
      <sharedItems count="1">
        <s v=""/>
      </sharedItems>
    </cacheField>
    <cacheField name="Custom_GrossRequirement" numFmtId="0">
      <sharedItems containsSemiMixedTypes="0" containsString="0" containsNumber="1" containsInteger="1" minValue="0" maxValue="0"/>
    </cacheField>
    <cacheField name="Custom_ScheduledReceipt" numFmtId="0">
      <sharedItems containsSemiMixedTypes="0" containsString="0" containsNumber="1" containsInteger="1" minValue="0" maxValue="0"/>
    </cacheField>
    <cacheField name="Custom_PlannedOrderReceipt" numFmtId="0">
      <sharedItems containsSemiMixedTypes="0" containsString="0" containsNumber="1" containsInteger="1" minValue="0" maxValue="0"/>
    </cacheField>
    <cacheField name="Custom_BackOrderQty" numFmtId="0">
      <sharedItems containsSemiMixedTypes="0" containsString="0" containsNumber="1" containsInteger="1" minValue="0" maxValue="0"/>
    </cacheField>
    <cacheField name="Custom_ProjAvailBalance" numFmtId="0">
      <sharedItems containsSemiMixedTypes="0" containsString="0" containsNumber="1" containsInteger="1" minValue="0" maxValue="0"/>
    </cacheField>
    <cacheField name="Custom_ReorderPoint" numFmtId="0">
      <sharedItems containsSemiMixedTypes="0" containsString="0" containsNumber="1" containsInteger="1" minValue="0" maxValue="0"/>
    </cacheField>
    <cacheField name="Custom_InventoryReorder" numFmtId="0">
      <sharedItems count="1">
        <s v=""/>
      </sharedItems>
    </cacheField>
  </cacheFields>
  <extLst>
    <ext xmlns:x14="http://schemas.microsoft.com/office/spreadsheetml/2009/9/main" uri="{725AE2AE-9491-48be-B2B4-4EB974FC3084}">
      <x14:pivotCacheDefinition pivotCacheId="54258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b v="0"/>
    <x v="0"/>
    <s v=""/>
    <n v="0"/>
    <n v="0"/>
    <n v="0"/>
    <n v="0"/>
    <n v="0"/>
    <n v="0"/>
    <s v=""/>
    <s v=""/>
    <x v="0"/>
    <x v="0"/>
    <s v=""/>
    <s v=""/>
    <s v=""/>
    <n v="0"/>
    <n v="0"/>
    <n v="0"/>
    <n v="0"/>
    <n v="0"/>
    <n v="0"/>
    <x v="0"/>
    <x v="0"/>
    <n v="0"/>
    <x v="0"/>
    <x v="0"/>
    <n v="0"/>
    <n v="0"/>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69DE5C-DE5B-44F5-BF23-C3CF24FBA299}" name="PivotTable1" cacheId="11"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N7" firstHeaderRow="0" firstDataRow="1" firstDataCol="7"/>
  <pivotFields count="3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Description_Item$" axis="axisRow" compact="0" outline="0" showAll="0" defaultSubtotal="0">
      <items count="1">
        <item x="0"/>
      </items>
    </pivotField>
    <pivotField name="$No_Item$"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VariantCode_StockkeepUnit$" axis="axisRow" compact="0" outline="0" showAll="0" defaultSubtotal="0">
      <items count="1">
        <item x="0"/>
      </items>
    </pivotField>
    <pivotField name="$LocCode_StockkeepUnit$" axis="axisRow" compact="0" outline="0" showAll="0" defaultSubtotal="0">
      <items count="1">
        <item x="0"/>
      </items>
    </pivotField>
    <pivotField compact="0" outline="0" showAll="0" defaultSubtotal="0"/>
    <pivotField name="$BOMLbl$" axis="axisRow" compact="0" outline="0" showAll="0" defaultSubtotal="0">
      <items count="1">
        <item x="0"/>
      </items>
    </pivotField>
    <pivotField name="$BaseUOMLbl$"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name="$ReorderLbl$" axis="axisRow" compact="0" outline="0" showAll="0" defaultSubtotal="0">
      <items count="1">
        <item x="0"/>
      </items>
    </pivotField>
  </pivotFields>
  <rowFields count="7">
    <field x="12"/>
    <field x="11"/>
    <field x="25"/>
    <field x="26"/>
    <field x="23"/>
    <field x="22"/>
    <field x="33"/>
  </rowFields>
  <rowItems count="1">
    <i>
      <x/>
      <x/>
      <x/>
      <x/>
      <x/>
      <x/>
      <x/>
    </i>
  </rowItems>
  <colFields count="1">
    <field x="-2"/>
  </colFields>
  <colItems count="6">
    <i>
      <x/>
    </i>
    <i i="1">
      <x v="1"/>
    </i>
    <i i="2">
      <x v="2"/>
    </i>
    <i i="3">
      <x v="3"/>
    </i>
    <i i="4">
      <x v="4"/>
    </i>
    <i i="5">
      <x v="5"/>
    </i>
  </colItems>
  <dataFields count="6">
    <dataField name="$GrossRequirementLbl$" fld="27" baseField="0" baseItem="0"/>
    <dataField name="$ScheduledReceiptLbl$" fld="28" baseField="0" baseItem="0"/>
    <dataField name="$PlannedOrderReceiptLbl$" fld="29" baseField="0" baseItem="0"/>
    <dataField name="$QuantityOnBackOrderLbl$" fld="30" baseField="0" baseItem="0"/>
    <dataField name="$ProjectedAvailableBalLbl$" fld="31" baseField="0" baseItem="0"/>
    <dataField name="$ReorderPoint_Item$" fld="32" baseField="0" baseItem="0"/>
  </dataFields>
  <formats count="39">
    <format dxfId="173">
      <pivotArea type="all" dataOnly="0" outline="0" fieldPosition="0"/>
    </format>
    <format dxfId="172">
      <pivotArea outline="0" collapsedLevelsAreSubtotals="1" fieldPosition="0"/>
    </format>
    <format dxfId="171">
      <pivotArea field="12" type="button" dataOnly="0" labelOnly="1" outline="0" axis="axisRow" fieldPosition="0"/>
    </format>
    <format dxfId="170">
      <pivotArea field="11" type="button" dataOnly="0" labelOnly="1" outline="0" axis="axisRow" fieldPosition="1"/>
    </format>
    <format dxfId="169">
      <pivotArea field="25" type="button" dataOnly="0" labelOnly="1" outline="0" axis="axisRow" fieldPosition="2"/>
    </format>
    <format dxfId="168">
      <pivotArea field="26" type="button" dataOnly="0" labelOnly="1" outline="0" axis="axisRow" fieldPosition="3"/>
    </format>
    <format dxfId="167">
      <pivotArea field="23" type="button" dataOnly="0" labelOnly="1" outline="0" axis="axisRow" fieldPosition="4"/>
    </format>
    <format dxfId="166">
      <pivotArea field="22" type="button" dataOnly="0" labelOnly="1" outline="0" axis="axisRow" fieldPosition="5"/>
    </format>
    <format dxfId="165">
      <pivotArea dataOnly="0" labelOnly="1" outline="0" fieldPosition="0">
        <references count="1">
          <reference field="12" count="0"/>
        </references>
      </pivotArea>
    </format>
    <format dxfId="164">
      <pivotArea dataOnly="0" labelOnly="1" outline="0" fieldPosition="0">
        <references count="2">
          <reference field="11" count="0"/>
          <reference field="12" count="0" selected="0"/>
        </references>
      </pivotArea>
    </format>
    <format dxfId="163">
      <pivotArea dataOnly="0" labelOnly="1" outline="0" fieldPosition="0">
        <references count="3">
          <reference field="11" count="0" selected="0"/>
          <reference field="12" count="0" selected="0"/>
          <reference field="25" count="0"/>
        </references>
      </pivotArea>
    </format>
    <format dxfId="162">
      <pivotArea dataOnly="0" labelOnly="1" outline="0" fieldPosition="0">
        <references count="4">
          <reference field="11" count="0" selected="0"/>
          <reference field="12" count="0" selected="0"/>
          <reference field="25" count="0" selected="0"/>
          <reference field="26" count="0"/>
        </references>
      </pivotArea>
    </format>
    <format dxfId="161">
      <pivotArea dataOnly="0" labelOnly="1" outline="0" fieldPosition="0">
        <references count="5">
          <reference field="11" count="0" selected="0"/>
          <reference field="12" count="0" selected="0"/>
          <reference field="23" count="0"/>
          <reference field="25" count="0" selected="0"/>
          <reference field="26" count="0" selected="0"/>
        </references>
      </pivotArea>
    </format>
    <format dxfId="160">
      <pivotArea dataOnly="0" labelOnly="1" outline="0" fieldPosition="0">
        <references count="6">
          <reference field="11" count="0" selected="0"/>
          <reference field="12" count="0" selected="0"/>
          <reference field="22" count="0"/>
          <reference field="23" count="0" selected="0"/>
          <reference field="25" count="0" selected="0"/>
          <reference field="26" count="0" selected="0"/>
        </references>
      </pivotArea>
    </format>
    <format dxfId="159">
      <pivotArea dataOnly="0" labelOnly="1" outline="0" fieldPosition="0">
        <references count="1">
          <reference field="4294967294" count="6">
            <x v="0"/>
            <x v="1"/>
            <x v="2"/>
            <x v="3"/>
            <x v="4"/>
            <x v="5"/>
          </reference>
        </references>
      </pivotArea>
    </format>
    <format dxfId="158">
      <pivotArea type="all" dataOnly="0" outline="0" fieldPosition="0"/>
    </format>
    <format dxfId="157">
      <pivotArea outline="0" collapsedLevelsAreSubtotals="1" fieldPosition="0"/>
    </format>
    <format dxfId="156">
      <pivotArea field="12" type="button" dataOnly="0" labelOnly="1" outline="0" axis="axisRow" fieldPosition="0"/>
    </format>
    <format dxfId="155">
      <pivotArea field="11" type="button" dataOnly="0" labelOnly="1" outline="0" axis="axisRow" fieldPosition="1"/>
    </format>
    <format dxfId="154">
      <pivotArea field="25" type="button" dataOnly="0" labelOnly="1" outline="0" axis="axisRow" fieldPosition="2"/>
    </format>
    <format dxfId="153">
      <pivotArea field="26" type="button" dataOnly="0" labelOnly="1" outline="0" axis="axisRow" fieldPosition="3"/>
    </format>
    <format dxfId="152">
      <pivotArea field="23" type="button" dataOnly="0" labelOnly="1" outline="0" axis="axisRow" fieldPosition="4"/>
    </format>
    <format dxfId="151">
      <pivotArea field="22" type="button" dataOnly="0" labelOnly="1" outline="0" axis="axisRow" fieldPosition="5"/>
    </format>
    <format dxfId="150">
      <pivotArea dataOnly="0" labelOnly="1" outline="0" fieldPosition="0">
        <references count="1">
          <reference field="12" count="0"/>
        </references>
      </pivotArea>
    </format>
    <format dxfId="149">
      <pivotArea dataOnly="0" labelOnly="1" outline="0" fieldPosition="0">
        <references count="2">
          <reference field="11" count="0"/>
          <reference field="12" count="0" selected="0"/>
        </references>
      </pivotArea>
    </format>
    <format dxfId="148">
      <pivotArea dataOnly="0" labelOnly="1" outline="0" fieldPosition="0">
        <references count="3">
          <reference field="11" count="0" selected="0"/>
          <reference field="12" count="0" selected="0"/>
          <reference field="25" count="0"/>
        </references>
      </pivotArea>
    </format>
    <format dxfId="147">
      <pivotArea dataOnly="0" labelOnly="1" outline="0" fieldPosition="0">
        <references count="4">
          <reference field="11" count="0" selected="0"/>
          <reference field="12" count="0" selected="0"/>
          <reference field="25" count="0" selected="0"/>
          <reference field="26" count="0"/>
        </references>
      </pivotArea>
    </format>
    <format dxfId="146">
      <pivotArea dataOnly="0" labelOnly="1" outline="0" fieldPosition="0">
        <references count="5">
          <reference field="11" count="0" selected="0"/>
          <reference field="12" count="0" selected="0"/>
          <reference field="23" count="0"/>
          <reference field="25" count="0" selected="0"/>
          <reference field="26" count="0" selected="0"/>
        </references>
      </pivotArea>
    </format>
    <format dxfId="145">
      <pivotArea dataOnly="0" labelOnly="1" outline="0" fieldPosition="0">
        <references count="6">
          <reference field="11" count="0" selected="0"/>
          <reference field="12" count="0" selected="0"/>
          <reference field="22" count="0"/>
          <reference field="23" count="0" selected="0"/>
          <reference field="25" count="0" selected="0"/>
          <reference field="26" count="0" selected="0"/>
        </references>
      </pivotArea>
    </format>
    <format dxfId="144">
      <pivotArea dataOnly="0" labelOnly="1" outline="0" fieldPosition="0">
        <references count="1">
          <reference field="4294967294" count="6">
            <x v="0"/>
            <x v="1"/>
            <x v="2"/>
            <x v="3"/>
            <x v="4"/>
            <x v="5"/>
          </reference>
        </references>
      </pivotArea>
    </format>
    <format dxfId="143">
      <pivotArea field="12" type="button" dataOnly="0" labelOnly="1" outline="0" axis="axisRow" fieldPosition="0"/>
    </format>
    <format dxfId="142">
      <pivotArea field="11" type="button" dataOnly="0" labelOnly="1" outline="0" axis="axisRow" fieldPosition="1"/>
    </format>
    <format dxfId="141">
      <pivotArea field="25" type="button" dataOnly="0" labelOnly="1" outline="0" axis="axisRow" fieldPosition="2"/>
    </format>
    <format dxfId="140">
      <pivotArea field="26" type="button" dataOnly="0" labelOnly="1" outline="0" axis="axisRow" fieldPosition="3"/>
    </format>
    <format dxfId="139">
      <pivotArea field="23" type="button" dataOnly="0" labelOnly="1" outline="0" axis="axisRow" fieldPosition="4"/>
    </format>
    <format dxfId="138">
      <pivotArea field="22" type="button" dataOnly="0" labelOnly="1" outline="0" axis="axisRow" fieldPosition="5"/>
    </format>
    <format dxfId="137">
      <pivotArea dataOnly="0" labelOnly="1" outline="0" fieldPosition="0">
        <references count="1">
          <reference field="4294967294" count="6">
            <x v="0"/>
            <x v="1"/>
            <x v="2"/>
            <x v="3"/>
            <x v="4"/>
            <x v="5"/>
          </reference>
        </references>
      </pivotArea>
    </format>
    <format dxfId="136">
      <pivotArea field="33" type="button" dataOnly="0" labelOnly="1" outline="0" axis="axisRow" fieldPosition="6"/>
    </format>
    <format dxfId="135">
      <pivotArea dataOnly="0" labelOnly="1" outline="0" fieldPosition="0">
        <references count="1">
          <reference field="4294967294" count="6">
            <x v="0"/>
            <x v="1"/>
            <x v="2"/>
            <x v="3"/>
            <x v="4"/>
            <x v="5"/>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4BA07B-FB4E-4F87-9D8F-08F8CE166DFB}" name="PivotTable1" cacheId="11"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1:O2" firstHeaderRow="0" firstDataRow="1" firstDataCol="8"/>
  <pivotFields count="34">
    <pivotField compact="0" outline="0" showAll="0" defaultSubtotal="0"/>
    <pivotField name="$InventPostGroup_Item$"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Description_Item$" axis="axisRow" compact="0" outline="0" showAll="0" defaultSubtotal="0">
      <items count="1">
        <item x="0"/>
      </items>
    </pivotField>
    <pivotField name="$No_Item$"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VariantCode_StockkeepUnit$" axis="axisRow" compact="0" outline="0" showAll="0" defaultSubtotal="0">
      <items count="1">
        <item x="0"/>
      </items>
    </pivotField>
    <pivotField name="$LocCode_StockkeepUnit$" axis="axisRow" compact="0" outline="0" showAll="0" defaultSubtotal="0">
      <items count="1">
        <item x="0"/>
      </items>
    </pivotField>
    <pivotField compact="0" outline="0" showAll="0" defaultSubtotal="0"/>
    <pivotField name="$BOMLbl$" axis="axisRow" compact="0" outline="0" showAll="0" defaultSubtotal="0">
      <items count="1">
        <item x="0"/>
      </items>
    </pivotField>
    <pivotField name="$BaseUOMLbl$"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name="$ReorderLbl$" axis="axisRow" compact="0" outline="0" showAll="0" defaultSubtotal="0">
      <items count="1">
        <item x="0"/>
      </items>
    </pivotField>
  </pivotFields>
  <rowFields count="8">
    <field x="12"/>
    <field x="11"/>
    <field x="1"/>
    <field x="25"/>
    <field x="26"/>
    <field x="23"/>
    <field x="22"/>
    <field x="33"/>
  </rowFields>
  <rowItems count="1">
    <i>
      <x/>
      <x/>
      <x/>
      <x/>
      <x/>
      <x/>
      <x/>
      <x/>
    </i>
  </rowItems>
  <colFields count="1">
    <field x="-2"/>
  </colFields>
  <colItems count="6">
    <i>
      <x/>
    </i>
    <i i="1">
      <x v="1"/>
    </i>
    <i i="2">
      <x v="2"/>
    </i>
    <i i="3">
      <x v="3"/>
    </i>
    <i i="4">
      <x v="4"/>
    </i>
    <i i="5">
      <x v="5"/>
    </i>
  </colItems>
  <dataFields count="6">
    <dataField name="$GrossRequirementLbl$" fld="27" baseField="0" baseItem="0"/>
    <dataField name="$ScheduledReceiptLbl$" fld="28" baseField="0" baseItem="0"/>
    <dataField name="$PlannedOrderReceiptLbl$" fld="29" baseField="0" baseItem="0"/>
    <dataField name="$QuantityOnBackOrderLbl$" fld="30" baseField="0" baseItem="0"/>
    <dataField name="$ProjectedAvailableBalLbl$" fld="31" baseField="0" baseItem="0"/>
    <dataField name="$ReorderPoint_Item$" fld="32" baseField="0" baseItem="0"/>
  </dataFields>
  <formats count="40">
    <format dxfId="134">
      <pivotArea type="all" dataOnly="0" outline="0" fieldPosition="0"/>
    </format>
    <format dxfId="133">
      <pivotArea outline="0" collapsedLevelsAreSubtotals="1" fieldPosition="0"/>
    </format>
    <format dxfId="132">
      <pivotArea field="12" type="button" dataOnly="0" labelOnly="1" outline="0" axis="axisRow" fieldPosition="0"/>
    </format>
    <format dxfId="131">
      <pivotArea field="11" type="button" dataOnly="0" labelOnly="1" outline="0" axis="axisRow" fieldPosition="1"/>
    </format>
    <format dxfId="130">
      <pivotArea field="25" type="button" dataOnly="0" labelOnly="1" outline="0" axis="axisRow" fieldPosition="3"/>
    </format>
    <format dxfId="129">
      <pivotArea field="26" type="button" dataOnly="0" labelOnly="1" outline="0" axis="axisRow" fieldPosition="4"/>
    </format>
    <format dxfId="128">
      <pivotArea field="23" type="button" dataOnly="0" labelOnly="1" outline="0" axis="axisRow" fieldPosition="5"/>
    </format>
    <format dxfId="127">
      <pivotArea field="22" type="button" dataOnly="0" labelOnly="1" outline="0" axis="axisRow" fieldPosition="6"/>
    </format>
    <format dxfId="126">
      <pivotArea dataOnly="0" labelOnly="1" outline="0" fieldPosition="0">
        <references count="1">
          <reference field="12" count="0"/>
        </references>
      </pivotArea>
    </format>
    <format dxfId="125">
      <pivotArea dataOnly="0" labelOnly="1" outline="0" fieldPosition="0">
        <references count="2">
          <reference field="11" count="0"/>
          <reference field="12" count="0" selected="0"/>
        </references>
      </pivotArea>
    </format>
    <format dxfId="124">
      <pivotArea dataOnly="0" labelOnly="1" outline="0" fieldPosition="0">
        <references count="3">
          <reference field="11" count="0" selected="0"/>
          <reference field="12" count="0" selected="0"/>
          <reference field="25" count="0"/>
        </references>
      </pivotArea>
    </format>
    <format dxfId="123">
      <pivotArea dataOnly="0" labelOnly="1" outline="0" fieldPosition="0">
        <references count="4">
          <reference field="11" count="0" selected="0"/>
          <reference field="12" count="0" selected="0"/>
          <reference field="25" count="0" selected="0"/>
          <reference field="26" count="0"/>
        </references>
      </pivotArea>
    </format>
    <format dxfId="122">
      <pivotArea dataOnly="0" labelOnly="1" outline="0" fieldPosition="0">
        <references count="5">
          <reference field="11" count="0" selected="0"/>
          <reference field="12" count="0" selected="0"/>
          <reference field="23" count="0"/>
          <reference field="25" count="0" selected="0"/>
          <reference field="26" count="0" selected="0"/>
        </references>
      </pivotArea>
    </format>
    <format dxfId="121">
      <pivotArea dataOnly="0" labelOnly="1" outline="0" fieldPosition="0">
        <references count="6">
          <reference field="11" count="0" selected="0"/>
          <reference field="12" count="0" selected="0"/>
          <reference field="22" count="0"/>
          <reference field="23" count="0" selected="0"/>
          <reference field="25" count="0" selected="0"/>
          <reference field="26" count="0" selected="0"/>
        </references>
      </pivotArea>
    </format>
    <format dxfId="120">
      <pivotArea dataOnly="0" labelOnly="1" outline="0" fieldPosition="0">
        <references count="1">
          <reference field="4294967294" count="6">
            <x v="0"/>
            <x v="1"/>
            <x v="2"/>
            <x v="3"/>
            <x v="4"/>
            <x v="5"/>
          </reference>
        </references>
      </pivotArea>
    </format>
    <format dxfId="119">
      <pivotArea type="all" dataOnly="0" outline="0" fieldPosition="0"/>
    </format>
    <format dxfId="118">
      <pivotArea outline="0" collapsedLevelsAreSubtotals="1" fieldPosition="0"/>
    </format>
    <format dxfId="117">
      <pivotArea field="12" type="button" dataOnly="0" labelOnly="1" outline="0" axis="axisRow" fieldPosition="0"/>
    </format>
    <format dxfId="116">
      <pivotArea field="11" type="button" dataOnly="0" labelOnly="1" outline="0" axis="axisRow" fieldPosition="1"/>
    </format>
    <format dxfId="115">
      <pivotArea field="25" type="button" dataOnly="0" labelOnly="1" outline="0" axis="axisRow" fieldPosition="3"/>
    </format>
    <format dxfId="114">
      <pivotArea field="26" type="button" dataOnly="0" labelOnly="1" outline="0" axis="axisRow" fieldPosition="4"/>
    </format>
    <format dxfId="113">
      <pivotArea field="23" type="button" dataOnly="0" labelOnly="1" outline="0" axis="axisRow" fieldPosition="5"/>
    </format>
    <format dxfId="112">
      <pivotArea field="22" type="button" dataOnly="0" labelOnly="1" outline="0" axis="axisRow" fieldPosition="6"/>
    </format>
    <format dxfId="111">
      <pivotArea dataOnly="0" labelOnly="1" outline="0" fieldPosition="0">
        <references count="1">
          <reference field="12" count="0"/>
        </references>
      </pivotArea>
    </format>
    <format dxfId="110">
      <pivotArea dataOnly="0" labelOnly="1" outline="0" fieldPosition="0">
        <references count="2">
          <reference field="11" count="0"/>
          <reference field="12" count="0" selected="0"/>
        </references>
      </pivotArea>
    </format>
    <format dxfId="109">
      <pivotArea dataOnly="0" labelOnly="1" outline="0" fieldPosition="0">
        <references count="3">
          <reference field="11" count="0" selected="0"/>
          <reference field="12" count="0" selected="0"/>
          <reference field="25" count="0"/>
        </references>
      </pivotArea>
    </format>
    <format dxfId="108">
      <pivotArea dataOnly="0" labelOnly="1" outline="0" fieldPosition="0">
        <references count="4">
          <reference field="11" count="0" selected="0"/>
          <reference field="12" count="0" selected="0"/>
          <reference field="25" count="0" selected="0"/>
          <reference field="26" count="0"/>
        </references>
      </pivotArea>
    </format>
    <format dxfId="107">
      <pivotArea dataOnly="0" labelOnly="1" outline="0" fieldPosition="0">
        <references count="5">
          <reference field="11" count="0" selected="0"/>
          <reference field="12" count="0" selected="0"/>
          <reference field="23" count="0"/>
          <reference field="25" count="0" selected="0"/>
          <reference field="26" count="0" selected="0"/>
        </references>
      </pivotArea>
    </format>
    <format dxfId="106">
      <pivotArea dataOnly="0" labelOnly="1" outline="0" fieldPosition="0">
        <references count="6">
          <reference field="11" count="0" selected="0"/>
          <reference field="12" count="0" selected="0"/>
          <reference field="22" count="0"/>
          <reference field="23" count="0" selected="0"/>
          <reference field="25" count="0" selected="0"/>
          <reference field="26" count="0" selected="0"/>
        </references>
      </pivotArea>
    </format>
    <format dxfId="105">
      <pivotArea dataOnly="0" labelOnly="1" outline="0" fieldPosition="0">
        <references count="1">
          <reference field="4294967294" count="6">
            <x v="0"/>
            <x v="1"/>
            <x v="2"/>
            <x v="3"/>
            <x v="4"/>
            <x v="5"/>
          </reference>
        </references>
      </pivotArea>
    </format>
    <format dxfId="104">
      <pivotArea field="12" type="button" dataOnly="0" labelOnly="1" outline="0" axis="axisRow" fieldPosition="0"/>
    </format>
    <format dxfId="103">
      <pivotArea field="11" type="button" dataOnly="0" labelOnly="1" outline="0" axis="axisRow" fieldPosition="1"/>
    </format>
    <format dxfId="102">
      <pivotArea field="25" type="button" dataOnly="0" labelOnly="1" outline="0" axis="axisRow" fieldPosition="3"/>
    </format>
    <format dxfId="101">
      <pivotArea field="26" type="button" dataOnly="0" labelOnly="1" outline="0" axis="axisRow" fieldPosition="4"/>
    </format>
    <format dxfId="100">
      <pivotArea field="23" type="button" dataOnly="0" labelOnly="1" outline="0" axis="axisRow" fieldPosition="5"/>
    </format>
    <format dxfId="99">
      <pivotArea field="22" type="button" dataOnly="0" labelOnly="1" outline="0" axis="axisRow" fieldPosition="6"/>
    </format>
    <format dxfId="98">
      <pivotArea dataOnly="0" labelOnly="1" outline="0" fieldPosition="0">
        <references count="1">
          <reference field="4294967294" count="6">
            <x v="0"/>
            <x v="1"/>
            <x v="2"/>
            <x v="3"/>
            <x v="4"/>
            <x v="5"/>
          </reference>
        </references>
      </pivotArea>
    </format>
    <format dxfId="97">
      <pivotArea field="33" type="button" dataOnly="0" labelOnly="1" outline="0" axis="axisRow" fieldPosition="7"/>
    </format>
    <format dxfId="96">
      <pivotArea dataOnly="0" labelOnly="1" outline="0" fieldPosition="0">
        <references count="1">
          <reference field="4294967294" count="6">
            <x v="0"/>
            <x v="1"/>
            <x v="2"/>
            <x v="3"/>
            <x v="4"/>
            <x v="5"/>
          </reference>
        </references>
      </pivotArea>
    </format>
    <format dxfId="95">
      <pivotArea field="1" type="button" dataOnly="0" labelOnly="1" outline="0" axis="axisRow" fieldPosition="2"/>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B17CF480-B4C6-49F1-A40B-69764FAF4099}" autoFormatId="16" applyNumberFormats="0" applyBorderFormats="0" applyFontFormats="0" applyPatternFormats="0" applyAlignmentFormats="0" applyWidthHeightFormats="0">
  <queryTableRefresh nextId="35">
    <queryTableFields count="34">
      <queryTableField id="1" name="UseStockkeepingUnit" tableColumnId="1"/>
      <queryTableField id="2" name="InventPostGroup_Item" tableColumnId="2"/>
      <queryTableField id="3" name="InvtReorder" tableColumnId="3"/>
      <queryTableField id="4" name="ReorderPoint_Item" tableColumnId="4"/>
      <queryTableField id="5" name="ProjAvailBalance" tableColumnId="5"/>
      <queryTableField id="6" name="PlannedOrderReceipt" tableColumnId="6"/>
      <queryTableField id="7" name="BackOrderQty" tableColumnId="7"/>
      <queryTableField id="8" name="ScheduledReceipt" tableColumnId="8"/>
      <queryTableField id="9" name="GrossRequirement" tableColumnId="9"/>
      <queryTableField id="10" name="BaseUnitofMeasure_Item" tableColumnId="10"/>
      <queryTableField id="11" name="AssemblyBOM_Item" tableColumnId="11"/>
      <queryTableField id="12" name="Description_Item" tableColumnId="12"/>
      <queryTableField id="13" name="No_Item" tableColumnId="13"/>
      <queryTableField id="14" name="AssemblyBOMStock_Item" tableColumnId="14"/>
      <queryTableField id="15" name="UnitofMeasure_Item" tableColumnId="15"/>
      <queryTableField id="16" name="InvtReorder2" tableColumnId="16"/>
      <queryTableField id="17" name="ReordPoint_StockkeepUnit" tableColumnId="17"/>
      <queryTableField id="18" name="ProjAvailBalance2" tableColumnId="18"/>
      <queryTableField id="19" name="BackOrderQty2" tableColumnId="19"/>
      <queryTableField id="20" name="PlannedOrderReceipt2" tableColumnId="20"/>
      <queryTableField id="21" name="ScheduledReceipt2" tableColumnId="21"/>
      <queryTableField id="22" name="GrossRequirement2" tableColumnId="22"/>
      <queryTableField id="23" name="VariantCode_StockkeepUnit" tableColumnId="23"/>
      <queryTableField id="24" name="LocCode_StockkeepUnit" tableColumnId="24"/>
      <queryTableField id="25" name="SKUPrintLoop" tableColumnId="25"/>
      <queryTableField id="26" name="Custom_AssemblyBOM" tableColumnId="26"/>
      <queryTableField id="27" name="Custom_UOM" tableColumnId="27"/>
      <queryTableField id="28" name="Custom_GrossRequirement" tableColumnId="28"/>
      <queryTableField id="29" name="Custom_ScheduledReceipt" tableColumnId="29"/>
      <queryTableField id="30" name="Custom_PlannedOrderReceipt" tableColumnId="30"/>
      <queryTableField id="31" name="Custom_BackOrderQty" tableColumnId="31"/>
      <queryTableField id="32" name="Custom_ProjAvailBalance" tableColumnId="32"/>
      <queryTableField id="33" name="Custom_ReorderPoint" tableColumnId="33"/>
      <queryTableField id="34" name="Custom_InventoryReorder"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PostGroup_Item" xr10:uid="{1F4FC7A5-8C48-49F9-B0B9-AB45CD67351E}" sourceName="InventPostGroup_Item">
  <pivotTables>
    <pivotTable tabId="8" name="PivotTable1"/>
  </pivotTables>
  <data>
    <tabular pivotCacheId="542584031"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Item" xr10:uid="{9ECF98A4-B03E-4E92-AD3C-5858BE6F0B30}" sourceName="Description_Item">
  <pivotTables>
    <pivotTable tabId="8" name="PivotTable1"/>
  </pivotTables>
  <data>
    <tabular pivotCacheId="542584031"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34C7741F-84EC-480E-AC46-64F7F95F1C8B}" sourceName="No_Item">
  <pivotTables>
    <pivotTable tabId="8" name="PivotTable1"/>
  </pivotTables>
  <data>
    <tabular pivotCacheId="542584031"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ntPostGroup_Item$" xr10:uid="{5A9ACA60-2F52-4862-BABC-529D56FC41CE}" cache="Slicer_InventPostGroup_Item" caption="$InventPostGroup_Item$" style="Business Central Reports Slicer Style (Template)" rowHeight="273050"/>
  <slicer name="$Description_Item$" xr10:uid="{F024EE8E-B0F4-493D-9FDD-A9FD9F97EA3F}" cache="Slicer_Description_Item" caption="$Description_Item$" style="Business Central Reports Slicer Style (Template)" rowHeight="273050"/>
  <slicer name="$No_Item$" xr10:uid="{5ACFD2E1-A014-4A80-89F1-E4EC2A9A18E2}" cache="Slicer_No_Item" caption="$No_Item$"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BC21DB-48C7-454C-9AC2-3C10F08C5936}" name="InventoryAvailability_Query" displayName="InventoryAvailability_Query" ref="A1:AH2" tableType="queryTable" totalsRowShown="0">
  <autoFilter ref="A1:AH2" xr:uid="{3ABC21DB-48C7-454C-9AC2-3C10F08C5936}"/>
  <tableColumns count="34">
    <tableColumn id="1" xr3:uid="{97189BB9-E37E-4042-8BE8-116FC38709C7}" uniqueName="1" name="UseStockkeepingUnit" queryTableFieldId="1"/>
    <tableColumn id="2" xr3:uid="{30F6AA0E-3952-4A8D-B7F6-B255FB31DAC1}" uniqueName="2" name="InventPostGroup_Item" queryTableFieldId="2" dataDxfId="94"/>
    <tableColumn id="3" xr3:uid="{B56DE7B3-1C37-4F82-8CFB-74D94B631042}" uniqueName="3" name="InvtReorder" queryTableFieldId="3" dataDxfId="93"/>
    <tableColumn id="4" xr3:uid="{9CC31DA9-AA94-41D4-84C1-8C18FEE1D114}" uniqueName="4" name="ReorderPoint_Item" queryTableFieldId="4"/>
    <tableColumn id="5" xr3:uid="{1C61B364-767A-4E3C-B3DC-B18FEF62731E}" uniqueName="5" name="ProjAvailBalance" queryTableFieldId="5"/>
    <tableColumn id="6" xr3:uid="{D2AA3003-1AC4-4412-AC03-DC9904DC9B7C}" uniqueName="6" name="PlannedOrderReceipt" queryTableFieldId="6"/>
    <tableColumn id="7" xr3:uid="{F9236B5D-95F5-497F-A4C1-388D771C5E56}" uniqueName="7" name="BackOrderQty" queryTableFieldId="7"/>
    <tableColumn id="8" xr3:uid="{F51C8936-A527-48C6-BAFA-7E0597C23BA1}" uniqueName="8" name="ScheduledReceipt" queryTableFieldId="8"/>
    <tableColumn id="9" xr3:uid="{0B409388-048A-48FA-B7CB-A157CF0C8250}" uniqueName="9" name="GrossRequirement" queryTableFieldId="9"/>
    <tableColumn id="10" xr3:uid="{593CD16E-E2F5-4476-86D3-5CECF5833187}" uniqueName="10" name="BaseUnitofMeasure_Item" queryTableFieldId="10" dataDxfId="92"/>
    <tableColumn id="11" xr3:uid="{676DAFD7-3962-4F90-A045-6F253AFDEF74}" uniqueName="11" name="AssemblyBOM_Item" queryTableFieldId="11" dataDxfId="91"/>
    <tableColumn id="12" xr3:uid="{67EEB1FB-BC68-4055-84F9-BB1DC6628CB2}" uniqueName="12" name="Description_Item" queryTableFieldId="12" dataDxfId="90"/>
    <tableColumn id="13" xr3:uid="{9BF59674-22C2-489C-A07A-C4D4D4E1D0CD}" uniqueName="13" name="No_Item" queryTableFieldId="13" dataDxfId="89"/>
    <tableColumn id="14" xr3:uid="{97E6476E-59E9-4A54-B316-3E32A2F53507}" uniqueName="14" name="AssemblyBOMStock_Item" queryTableFieldId="14" dataDxfId="88"/>
    <tableColumn id="15" xr3:uid="{F71E4875-1895-4A01-8C58-19125A64E414}" uniqueName="15" name="UnitofMeasure_Item" queryTableFieldId="15" dataDxfId="87"/>
    <tableColumn id="16" xr3:uid="{A97A66CC-3388-4E66-8C65-70032BDD75B0}" uniqueName="16" name="InvtReorder2" queryTableFieldId="16" dataDxfId="86"/>
    <tableColumn id="17" xr3:uid="{B78124EC-A6E5-46D7-8714-FC5BD19021E5}" uniqueName="17" name="ReordPoint_StockkeepUnit" queryTableFieldId="17"/>
    <tableColumn id="18" xr3:uid="{64FDF1A5-2A4C-434D-BC2A-92F882E8CEF5}" uniqueName="18" name="ProjAvailBalance2" queryTableFieldId="18"/>
    <tableColumn id="19" xr3:uid="{7D0AEB80-8102-4997-B2C5-3B26E0D9C901}" uniqueName="19" name="BackOrderQty2" queryTableFieldId="19"/>
    <tableColumn id="20" xr3:uid="{B1B162C9-86A7-4EC3-976D-7778D9C5F99E}" uniqueName="20" name="PlannedOrderReceipt2" queryTableFieldId="20"/>
    <tableColumn id="21" xr3:uid="{50864A63-8F8A-444F-AE9F-708197E657AE}" uniqueName="21" name="ScheduledReceipt2" queryTableFieldId="21"/>
    <tableColumn id="22" xr3:uid="{F96665FC-32AD-4F6E-8686-9D2BFD5EF8C8}" uniqueName="22" name="GrossRequirement2" queryTableFieldId="22"/>
    <tableColumn id="23" xr3:uid="{C7C83C85-FFF4-413E-8D4A-6BB9DDB60D29}" uniqueName="23" name="VariantCode_StockkeepUnit" queryTableFieldId="23" dataDxfId="85"/>
    <tableColumn id="24" xr3:uid="{F6DC7816-DC2F-4FF3-B675-D5C38F511030}" uniqueName="24" name="LocCode_StockkeepUnit" queryTableFieldId="24" dataDxfId="84"/>
    <tableColumn id="25" xr3:uid="{3D096224-D8A0-4D97-87D4-3AC06A0C6F53}" uniqueName="25" name="SKUPrintLoop" queryTableFieldId="25"/>
    <tableColumn id="26" xr3:uid="{CBDEF918-CDDD-4721-BF01-80C260165533}" uniqueName="26" name="Custom_AssemblyBOM" queryTableFieldId="26"/>
    <tableColumn id="27" xr3:uid="{038F4C13-105C-478E-84E8-27DBE70CE6F4}" uniqueName="27" name="Custom_UOM" queryTableFieldId="27"/>
    <tableColumn id="28" xr3:uid="{46C3F0B7-3010-4E87-B3E0-C382041ED707}" uniqueName="28" name="Custom_GrossRequirement" queryTableFieldId="28"/>
    <tableColumn id="29" xr3:uid="{2593F69A-6B7E-45D8-BF59-F220769999FE}" uniqueName="29" name="Custom_ScheduledReceipt" queryTableFieldId="29"/>
    <tableColumn id="30" xr3:uid="{59640841-0E5A-4EC9-95F7-FB12DCB7F22A}" uniqueName="30" name="Custom_PlannedOrderReceipt" queryTableFieldId="30"/>
    <tableColumn id="31" xr3:uid="{0864D3BF-FCC9-4BC4-A8AF-25F550269BED}" uniqueName="31" name="Custom_BackOrderQty" queryTableFieldId="31"/>
    <tableColumn id="32" xr3:uid="{1EED72C7-C110-4594-BC2A-888C229B6F0F}" uniqueName="32" name="Custom_ProjAvailBalance" queryTableFieldId="32"/>
    <tableColumn id="33" xr3:uid="{F28DDDA8-D93F-4488-A761-CFDA6BC5F9FF}" uniqueName="33" name="Custom_ReorderPoint" queryTableFieldId="33"/>
    <tableColumn id="34" xr3:uid="{72EB49B2-B91E-426F-A86D-4DEE4DB8D5FE}" uniqueName="34" name="Custom_InventoryReorder" queryTableField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Y2" totalsRowShown="0" headerRowDxfId="83">
  <autoFilter ref="A1:Y2" xr:uid="{41D726F2-778D-4B1C-A5EA-875FED73D050}"/>
  <tableColumns count="25">
    <tableColumn id="1" xr3:uid="{21867904-D69E-41E3-B5BE-D9B124B8D7E4}" name="UseStockkeepingUnit"/>
    <tableColumn id="2" xr3:uid="{21867904-D69E-41E3-B5BE-D9B124B8D7E4}" name="InventPostGroup_Item"/>
    <tableColumn id="3" xr3:uid="{21867904-D69E-41E3-B5BE-D9B124B8D7E4}" name="InvtReorder"/>
    <tableColumn id="4" xr3:uid="{21867904-D69E-41E3-B5BE-D9B124B8D7E4}" name="ReorderPoint_Item"/>
    <tableColumn id="5" xr3:uid="{21867904-D69E-41E3-B5BE-D9B124B8D7E4}" name="ProjAvailBalance"/>
    <tableColumn id="6" xr3:uid="{21867904-D69E-41E3-B5BE-D9B124B8D7E4}" name="PlannedOrderReceipt"/>
    <tableColumn id="7" xr3:uid="{21867904-D69E-41E3-B5BE-D9B124B8D7E4}" name="BackOrderQty"/>
    <tableColumn id="8" xr3:uid="{21867904-D69E-41E3-B5BE-D9B124B8D7E4}" name="ScheduledReceipt"/>
    <tableColumn id="9" xr3:uid="{21867904-D69E-41E3-B5BE-D9B124B8D7E4}" name="GrossRequirement"/>
    <tableColumn id="10" xr3:uid="{21867904-D69E-41E3-B5BE-D9B124B8D7E4}" name="BaseUnitofMeasure_Item"/>
    <tableColumn id="11" xr3:uid="{21867904-D69E-41E3-B5BE-D9B124B8D7E4}" name="AssemblyBOM_Item"/>
    <tableColumn id="12" xr3:uid="{21867904-D69E-41E3-B5BE-D9B124B8D7E4}" name="Description_Item"/>
    <tableColumn id="13" xr3:uid="{21867904-D69E-41E3-B5BE-D9B124B8D7E4}" name="No_Item"/>
    <tableColumn id="14" xr3:uid="{21867904-D69E-41E3-B5BE-D9B124B8D7E4}" name="AssemblyBOMStock_Item"/>
    <tableColumn id="15" xr3:uid="{21867904-D69E-41E3-B5BE-D9B124B8D7E4}" name="UnitofMeasure_Item"/>
    <tableColumn id="16" xr3:uid="{21867904-D69E-41E3-B5BE-D9B124B8D7E4}" name="InvtReorder2"/>
    <tableColumn id="17" xr3:uid="{21867904-D69E-41E3-B5BE-D9B124B8D7E4}" name="ReordPoint_StockkeepUnit"/>
    <tableColumn id="18" xr3:uid="{21867904-D69E-41E3-B5BE-D9B124B8D7E4}" name="ProjAvailBalance2"/>
    <tableColumn id="19" xr3:uid="{21867904-D69E-41E3-B5BE-D9B124B8D7E4}" name="BackOrderQty2"/>
    <tableColumn id="20" xr3:uid="{21867904-D69E-41E3-B5BE-D9B124B8D7E4}" name="PlannedOrderReceipt2"/>
    <tableColumn id="21" xr3:uid="{21867904-D69E-41E3-B5BE-D9B124B8D7E4}" name="ScheduledReceipt2"/>
    <tableColumn id="22" xr3:uid="{21867904-D69E-41E3-B5BE-D9B124B8D7E4}" name="GrossRequirement2"/>
    <tableColumn id="23" xr3:uid="{21867904-D69E-41E3-B5BE-D9B124B8D7E4}" name="VariantCode_StockkeepUnit"/>
    <tableColumn id="24" xr3:uid="{21867904-D69E-41E3-B5BE-D9B124B8D7E4}" name="LocCode_StockkeepUnit"/>
    <tableColumn id="25" xr3:uid="{21867904-D69E-41E3-B5BE-D9B124B8D7E4}" name="SKUPrintLoop"/>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82">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81">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0">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79">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A1A7-A20D-4393-B670-745416986E7C}">
  <sheetPr>
    <pageSetUpPr fitToPage="1"/>
  </sheetPr>
  <dimension ref="A2:N7"/>
  <sheetViews>
    <sheetView showGridLines="0" tabSelected="1" workbookViewId="0"/>
  </sheetViews>
  <sheetFormatPr defaultRowHeight="21" x14ac:dyDescent="0.45"/>
  <cols>
    <col min="1" max="1" width="9.08203125" style="15" customWidth="1"/>
    <col min="2" max="2" width="13.1640625" style="9" customWidth="1"/>
    <col min="3" max="3" width="27.75" style="9" bestFit="1" customWidth="1"/>
    <col min="4" max="4" width="6.75" style="9" bestFit="1" customWidth="1"/>
    <col min="5" max="5" width="10.83203125" style="9" bestFit="1" customWidth="1"/>
    <col min="6" max="6" width="13.75" style="9" customWidth="1"/>
    <col min="7" max="7" width="12.75" style="9" bestFit="1" customWidth="1"/>
    <col min="8" max="8" width="10" style="9" customWidth="1"/>
    <col min="9" max="9" width="16.1640625" style="9" customWidth="1"/>
    <col min="10" max="10" width="15.75" style="9" customWidth="1"/>
    <col min="11" max="11" width="18.75" style="9" customWidth="1"/>
    <col min="12" max="12" width="16.4140625" style="9" customWidth="1"/>
    <col min="13" max="13" width="22.33203125" style="9" customWidth="1"/>
    <col min="14" max="14" width="24.58203125" style="9" bestFit="1" customWidth="1"/>
    <col min="15" max="16384" width="8.6640625" style="9"/>
  </cols>
  <sheetData>
    <row r="2" spans="2:14" ht="26.5" thickBot="1" x14ac:dyDescent="0.5">
      <c r="B2" s="11" t="s">
        <v>97</v>
      </c>
      <c r="N2" s="12" t="str" cm="1">
        <f t="array" ref="N2">ReportRequest.CompanyName</f>
        <v>Company name Value</v>
      </c>
    </row>
    <row r="3" spans="2:14" ht="21.5" thickTop="1" x14ac:dyDescent="0.45"/>
    <row r="4" spans="2:14" x14ac:dyDescent="0.45">
      <c r="B4" s="6" t="e" cm="1">
        <f t="array" ref="B4">ItemFilterHeading</f>
        <v>#N/A</v>
      </c>
      <c r="M4" s="13" t="e" cm="1">
        <f t="array" ref="M4">Caption.DataRetrievedLbl</f>
        <v>#NAME?</v>
      </c>
      <c r="N4" s="14" t="str" cm="1">
        <f t="array" ref="N4">ReportRequest.DateLocal</f>
        <v>Date (Local) Value</v>
      </c>
    </row>
    <row r="6" spans="2:14" x14ac:dyDescent="0.45">
      <c r="B6" s="16" t="s">
        <v>107</v>
      </c>
      <c r="C6" s="16" t="s">
        <v>108</v>
      </c>
      <c r="D6" s="16" t="s">
        <v>109</v>
      </c>
      <c r="E6" s="16" t="s">
        <v>110</v>
      </c>
      <c r="F6" s="16" t="s">
        <v>119</v>
      </c>
      <c r="G6" s="16" t="s">
        <v>118</v>
      </c>
      <c r="H6" s="16" t="s">
        <v>116</v>
      </c>
      <c r="I6" s="17" t="s">
        <v>111</v>
      </c>
      <c r="J6" s="17" t="s">
        <v>112</v>
      </c>
      <c r="K6" s="17" t="s">
        <v>113</v>
      </c>
      <c r="L6" s="17" t="s">
        <v>114</v>
      </c>
      <c r="M6" s="17" t="s">
        <v>115</v>
      </c>
      <c r="N6" s="17" t="s">
        <v>117</v>
      </c>
    </row>
    <row r="7" spans="2:14" x14ac:dyDescent="0.45">
      <c r="B7" s="5"/>
      <c r="C7" s="5"/>
      <c r="D7" s="5"/>
      <c r="E7" s="5"/>
      <c r="F7" s="5"/>
      <c r="G7" s="5"/>
      <c r="H7" s="5"/>
      <c r="I7" s="18">
        <v>0</v>
      </c>
      <c r="J7" s="18">
        <v>0</v>
      </c>
      <c r="K7" s="18">
        <v>0</v>
      </c>
      <c r="L7" s="18">
        <v>0</v>
      </c>
      <c r="M7" s="18">
        <v>0</v>
      </c>
      <c r="N7" s="18">
        <v>0</v>
      </c>
    </row>
  </sheetData>
  <pageMargins left="0.25" right="0.25" top="0.75" bottom="0.75" header="0.3" footer="0.3"/>
  <pageSetup paperSize="9" scale="4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2B94-5218-4DAA-AECD-461C8C5EC24C}">
  <dimension ref="A1:O2"/>
  <sheetViews>
    <sheetView showGridLines="0" workbookViewId="0"/>
  </sheetViews>
  <sheetFormatPr defaultRowHeight="21" x14ac:dyDescent="0.45"/>
  <cols>
    <col min="1" max="1" width="50.58203125" style="15" customWidth="1"/>
    <col min="2" max="2" width="13.1640625" style="9" customWidth="1"/>
    <col min="3" max="3" width="27.75" style="9" bestFit="1" customWidth="1"/>
    <col min="4" max="4" width="22.08203125" style="9" bestFit="1" customWidth="1"/>
    <col min="5" max="5" width="6.75" style="9" bestFit="1" customWidth="1"/>
    <col min="6" max="6" width="10.83203125" style="9" bestFit="1" customWidth="1"/>
    <col min="7" max="7" width="13.75" style="9" customWidth="1"/>
    <col min="8" max="8" width="12.75" style="9" bestFit="1" customWidth="1"/>
    <col min="9" max="9" width="10" style="9" customWidth="1"/>
    <col min="10" max="10" width="16.1640625" style="9" customWidth="1"/>
    <col min="11" max="11" width="15.75" style="9" customWidth="1"/>
    <col min="12" max="12" width="18.75" style="9" customWidth="1"/>
    <col min="13" max="13" width="16.4140625" style="9" customWidth="1"/>
    <col min="14" max="14" width="22.33203125" style="9" customWidth="1"/>
    <col min="15" max="15" width="13.58203125" style="9" customWidth="1"/>
    <col min="16" max="16384" width="8.6640625" style="9"/>
  </cols>
  <sheetData>
    <row r="1" spans="2:15" x14ac:dyDescent="0.45">
      <c r="B1" s="16" t="s">
        <v>107</v>
      </c>
      <c r="C1" s="16" t="s">
        <v>108</v>
      </c>
      <c r="D1" s="16" t="s">
        <v>120</v>
      </c>
      <c r="E1" s="16" t="s">
        <v>109</v>
      </c>
      <c r="F1" s="16" t="s">
        <v>110</v>
      </c>
      <c r="G1" s="16" t="s">
        <v>119</v>
      </c>
      <c r="H1" s="16" t="s">
        <v>118</v>
      </c>
      <c r="I1" s="16" t="s">
        <v>116</v>
      </c>
      <c r="J1" s="17" t="s">
        <v>111</v>
      </c>
      <c r="K1" s="17" t="s">
        <v>112</v>
      </c>
      <c r="L1" s="17" t="s">
        <v>113</v>
      </c>
      <c r="M1" s="17" t="s">
        <v>114</v>
      </c>
      <c r="N1" s="17" t="s">
        <v>115</v>
      </c>
      <c r="O1" s="17" t="s">
        <v>117</v>
      </c>
    </row>
    <row r="2" spans="2:15" x14ac:dyDescent="0.45">
      <c r="B2" s="5"/>
      <c r="C2" s="5"/>
      <c r="D2" s="5"/>
      <c r="E2" s="5"/>
      <c r="F2" s="5"/>
      <c r="G2" s="5"/>
      <c r="H2" s="5"/>
      <c r="I2" s="5"/>
      <c r="J2" s="18">
        <v>0</v>
      </c>
      <c r="K2" s="18">
        <v>0</v>
      </c>
      <c r="L2" s="18">
        <v>0</v>
      </c>
      <c r="M2" s="18">
        <v>0</v>
      </c>
      <c r="N2" s="18">
        <v>0</v>
      </c>
      <c r="O2" s="18">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9CC20-1439-4088-83C9-F584F96BFBCB}">
  <dimension ref="A1:B8"/>
  <sheetViews>
    <sheetView showGridLines="0" workbookViewId="0"/>
  </sheetViews>
  <sheetFormatPr defaultRowHeight="20" customHeight="1" x14ac:dyDescent="0.45"/>
  <cols>
    <col min="1" max="1" width="18.83203125" style="9" customWidth="1"/>
    <col min="2" max="2" width="27.83203125" style="9" customWidth="1"/>
    <col min="3" max="16384" width="8.6640625" style="9"/>
  </cols>
  <sheetData>
    <row r="1" spans="1:2" ht="20" customHeight="1" x14ac:dyDescent="0.45">
      <c r="A1" s="4" t="s">
        <v>91</v>
      </c>
      <c r="B1" s="6" t="str" cm="1">
        <f t="array" ref="B1">ReportRequest.EnvironmentName</f>
        <v>Environment name Value</v>
      </c>
    </row>
    <row r="2" spans="1:2" ht="20" customHeight="1" x14ac:dyDescent="0.45">
      <c r="A2" s="4" t="s">
        <v>92</v>
      </c>
      <c r="B2" s="6" t="str" cm="1">
        <f t="array" ref="B2">ReportRequest.CompanyName</f>
        <v>Company name Value</v>
      </c>
    </row>
    <row r="3" spans="1:2" ht="20" customHeight="1" x14ac:dyDescent="0.45">
      <c r="A3" s="4" t="s">
        <v>93</v>
      </c>
      <c r="B3" s="6" t="str" cm="1">
        <f t="array" ref="B3">ReportRequest.UserName</f>
        <v>User name Value</v>
      </c>
    </row>
    <row r="4" spans="1:2" ht="20" customHeight="1" x14ac:dyDescent="0.45">
      <c r="A4" s="4" t="s">
        <v>94</v>
      </c>
      <c r="B4" s="7" t="str" cm="1">
        <f t="array" ref="B4">ReportRequest.DateLocal</f>
        <v>Date (Local) Value</v>
      </c>
    </row>
    <row r="5" spans="1:2" ht="20" customHeight="1" x14ac:dyDescent="0.45">
      <c r="A5" s="4"/>
      <c r="B5" s="8" t="str" cm="1">
        <f t="array" ref="B5">ReportRequest.DateLocal</f>
        <v>Date (Local) Value</v>
      </c>
    </row>
    <row r="6" spans="1:2" ht="20" customHeight="1" x14ac:dyDescent="0.45">
      <c r="A6" s="4" t="s">
        <v>95</v>
      </c>
      <c r="B6" s="6" t="str" cm="1">
        <f t="array" ref="B6">ReportMetadata.ObjectCaption</f>
        <v>Object Caption Value</v>
      </c>
    </row>
    <row r="7" spans="1:2" ht="20" customHeight="1" x14ac:dyDescent="0.45">
      <c r="A7" s="4" t="s">
        <v>96</v>
      </c>
      <c r="B7" s="10" t="str">
        <f>HYPERLINK(_xlfn.CONCAT("https://learn.microsoft.com/dynamics365/business-central/reports/report-",ReportMetadata.ObjectID))</f>
        <v>https://learn.microsoft.com/dynamics365/business-central/reports/report-Object ID Value</v>
      </c>
    </row>
    <row r="8" spans="1:2" ht="20" customHeight="1" x14ac:dyDescent="0.45">
      <c r="A8" s="4"/>
      <c r="B8"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D766-C8BE-4AAE-944E-5FEE26C6C5A6}">
  <dimension ref="A1:AH2"/>
  <sheetViews>
    <sheetView workbookViewId="0">
      <selection sqref="A1:AH2"/>
    </sheetView>
  </sheetViews>
  <sheetFormatPr defaultRowHeight="16.5" x14ac:dyDescent="0.45"/>
  <cols>
    <col min="1" max="1" width="22.08203125" bestFit="1" customWidth="1"/>
    <col min="2" max="2" width="23.33203125" bestFit="1" customWidth="1"/>
    <col min="3" max="3" width="13.75" bestFit="1" customWidth="1"/>
    <col min="4" max="4" width="20" bestFit="1" customWidth="1"/>
    <col min="5" max="5" width="18" bestFit="1" customWidth="1"/>
    <col min="6" max="6" width="22" bestFit="1" customWidth="1"/>
    <col min="7" max="7" width="15.58203125" bestFit="1" customWidth="1"/>
    <col min="8" max="8" width="18.75" bestFit="1" customWidth="1"/>
    <col min="9" max="9" width="19.83203125" bestFit="1" customWidth="1"/>
    <col min="10" max="10" width="25.75" bestFit="1" customWidth="1"/>
    <col min="11" max="11" width="21.25" bestFit="1" customWidth="1"/>
    <col min="12" max="12" width="18.25" bestFit="1" customWidth="1"/>
    <col min="13" max="13" width="10.75" bestFit="1" customWidth="1"/>
    <col min="14" max="14" width="26.08203125" bestFit="1" customWidth="1"/>
    <col min="15" max="15" width="21.5" bestFit="1" customWidth="1"/>
    <col min="16" max="16" width="14.83203125" bestFit="1" customWidth="1"/>
    <col min="17" max="17" width="26.83203125" bestFit="1" customWidth="1"/>
    <col min="18" max="18" width="19.08203125" bestFit="1" customWidth="1"/>
    <col min="19" max="19" width="16.75" bestFit="1" customWidth="1"/>
    <col min="20" max="20" width="23.08203125" bestFit="1" customWidth="1"/>
    <col min="21" max="21" width="20" bestFit="1" customWidth="1"/>
    <col min="22" max="22" width="21" bestFit="1" customWidth="1"/>
    <col min="23" max="23" width="27.83203125" bestFit="1" customWidth="1"/>
    <col min="24" max="24" width="24.33203125" bestFit="1" customWidth="1"/>
    <col min="25" max="25" width="15.58203125" bestFit="1" customWidth="1"/>
    <col min="26" max="26" width="24" bestFit="1" customWidth="1"/>
    <col min="27" max="27" width="15.33203125" bestFit="1" customWidth="1"/>
    <col min="28" max="28" width="27.5" bestFit="1" customWidth="1"/>
    <col min="29" max="29" width="26.5" bestFit="1" customWidth="1"/>
    <col min="30" max="30" width="29.75" bestFit="1" customWidth="1"/>
    <col min="31" max="31" width="23.25" bestFit="1" customWidth="1"/>
    <col min="32" max="32" width="25.75" bestFit="1" customWidth="1"/>
    <col min="33" max="33" width="22.58203125" bestFit="1" customWidth="1"/>
    <col min="34" max="34" width="26.58203125" bestFit="1" customWidth="1"/>
  </cols>
  <sheetData>
    <row r="1" spans="1:34"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c r="Z1" t="s">
        <v>98</v>
      </c>
      <c r="AA1" t="s">
        <v>99</v>
      </c>
      <c r="AB1" t="s">
        <v>100</v>
      </c>
      <c r="AC1" t="s">
        <v>101</v>
      </c>
      <c r="AD1" t="s">
        <v>102</v>
      </c>
      <c r="AE1" t="s">
        <v>103</v>
      </c>
      <c r="AF1" t="s">
        <v>104</v>
      </c>
      <c r="AG1" t="s">
        <v>105</v>
      </c>
      <c r="AH1" t="s">
        <v>106</v>
      </c>
    </row>
    <row r="2" spans="1:34" x14ac:dyDescent="0.45">
      <c r="A2" t="b">
        <v>0</v>
      </c>
      <c r="B2" t="s">
        <v>90</v>
      </c>
      <c r="C2" t="s">
        <v>90</v>
      </c>
      <c r="D2">
        <v>0</v>
      </c>
      <c r="E2">
        <v>0</v>
      </c>
      <c r="F2">
        <v>0</v>
      </c>
      <c r="G2">
        <v>0</v>
      </c>
      <c r="H2">
        <v>0</v>
      </c>
      <c r="I2">
        <v>0</v>
      </c>
      <c r="J2" t="s">
        <v>90</v>
      </c>
      <c r="K2" t="s">
        <v>90</v>
      </c>
      <c r="L2" t="s">
        <v>90</v>
      </c>
      <c r="M2" t="s">
        <v>90</v>
      </c>
      <c r="N2" t="s">
        <v>90</v>
      </c>
      <c r="O2" t="s">
        <v>90</v>
      </c>
      <c r="P2" t="s">
        <v>90</v>
      </c>
      <c r="Q2">
        <v>0</v>
      </c>
      <c r="R2">
        <v>0</v>
      </c>
      <c r="S2">
        <v>0</v>
      </c>
      <c r="T2">
        <v>0</v>
      </c>
      <c r="U2">
        <v>0</v>
      </c>
      <c r="V2">
        <v>0</v>
      </c>
      <c r="W2" t="s">
        <v>90</v>
      </c>
      <c r="X2" t="s">
        <v>90</v>
      </c>
      <c r="Y2">
        <v>0</v>
      </c>
      <c r="Z2" t="s">
        <v>90</v>
      </c>
      <c r="AA2" t="s">
        <v>90</v>
      </c>
      <c r="AB2">
        <v>0</v>
      </c>
      <c r="AC2">
        <v>0</v>
      </c>
      <c r="AD2">
        <v>0</v>
      </c>
      <c r="AE2">
        <v>0</v>
      </c>
      <c r="AF2">
        <v>0</v>
      </c>
      <c r="AG2">
        <v>0</v>
      </c>
      <c r="AH2" t="s">
        <v>90</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workbookViewId="0">
      <pane ySplit="1" topLeftCell="A2" activePane="bottomLeft" state="frozen"/>
      <selection pane="bottomLeft"/>
    </sheetView>
  </sheetViews>
  <sheetFormatPr defaultRowHeight="16.5" x14ac:dyDescent="0.45"/>
  <cols>
    <col min="1" max="1" width="21.75" customWidth="1"/>
    <col min="2" max="2" width="22.9140625" customWidth="1"/>
    <col min="3" max="3" width="13.33203125" customWidth="1"/>
    <col min="4" max="4" width="19.6640625" customWidth="1"/>
    <col min="5" max="5" width="17.5" customWidth="1"/>
    <col min="6" max="6" width="21.75" customWidth="1"/>
    <col min="7" max="7" width="15" customWidth="1"/>
    <col min="8" max="8" width="18.75" customWidth="1"/>
    <col min="9" max="9" width="19.4140625" customWidth="1"/>
    <col min="10" max="10" width="25.4140625" customWidth="1"/>
    <col min="11" max="11" width="20.75" customWidth="1"/>
    <col min="12" max="12" width="17.9140625" customWidth="1"/>
    <col min="13" max="13" width="10.58203125" customWidth="1"/>
    <col min="14" max="14" width="25.4140625" customWidth="1"/>
    <col min="15" max="15" width="21.33203125" customWidth="1"/>
    <col min="16" max="16" width="14.25" customWidth="1"/>
    <col min="17" max="17" width="26.6640625" customWidth="1"/>
    <col min="18" max="18" width="18.5" customWidth="1"/>
    <col min="19" max="19" width="16" customWidth="1"/>
    <col min="20" max="20" width="22.83203125" customWidth="1"/>
    <col min="21" max="21" width="19.6640625" customWidth="1"/>
    <col min="22" max="22" width="20.4140625" customWidth="1"/>
    <col min="23" max="23" width="27.58203125" customWidth="1"/>
    <col min="24" max="24" width="24" customWidth="1"/>
    <col min="25" max="25" width="14.9140625" customWidth="1"/>
  </cols>
  <sheetData>
    <row r="1" spans="1:25"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row>
    <row r="2" spans="1:25" x14ac:dyDescent="0.45">
      <c r="A2" t="s">
        <v>89</v>
      </c>
      <c r="B2" t="s">
        <v>90</v>
      </c>
      <c r="C2" t="s">
        <v>90</v>
      </c>
      <c r="D2" s="2">
        <v>0</v>
      </c>
      <c r="E2" s="2">
        <v>0</v>
      </c>
      <c r="F2" s="2">
        <v>0</v>
      </c>
      <c r="G2" s="2">
        <v>0</v>
      </c>
      <c r="H2" s="2">
        <v>0</v>
      </c>
      <c r="I2" s="2">
        <v>0</v>
      </c>
      <c r="J2" t="s">
        <v>90</v>
      </c>
      <c r="K2" t="s">
        <v>90</v>
      </c>
      <c r="L2" t="s">
        <v>90</v>
      </c>
      <c r="M2" t="s">
        <v>90</v>
      </c>
      <c r="N2" t="s">
        <v>90</v>
      </c>
      <c r="O2" t="s">
        <v>90</v>
      </c>
      <c r="P2" t="s">
        <v>90</v>
      </c>
      <c r="Q2" s="2">
        <v>0</v>
      </c>
      <c r="R2" s="2">
        <v>0</v>
      </c>
      <c r="S2" s="2">
        <v>0</v>
      </c>
      <c r="T2" s="2">
        <v>0</v>
      </c>
      <c r="U2" s="2">
        <v>0</v>
      </c>
      <c r="V2" s="2">
        <v>0</v>
      </c>
      <c r="W2" t="s">
        <v>90</v>
      </c>
      <c r="X2" t="s">
        <v>90</v>
      </c>
      <c r="Y2" s="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B83BC9-D75C-4EE3-872A-7F4637A0DA77}">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$InvAvailabilityPrintLbl$</vt:lpstr>
      <vt:lpstr>$InvAvailabilityAnalysisLbl$</vt:lpstr>
      <vt:lpstr>$AboutTheReportLbl$</vt:lpstr>
      <vt:lpstr>InventoryAvailability_Query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2025-11-26T04:48:37Z</cp:lastPrinted>
  <dcterms:modified xsi:type="dcterms:W3CDTF">2025-11-26T04:49:49Z</dcterms:modified>
</cp:coreProperties>
</file>
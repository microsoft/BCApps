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Repos\Gold\Yellowstone.BaseApplication\App\Layers\W1\BaseApp\Inventory\Reports\"/>
    </mc:Choice>
  </mc:AlternateContent>
  <xr:revisionPtr revIDLastSave="0" documentId="13_ncr:1_{7957BBA9-127C-49A2-9FD5-11BADBF2508F}" xr6:coauthVersionLast="47" xr6:coauthVersionMax="47" xr10:uidLastSave="{00000000-0000-0000-0000-000000000000}"/>
  <bookViews>
    <workbookView xWindow="-108" yWindow="-108" windowWidth="30936" windowHeight="16776" xr2:uid="{00000000-000D-0000-FFFF-FFFF00000000}"/>
  </bookViews>
  <sheets>
    <sheet name="$InvCustomerSalesPrintLbl$" sheetId="6" r:id="rId1"/>
    <sheet name="$InvCustomerSalesAnalysisLbl$" sheetId="7" r:id="rId2"/>
    <sheet name="$AboutTheReportLbl$" sheetId="8" r:id="rId3"/>
    <sheet name="InventoryCustomerSales_Query" sheetId="5" state="hidden" r:id="rId4"/>
    <sheet name="Data" sheetId="1" state="hidden" r:id="rId5"/>
    <sheet name="TranslationData" sheetId="2" state="hidden" r:id="rId6"/>
    <sheet name="CaptionData" sheetId="3" state="hidden" r:id="rId7"/>
    <sheet name="Aggregated Metadata" sheetId="4" state="hidden" r:id="rId8"/>
  </sheets>
  <definedNames>
    <definedName name="ExternalData_1" localSheetId="3" hidden="1">InventoryCustomerSales_Query!$A$1:$J$2</definedName>
    <definedName name="ItemFilter">_xlfn.XLOOKUP("ItemFilter", ReportRequestPageValues[Request Page Option], ReportRequestPageValues[Request Page Option Value])</definedName>
    <definedName name="ItemLedgEntryFilter">_xlfn.XLOOKUP("ItemLedgEntryFilter", ReportRequestPageValues[Request Page Option], ReportRequestPageValues[Request Page Option Value])</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CustName">#N/A</definedName>
    <definedName name="Slicer_No_Item">#N/A</definedName>
  </definedNames>
  <calcPr calcId="191029"/>
  <pivotCaches>
    <pivotCache cacheId="6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6" l="1" a="1"/>
  <c r="B5" i="6" s="1"/>
  <c r="B4" i="6" a="1"/>
  <c r="B4" i="6" s="1"/>
  <c r="J4" i="6" a="1"/>
  <c r="J4" i="6" s="1"/>
  <c r="K4" i="6" a="1"/>
  <c r="K4" i="6" s="1"/>
  <c r="K2" i="6" a="1"/>
  <c r="K2" i="6" s="1"/>
  <c r="B7" i="8"/>
  <c r="B6" i="8" a="1"/>
  <c r="B6" i="8" s="1"/>
  <c r="B5" i="8" a="1"/>
  <c r="B5" i="8" s="1"/>
  <c r="B4" i="8" a="1"/>
  <c r="B4" i="8" s="1"/>
  <c r="B3" i="8" a="1"/>
  <c r="B3" i="8" s="1"/>
  <c r="B2" i="8" a="1"/>
  <c r="B2" i="8" s="1"/>
  <c r="B1" i="8" a="1"/>
  <c r="B1"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DE0B96-7C99-42A2-ADFA-A0F9DB25F494}" keepAlive="1" name="Query - InventoryCustomerSales_Query" description="Connection to the 'InventoryCustomerSales_Query' query in the workbook." type="5" refreshedVersion="8" refreshOnLoad="1" saveData="1">
    <dbPr connection="Provider=Microsoft.Mashup.OleDb.1;Data Source=$Workbook$;Location=InventoryCustomerSales_Query;Extended Properties=&quot;&quot;" command="SELECT * FROM [InventoryCustomerSales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<sst xmlns="http://schemas.openxmlformats.org/spreadsheetml/2006/main" count="136" uniqueCount="96">
  <si>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</si>
  <si>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</si>
  <si>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</si>
  <si>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</si>
  <si>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</si>
  <si>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</si>
  <si>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</si>
  <si>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</si>
  <si>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</si>
  <si>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</si>
  <si>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</si>
  <si>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</si>
  <si>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</si>
  <si>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</si>
  <si>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</si>
  <si>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</si>
  <si>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</si>
  <si>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</si>
  <si>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</si>
  <si>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</si>
  <si>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</si>
  <si>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</si>
  <si>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</si>
  <si>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</si>
  <si>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</si>
  <si>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</si>
  <si>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</si>
  <si>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</si>
  <si>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</si>
  <si>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</si>
  <si>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</si>
  <si>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</si>
  <si>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</si>
  <si>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</si>
  <si>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</si>
  <si>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</si>
  <si>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</si>
  <si>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</si>
  <si>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</si>
  <si>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</si>
  <si>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</si>
  <si>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</si>
  <si>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</si>
  <si>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</si>
  <si>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</si>
  <si>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</si>
  <si>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</si>
  <si>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</si>
  <si>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</si>
  <si>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</si>
  <si>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</si>
  <si>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</si>
  <si>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</si>
  <si>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</si>
  <si>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</si>
  <si>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</si>
  <si>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</si>
  <si>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</si>
  <si>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</si>
  <si>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</si>
  <si>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</si>
  <si>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</si>
  <si>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</si>
  <si>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</si>
  <si>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ItemFilter</t>
  </si>
  <si>
    <t>ItemLedgEntryFilter</t>
  </si>
  <si>
    <t>No_Item</t>
  </si>
  <si>
    <t>Description_Item</t>
  </si>
  <si>
    <t>BaseUnitofMeasure_Item</t>
  </si>
  <si>
    <t>SourceNo_ItemLedgEntry</t>
  </si>
  <si>
    <t>CustName</t>
  </si>
  <si>
    <t>InvQty_ItemLedgEntry</t>
  </si>
  <si>
    <t>SalesAmtActual_ItemLedgEntry</t>
  </si>
  <si>
    <t>Profit_ItemLedgEntry</t>
  </si>
  <si>
    <t>DiscountAmount</t>
  </si>
  <si>
    <t/>
  </si>
  <si>
    <t>Grand Total</t>
  </si>
  <si>
    <t>$Description_Item$</t>
  </si>
  <si>
    <t>$No_Item$</t>
  </si>
  <si>
    <t>$BaseUnitofMeasure_Item$</t>
  </si>
  <si>
    <t>$SalesAmtActual_ItemLedgEntry$</t>
  </si>
  <si>
    <t>ProfitPct_ItemLedgEntry</t>
  </si>
  <si>
    <t>$EnvironmentLbl$</t>
  </si>
  <si>
    <t>$CompanyLbl$</t>
  </si>
  <si>
    <t>$UserLbl$</t>
  </si>
  <si>
    <t>$RunOnLbl$</t>
  </si>
  <si>
    <t>$ReportNameLbl$</t>
  </si>
  <si>
    <t>$DocumentationLbl$</t>
  </si>
  <si>
    <t>$InventoryCustomerSalesLbl$</t>
  </si>
  <si>
    <t>$CustomerNoLbl$</t>
  </si>
  <si>
    <t>$CustNameLbl$</t>
  </si>
  <si>
    <t>$InvQtyLbl$</t>
  </si>
  <si>
    <t>$ProfitPctLbl$</t>
  </si>
  <si>
    <t>$DiscountAmtLbl$</t>
  </si>
  <si>
    <t>$ProfitLbl$</t>
  </si>
  <si>
    <t xml:space="preser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</si>
</sst>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800]dddd\,\ mmmm\ dd\,\ yyyy"/>
    <numFmt numFmtId="165" formatCode="[$-F400]h:mm:ss\ AM/PM"/>
    <numFmt numFmtId="166" formatCode="#,##0.0"/>
    <numFmt numFmtId="167" formatCode="0.0"/>
  </numFmts>
  <fonts count="17" x14ac:knownFonts="1">
    <font>
      <sz val="11"/>
      <name val="Segoe UI"/>
      <family val="2"/>
      <scheme val="minor"/>
    </font>
    <font>
      <b/>
      <sz val="11"/>
      <name val="Segoe UI"/>
      <family val="2"/>
      <scheme val="minor"/>
    </font>
    <font>
      <sz val="10"/>
      <name val="Segoe UI"/>
      <family val="2"/>
      <scheme val="minor"/>
    </font>
    <font>
      <sz val="10"/>
      <color theme="1"/>
      <name val="Segoe UI"/>
      <family val="2"/>
      <scheme val="minor"/>
    </font>
    <font>
      <sz val="10"/>
      <color rgb="FF212121"/>
      <name val="Segoe UI"/>
      <family val="2"/>
      <scheme val="minor"/>
    </font>
    <font>
      <b/>
      <sz val="13"/>
      <color theme="1"/>
      <name val="Segoe UI"/>
      <family val="2"/>
      <scheme val="minor"/>
    </font>
    <font>
      <b/>
      <sz val="10"/>
      <color theme="1"/>
      <name val="Segoe UI Semibold"/>
      <family val="2"/>
    </font>
    <font>
      <b/>
      <sz val="15"/>
      <color theme="1"/>
      <name val="Segoe UI"/>
      <family val="2"/>
      <scheme val="minor"/>
    </font>
    <font>
      <b/>
      <sz val="18"/>
      <color theme="1"/>
      <name val="Segoe UI Semibold"/>
      <family val="2"/>
    </font>
    <font>
      <sz val="10"/>
      <color theme="1"/>
      <name val="Segoe UI Semibold"/>
      <family val="2"/>
      <scheme val="major"/>
    </font>
    <font>
      <u/>
      <sz val="11"/>
      <color theme="10"/>
      <name val="Segoe UI"/>
      <family val="2"/>
      <scheme val="minor"/>
    </font>
    <font>
      <sz val="14"/>
      <name val="Segoe UI"/>
      <family val="2"/>
      <scheme val="minor"/>
    </font>
    <font>
      <u/>
      <sz val="10"/>
      <color theme="10"/>
      <name val="Segoe UI"/>
      <family val="2"/>
      <scheme val="minor"/>
    </font>
    <font>
      <sz val="10"/>
      <name val="Segoe UI Semibold"/>
      <family val="2"/>
      <scheme val="major"/>
    </font>
    <font>
      <sz val="10"/>
      <name val="Segoe UI Semibold"/>
      <scheme val="major"/>
    </font>
    <font>
      <b/>
      <sz val="10"/>
      <name val="Segoe UI Semibold"/>
      <scheme val="major"/>
    </font>
    <font>
      <sz val="10"/>
      <name val="Segoe UI"/>
      <scheme val="minor"/>
    </font>
  </fonts>
  <fills count="3">
    <fill>
      <patternFill patternType="none"/>
    </fill>
    <fill>
      <patternFill patternType="gray125"/>
    </fill>
    <fill>
      <patternFill patternType="solid">
        <fgColor rgb="FFC0C0C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4">
    <xf numFmtId="0" fontId="0" fillId="0" borderId="0"/>
    <xf numFmtId="0" fontId="5" fillId="0" borderId="2" applyNumberFormat="0" applyFill="0" applyAlignment="0" applyProtection="0"/>
    <xf numFmtId="0" fontId="7" fillId="0" borderId="1" applyNumberFormat="0" applyFill="0" applyBorder="0" applyAlignment="0" applyProtection="0"/>
    <xf numFmtId="0" fontId="10" fillId="0" borderId="0" applyNumberFormat="0" applyFill="0" applyBorder="0" applyAlignment="0" applyProtection="0"/>
  </cellStyleXfs>
  <cellXfs count="37">
    <xf numFmtId="0" fontId="0" fillId="0" borderId="0" xfId="0"/>
    <xf numFmtId="49" fontId="1" fillId="2" borderId="0" xfId="0" applyNumberFormat="1" applyFont="1" applyFill="1"/>
    <xf numFmtId="4" fontId="0" fillId="0" borderId="0" xfId="0" applyNumberFormat="1"/>
    <xf numFmtId="0" fontId="2" fillId="0" borderId="0" xfId="0" applyFont="1" applyAlignment="1">
      <alignment vertical="center"/>
    </xf>
    <xf numFmtId="164" fontId="3" fillId="0" borderId="0" xfId="0" applyNumberFormat="1" applyFont="1" applyAlignment="1">
      <alignment horizontal="right" vertical="center"/>
    </xf>
    <xf numFmtId="0" fontId="4" fillId="0" borderId="0" xfId="0" applyFont="1" applyAlignment="1">
      <alignment horizontal="right" vertical="center"/>
    </xf>
    <xf numFmtId="0" fontId="6" fillId="0" borderId="2" xfId="1" applyFont="1" applyAlignment="1">
      <alignment horizontal="right" vertical="center"/>
    </xf>
    <xf numFmtId="0" fontId="8" fillId="0" borderId="0" xfId="2" applyFont="1" applyBorder="1" applyAlignment="1">
      <alignment vertical="center"/>
    </xf>
    <xf numFmtId="0" fontId="0" fillId="0" borderId="0" xfId="0" applyAlignment="1">
      <alignment vertical="center"/>
    </xf>
    <xf numFmtId="0" fontId="11" fillId="0" borderId="0" xfId="0" applyFont="1" applyAlignment="1">
      <alignment vertical="center"/>
    </xf>
    <xf numFmtId="0" fontId="9" fillId="0" borderId="0" xfId="0" applyFont="1" applyAlignment="1">
      <alignment vertical="center"/>
    </xf>
    <xf numFmtId="0" fontId="2" fillId="0" borderId="0" xfId="0" applyFont="1" applyAlignment="1">
      <alignment horizontal="left" vertical="center"/>
    </xf>
    <xf numFmtId="165" fontId="2" fillId="0" borderId="0" xfId="0" applyNumberFormat="1" applyFont="1" applyAlignment="1">
      <alignment horizontal="left" vertical="center"/>
    </xf>
    <xf numFmtId="164" fontId="2" fillId="0" borderId="0" xfId="0" applyNumberFormat="1" applyFont="1" applyAlignment="1">
      <alignment horizontal="left" vertical="center"/>
    </xf>
    <xf numFmtId="0" fontId="11" fillId="0" borderId="0" xfId="0" applyFont="1"/>
    <xf numFmtId="0" fontId="12" fillId="0" borderId="0" xfId="3" applyFont="1" applyAlignment="1">
      <alignment horizontal="left" vertical="center"/>
    </xf>
    <xf numFmtId="4" fontId="2" fillId="0" borderId="0" xfId="0" applyNumberFormat="1" applyFont="1" applyAlignment="1">
      <alignment vertical="center"/>
    </xf>
    <xf numFmtId="0" fontId="13" fillId="0" borderId="0" xfId="0" applyFont="1" applyAlignment="1">
      <alignment vertical="center"/>
    </xf>
    <xf numFmtId="0" fontId="13" fillId="0" borderId="0" xfId="0" applyFont="1" applyAlignment="1">
      <alignment horizontal="right" vertical="center"/>
    </xf>
    <xf numFmtId="0" fontId="13" fillId="0" borderId="0" xfId="0" pivotButton="1" applyFont="1" applyAlignment="1">
      <alignment vertical="center"/>
    </xf>
    <xf numFmtId="167" fontId="13" fillId="0" borderId="0" xfId="0" applyNumberFormat="1" applyFont="1" applyAlignment="1">
      <alignment horizontal="right" vertical="center"/>
    </xf>
    <xf numFmtId="167" fontId="13" fillId="0" borderId="0" xfId="0" applyNumberFormat="1" applyFont="1" applyAlignment="1">
      <alignment vertical="center"/>
    </xf>
    <xf numFmtId="167" fontId="2" fillId="0" borderId="0" xfId="0" applyNumberFormat="1" applyFont="1" applyAlignment="1">
      <alignment vertical="center"/>
    </xf>
    <xf numFmtId="2" fontId="2" fillId="0" borderId="0" xfId="0" applyNumberFormat="1" applyFont="1" applyAlignment="1">
      <alignment horizontal="right" vertical="center"/>
    </xf>
    <xf numFmtId="2" fontId="2" fillId="0" borderId="0" xfId="0" applyNumberFormat="1" applyFont="1" applyAlignment="1">
      <alignment vertical="center"/>
    </xf>
    <xf numFmtId="0" fontId="14" fillId="0" borderId="0" xfId="0" applyFont="1" applyAlignment="1">
      <alignment horizontal="right" vertical="center"/>
    </xf>
    <xf numFmtId="0" fontId="14" fillId="0" borderId="0" xfId="0" pivotButton="1" applyFont="1" applyAlignment="1">
      <alignment vertical="center"/>
    </xf>
    <xf numFmtId="0" fontId="15" fillId="0" borderId="0" xfId="0" pivotButton="1" applyFont="1" applyAlignment="1">
      <alignment vertical="center"/>
    </xf>
    <xf numFmtId="0" fontId="13" fillId="0" borderId="0" xfId="0" applyNumberFormat="1" applyFont="1" applyAlignment="1">
      <alignment vertical="center"/>
    </xf>
    <xf numFmtId="2" fontId="16" fillId="0" borderId="0" xfId="0" applyNumberFormat="1" applyFont="1" applyAlignment="1">
      <alignment horizontal="right" vertical="center"/>
    </xf>
    <xf numFmtId="4" fontId="16" fillId="0" borderId="0" xfId="0" applyNumberFormat="1" applyFont="1" applyAlignment="1">
      <alignment horizontal="right" vertical="center"/>
    </xf>
    <xf numFmtId="166" fontId="16" fillId="0" borderId="0" xfId="0" applyNumberFormat="1" applyFont="1" applyAlignment="1">
      <alignment horizontal="right" vertical="center"/>
    </xf>
    <xf numFmtId="167" fontId="16" fillId="0" borderId="0" xfId="0" applyNumberFormat="1" applyFont="1" applyAlignment="1">
      <alignment horizontal="right" vertical="center"/>
    </xf>
    <xf numFmtId="0" fontId="16" fillId="0" borderId="0" xfId="0" applyFont="1" applyAlignment="1">
      <alignment vertical="center"/>
    </xf>
    <xf numFmtId="0" fontId="16" fillId="0" borderId="0" xfId="0" applyNumberFormat="1" applyFont="1" applyAlignment="1">
      <alignment vertical="center"/>
    </xf>
    <xf numFmtId="2" fontId="16" fillId="0" borderId="0" xfId="0" applyNumberFormat="1" applyFont="1" applyAlignment="1">
      <alignment vertical="center"/>
    </xf>
    <xf numFmtId="0" fontId="2" fillId="0" borderId="0" xfId="0" applyNumberFormat="1" applyFont="1" applyAlignment="1">
      <alignment vertical="center"/>
    </xf>
  </cellXfs>
  <cellStyles count="4">
    <cellStyle name="Heading 1 2" xfId="2" xr:uid="{ACD28F55-4736-4A01-A1E4-DC04E6495190}"/>
    <cellStyle name="Heading 2 2" xfId="1" xr:uid="{C2E733B4-67F5-4C83-9910-6D29A3147304}"/>
    <cellStyle name="Hyperlink" xfId="3" builtinId="8"/>
    <cellStyle name="Normal" xfId="0" builtinId="0"/>
  </cellStyles>
  <dxfs count="356">
    <dxf>
      <numFmt numFmtId="167" formatCode="0.0"/>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numFmt numFmtId="2" formatCode="0.00"/>
    </dxf>
    <dxf>
      <numFmt numFmtId="2" formatCode="0.00"/>
    </dxf>
    <dxf>
      <numFmt numFmtId="2" formatCode="0.00"/>
    </dxf>
    <dxf>
      <font>
        <sz val="10"/>
        <name val="Segoe UI Semibold"/>
        <scheme val="major"/>
      </font>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font>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name val="Segoe UI Semibold"/>
        <scheme val="major"/>
      </font>
      <alignment vertical="center"/>
    </dxf>
    <dxf>
      <font>
        <name val="Segoe UI Semibold"/>
        <scheme val="major"/>
      </font>
    </dxf>
    <dxf>
      <font>
        <sz val="10"/>
        <name val="Segoe UI Semibold"/>
        <scheme val="major"/>
      </font>
      <alignment vertical="center"/>
    </dxf>
    <dxf>
      <alignment horizontal="right"/>
    </dxf>
    <dxf>
      <alignment horizontal="right"/>
    </dxf>
    <dxf>
      <numFmt numFmtId="166" formatCode="#,##0.0"/>
      <alignment horizontal="right" vertical="center"/>
    </dxf>
    <dxf>
      <font>
        <name val="Segoe UI"/>
        <family val="2"/>
        <scheme val="minor"/>
      </font>
    </dxf>
    <dxf>
      <alignment horizontal="general"/>
    </dxf>
    <dxf>
      <alignment vertical="center"/>
    </dxf>
    <dxf>
      <numFmt numFmtId="4" formatCode="#,##0.00"/>
      <alignment vertical="center"/>
    </dxf>
    <dxf>
      <font>
        <name val="Segoe UI"/>
        <family val="2"/>
        <scheme val="minor"/>
      </font>
    </dxf>
    <dxf>
      <font>
        <name val="Segoe UI"/>
        <family val="2"/>
        <scheme val="minor"/>
      </font>
    </dxf>
    <dxf>
      <font>
        <name val="Segoe UI"/>
        <family val="2"/>
        <scheme val="minor"/>
      </font>
    </dxf>
    <dxf>
      <font>
        <name val="Segoe UI Semibold"/>
        <scheme val="major"/>
      </font>
    </dxf>
    <dxf>
      <font>
        <name val="Segoe UI Semibold"/>
        <scheme val="major"/>
      </font>
    </dxf>
    <dxf>
      <font>
        <name val="Segoe UI Semibold"/>
        <scheme val="major"/>
      </font>
    </dxf>
    <dxf>
      <font>
        <sz val="10"/>
        <name val="Segoe UI Semibold"/>
        <scheme val="major"/>
      </font>
      <alignment horizontal="righ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sz val="10"/>
      </font>
    </dxf>
    <dxf>
      <font>
        <sz val="10"/>
      </font>
    </dxf>
    <dxf>
      <font>
        <sz val="10"/>
      </font>
    </dxf>
    <dxf>
      <font>
        <name val="Segoe UI"/>
        <scheme val="minor"/>
      </font>
    </dxf>
    <dxf>
      <font>
        <sz val="10"/>
      </font>
    </dxf>
    <dxf>
      <font>
        <name val="Segoe UI Semibold"/>
        <scheme val="major"/>
      </font>
    </dxf>
    <dxf>
      <alignment horizontal="right"/>
    </dxf>
    <dxf>
      <alignment vertical="center"/>
    </dxf>
    <dxf>
      <alignment vertical="center"/>
    </dxf>
    <dxf>
      <font>
        <name val="Segoe UI"/>
        <scheme val="minor"/>
      </font>
    </dxf>
    <dxf>
      <font>
        <name val="Segoe UI"/>
        <scheme val="minor"/>
      </font>
    </dxf>
    <dxf>
      <font>
        <name val="Segoe UI"/>
        <scheme val="minor"/>
      </font>
    </dxf>
    <dxf>
      <font>
        <name val="Segoe UI"/>
        <scheme val="minor"/>
      </font>
    </dxf>
    <dxf>
      <font>
        <name val="Segoe UI"/>
        <scheme val="minor"/>
      </font>
    </dxf>
    <dxf>
      <font>
        <name val="Segoe UI"/>
        <scheme val="minor"/>
      </font>
    </dxf>
    <dxf>
      <font>
        <name val="Segoe UI"/>
        <scheme val="minor"/>
      </font>
    </dxf>
    <dxf>
      <font>
        <name val="Segoe UI"/>
        <scheme val="minor"/>
      </font>
    </dxf>
    <dxf>
      <alignment vertical="center"/>
    </dxf>
    <dxf>
      <alignment vertical="center"/>
    </dxf>
    <dxf>
      <alignmen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numFmt numFmtId="2" formatCode="0.00"/>
    </dxf>
    <dxf>
      <numFmt numFmtId="2" formatCode="0.00"/>
    </dxf>
    <dxf>
      <numFmt numFmtId="2" formatCode="0.00"/>
    </dxf>
    <dxf>
      <font>
        <sz val="10"/>
        <name val="Segoe UI Semibold"/>
        <scheme val="major"/>
      </font>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font>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name val="Segoe UI Semibold"/>
        <scheme val="major"/>
      </font>
      <alignment vertical="center"/>
    </dxf>
    <dxf>
      <font>
        <name val="Segoe UI Semibold"/>
        <scheme val="major"/>
      </font>
    </dxf>
    <dxf>
      <font>
        <sz val="10"/>
        <name val="Segoe UI Semibold"/>
        <scheme val="major"/>
      </font>
      <alignment vertical="center"/>
    </dxf>
    <dxf>
      <alignment horizontal="right"/>
    </dxf>
    <dxf>
      <alignment horizontal="right"/>
    </dxf>
    <dxf>
      <numFmt numFmtId="166" formatCode="#,##0.0"/>
      <alignment horizontal="right" vertical="center"/>
    </dxf>
    <dxf>
      <font>
        <name val="Segoe UI"/>
        <family val="2"/>
        <scheme val="minor"/>
      </font>
    </dxf>
    <dxf>
      <alignment horizontal="general"/>
    </dxf>
    <dxf>
      <alignment vertical="center"/>
    </dxf>
    <dxf>
      <numFmt numFmtId="4" formatCode="#,##0.00"/>
      <alignment vertical="center"/>
    </dxf>
    <dxf>
      <font>
        <name val="Segoe UI"/>
        <family val="2"/>
        <scheme val="minor"/>
      </font>
    </dxf>
    <dxf>
      <font>
        <name val="Segoe UI"/>
        <family val="2"/>
        <scheme val="minor"/>
      </font>
    </dxf>
    <dxf>
      <font>
        <name val="Segoe UI"/>
        <family val="2"/>
        <scheme val="minor"/>
      </font>
    </dxf>
    <dxf>
      <font>
        <name val="Segoe UI Semibold"/>
        <scheme val="major"/>
      </font>
    </dxf>
    <dxf>
      <font>
        <name val="Segoe UI Semibold"/>
        <scheme val="major"/>
      </font>
    </dxf>
    <dxf>
      <font>
        <name val="Segoe UI Semibold"/>
        <scheme val="major"/>
      </font>
    </dxf>
    <dxf>
      <font>
        <sz val="10"/>
        <name val="Segoe UI Semibold"/>
        <scheme val="major"/>
      </font>
      <alignment horizontal="righ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sz val="10"/>
      </font>
    </dxf>
    <dxf>
      <font>
        <sz val="10"/>
      </font>
    </dxf>
    <dxf>
      <font>
        <sz val="10"/>
      </font>
    </dxf>
    <dxf>
      <font>
        <name val="Segoe UI"/>
        <scheme val="minor"/>
      </font>
    </dxf>
    <dxf>
      <font>
        <sz val="10"/>
      </font>
    </dxf>
    <dxf>
      <font>
        <name val="Segoe UI Semibold"/>
        <scheme val="major"/>
      </font>
    </dxf>
    <dxf>
      <alignment horizontal="right"/>
    </dxf>
    <dxf>
      <alignment vertical="center"/>
    </dxf>
    <dxf>
      <alignment vertical="center"/>
    </dxf>
    <dxf>
      <font>
        <name val="Segoe UI"/>
        <scheme val="minor"/>
      </font>
    </dxf>
    <dxf>
      <font>
        <name val="Segoe UI"/>
        <scheme val="minor"/>
      </font>
    </dxf>
    <dxf>
      <font>
        <name val="Segoe UI"/>
        <scheme val="minor"/>
      </font>
    </dxf>
    <dxf>
      <font>
        <name val="Segoe UI"/>
        <scheme val="minor"/>
      </font>
    </dxf>
    <dxf>
      <font>
        <name val="Segoe UI"/>
        <scheme val="minor"/>
      </font>
    </dxf>
    <dxf>
      <font>
        <name val="Segoe UI"/>
        <scheme val="minor"/>
      </font>
    </dxf>
    <dxf>
      <font>
        <name val="Segoe UI"/>
        <scheme val="minor"/>
      </font>
    </dxf>
    <dxf>
      <font>
        <name val="Segoe UI"/>
        <scheme val="minor"/>
      </font>
    </dxf>
    <dxf>
      <alignment vertical="center"/>
    </dxf>
    <dxf>
      <alignment vertical="center"/>
    </dxf>
    <dxf>
      <alignmen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numFmt numFmtId="2" formatCode="0.00"/>
    </dxf>
    <dxf>
      <numFmt numFmtId="2" formatCode="0.00"/>
    </dxf>
    <dxf>
      <numFmt numFmtId="2" formatCode="0.00"/>
    </dxf>
    <dxf>
      <font>
        <sz val="10"/>
        <name val="Segoe UI Semibold"/>
        <scheme val="major"/>
      </font>
    </dxf>
    <dxf>
      <font>
        <sz val="10"/>
        <name val="Segoe UI Semibold"/>
        <scheme val="major"/>
      </font>
      <alignment vertical="center"/>
    </dxf>
    <dxf>
      <font>
        <sz val="10"/>
        <name val="Segoe UI Semibold"/>
        <scheme val="major"/>
      </font>
      <alignment vertical="center"/>
    </dxf>
    <dxf>
      <font>
        <sz val="10"/>
        <name val="Segoe UI Semibold"/>
        <scheme val="major"/>
      </font>
      <alignment vertical="center"/>
    </dxf>
    <dxf>
      <font>
        <sz val="10"/>
        <name val="Segoe UI Semibold"/>
        <scheme val="major"/>
      </font>
      <alignment vertical="center"/>
    </dxf>
    <dxf>
      <font>
        <sz val="10"/>
      </font>
    </dxf>
    <dxf>
      <font>
        <sz val="10"/>
      </font>
    </dxf>
    <dxf>
      <font>
        <sz val="10"/>
      </font>
    </dxf>
    <dxf>
      <font>
        <sz val="10"/>
      </font>
    </dxf>
    <dxf>
      <font>
        <sz val="10"/>
      </font>
    </dxf>
    <dxf>
      <font>
        <sz val="10"/>
      </font>
    </dxf>
    <dxf>
      <numFmt numFmtId="2" formatCode="0.00"/>
      <alignment horizontal="right" vertical="center"/>
    </dxf>
    <dxf>
      <font>
        <sz val="10"/>
      </font>
    </dxf>
    <dxf>
      <font>
        <b/>
      </font>
    </dxf>
    <dxf>
      <font>
        <name val="Segoe UI Semibold"/>
        <scheme val="major"/>
      </font>
      <alignment vertical="center"/>
    </dxf>
    <dxf>
      <font>
        <sz val="10"/>
        <name val="Segoe UI Semibold"/>
        <scheme val="major"/>
      </font>
      <alignment horizontal="right" vertical="center"/>
    </dxf>
    <dxf>
      <font>
        <sz val="10"/>
        <name val="Segoe UI Semibold"/>
        <scheme val="major"/>
      </font>
      <alignment horizontal="right" vertical="center"/>
    </dxf>
    <dxf>
      <alignment vertical="center"/>
    </dxf>
    <dxf>
      <alignment horizontal="general"/>
    </dxf>
    <dxf>
      <alignment horizontal="general"/>
    </dxf>
    <dxf>
      <alignment vertical="center"/>
    </dxf>
    <dxf>
      <alignment horizontal="right"/>
    </dxf>
    <dxf>
      <numFmt numFmtId="2" formatCode="0.00"/>
      <alignment horizontal="right"/>
    </dxf>
    <dxf>
      <numFmt numFmtId="4" formatCode="#,##0.00"/>
    </dxf>
    <dxf>
      <numFmt numFmtId="4" formatCode="#,##0.00"/>
    </dxf>
    <dxf>
      <numFmt numFmtId="4" formatCode="#,##0.00"/>
    </dxf>
    <dxf>
      <numFmt numFmtId="166" formatCode="#,##0.0"/>
    </dxf>
    <dxf>
      <font>
        <name val="Segoe UI"/>
        <family val="2"/>
        <scheme val="minor"/>
      </font>
    </dxf>
    <dxf>
      <font>
        <name val="Segoe UI"/>
        <family val="2"/>
        <scheme val="minor"/>
      </font>
    </dxf>
    <dxf>
      <font>
        <name val="Segoe UI"/>
        <family val="2"/>
        <scheme val="minor"/>
      </font>
    </dxf>
    <dxf>
      <font>
        <name val="Segoe UI Semibold"/>
        <family val="2"/>
        <scheme val="major"/>
      </font>
    </dxf>
    <dxf>
      <font>
        <name val="Segoe UI Semibold"/>
        <family val="2"/>
        <scheme val="major"/>
      </font>
    </dxf>
    <dxf>
      <font>
        <name val="Segoe UI Semibold"/>
        <family val="2"/>
        <scheme val="major"/>
      </font>
    </dxf>
    <dxf>
      <alignment horizontal="right"/>
    </dxf>
    <dxf>
      <alignment horizontal="right"/>
    </dxf>
    <dxf>
      <alignment vertical="center"/>
    </dxf>
    <dxf>
      <alignment horizontal="right"/>
    </dxf>
    <dxf>
      <font>
        <name val="Segoe UI Semibold"/>
        <scheme val="major"/>
      </font>
    </dxf>
    <dxf>
      <font>
        <name val="Segoe UI Semibold"/>
        <scheme val="major"/>
      </font>
    </dxf>
    <dxf>
      <font>
        <sz val="10"/>
      </font>
    </dxf>
    <dxf>
      <font>
        <sz val="10"/>
      </font>
    </dxf>
    <dxf>
      <alignment vertical="center"/>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sz val="10"/>
      </font>
    </dxf>
    <dxf>
      <font>
        <sz val="10"/>
      </font>
    </dxf>
    <dxf>
      <font>
        <sz val="10"/>
      </font>
    </dxf>
    <dxf>
      <font>
        <name val="Segoe UI"/>
        <scheme val="minor"/>
      </font>
    </dxf>
    <dxf>
      <font>
        <name val="Segoe UI"/>
        <scheme val="minor"/>
      </font>
    </dxf>
    <dxf>
      <font>
        <name val="Segoe UI"/>
        <scheme val="minor"/>
      </fon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4" formatCode="#,##0.00"/>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alignment vertical="center"/>
    </dxf>
    <dxf>
      <alignment vertical="center"/>
    </dxf>
    <dxf>
      <alignment vertical="center"/>
    </dxf>
    <dxf>
      <font>
        <name val="Segoe UI"/>
        <scheme val="minor"/>
      </font>
    </dxf>
    <dxf>
      <font>
        <name val="Segoe UI"/>
        <scheme val="minor"/>
      </font>
    </dxf>
    <dxf>
      <font>
        <name val="Segoe UI"/>
        <scheme val="minor"/>
      </font>
    </dxf>
    <dxf>
      <font>
        <name val="Segoe UI"/>
        <scheme val="minor"/>
      </font>
    </dxf>
    <dxf>
      <font>
        <name val="Segoe UI"/>
        <scheme val="minor"/>
      </font>
    </dxf>
    <dxf>
      <font>
        <name val="Segoe UI"/>
        <scheme val="minor"/>
      </font>
    </dxf>
    <dxf>
      <font>
        <name val="Segoe UI"/>
        <scheme val="minor"/>
      </font>
    </dxf>
    <dxf>
      <font>
        <name val="Segoe UI"/>
        <scheme val="minor"/>
      </font>
    </dxf>
    <dxf>
      <alignment vertical="center"/>
    </dxf>
    <dxf>
      <alignment vertical="center"/>
    </dxf>
    <dxf>
      <alignment horizontal="right"/>
    </dxf>
    <dxf>
      <font>
        <name val="Segoe UI Semibold"/>
        <scheme val="major"/>
      </font>
    </dxf>
    <dxf>
      <font>
        <sz val="10"/>
      </font>
    </dxf>
    <dxf>
      <font>
        <name val="Segoe UI"/>
        <scheme val="minor"/>
      </font>
    </dxf>
    <dxf>
      <font>
        <sz val="10"/>
      </font>
    </dxf>
    <dxf>
      <font>
        <sz val="10"/>
      </font>
    </dxf>
    <dxf>
      <font>
        <sz val="10"/>
      </font>
    </dxf>
    <dxf>
      <numFmt numFmtId="167" formatCode="0.0"/>
    </dxf>
    <dxf>
      <alignment vertical="center"/>
    </dxf>
    <dxf>
      <alignment vertical="center"/>
    </dxf>
    <dxf>
      <alignment vertical="center"/>
    </dxf>
    <dxf>
      <alignment vertical="center"/>
    </dxf>
    <dxf>
      <alignment vertical="center"/>
    </dxf>
    <dxf>
      <alignment vertical="center"/>
    </dxf>
    <dxf>
      <alignment vertical="center"/>
    </dxf>
    <dxf>
      <font>
        <sz val="10"/>
        <name val="Segoe UI Semibold"/>
        <scheme val="major"/>
      </font>
      <alignment horizontal="right" vertical="center"/>
    </dxf>
    <dxf>
      <font>
        <name val="Segoe UI Semibold"/>
        <scheme val="major"/>
      </font>
    </dxf>
    <dxf>
      <font>
        <name val="Segoe UI Semibold"/>
        <scheme val="major"/>
      </font>
    </dxf>
    <dxf>
      <font>
        <name val="Segoe UI Semibold"/>
        <scheme val="major"/>
      </font>
    </dxf>
    <dxf>
      <font>
        <name val="Segoe UI"/>
        <family val="2"/>
        <scheme val="minor"/>
      </font>
    </dxf>
    <dxf>
      <font>
        <name val="Segoe UI"/>
        <family val="2"/>
        <scheme val="minor"/>
      </font>
    </dxf>
    <dxf>
      <font>
        <name val="Segoe UI"/>
        <family val="2"/>
        <scheme val="minor"/>
      </font>
    </dxf>
    <dxf>
      <numFmt numFmtId="4" formatCode="#,##0.00"/>
      <alignment vertical="center"/>
    </dxf>
    <dxf>
      <alignment vertical="center"/>
    </dxf>
    <dxf>
      <alignment horizontal="general"/>
    </dxf>
    <dxf>
      <font>
        <name val="Segoe UI"/>
        <family val="2"/>
        <scheme val="minor"/>
      </font>
    </dxf>
    <dxf>
      <numFmt numFmtId="166" formatCode="#,##0.0"/>
      <alignment horizontal="right" vertical="center"/>
    </dxf>
    <dxf>
      <alignment horizontal="right"/>
    </dxf>
    <dxf>
      <alignment horizontal="right"/>
    </dxf>
    <dxf>
      <font>
        <sz val="10"/>
        <name val="Segoe UI Semibold"/>
        <scheme val="major"/>
      </font>
      <alignment vertical="center"/>
    </dxf>
    <dxf>
      <font>
        <name val="Segoe UI Semibold"/>
        <scheme val="major"/>
      </font>
    </dxf>
    <dxf>
      <font>
        <sz val="10"/>
        <name val="Segoe UI Semibold"/>
        <scheme val="major"/>
      </font>
      <alignment vertical="center"/>
    </dxf>
    <dxf>
      <font>
        <sz val="10"/>
      </font>
    </dxf>
    <dxf>
      <font>
        <sz val="10"/>
      </font>
    </dxf>
    <dxf>
      <font>
        <sz val="10"/>
      </font>
    </dxf>
    <dxf>
      <font>
        <sz val="10"/>
      </font>
    </dxf>
    <dxf>
      <font>
        <sz val="10"/>
      </font>
    </dxf>
    <dxf>
      <alignment horizontal="general"/>
    </dxf>
    <dxf>
      <alignment horizontal="general"/>
    </dxf>
    <dxf>
      <alignment horizontal="general"/>
    </dxf>
    <dxf>
      <alignment horizontal="general"/>
    </dxf>
    <dxf>
      <alignment horizontal="general"/>
    </dxf>
    <dxf>
      <font>
        <sz val="10"/>
      </font>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dxf>
    <dxf>
      <numFmt numFmtId="2" formatCode="0.00"/>
    </dxf>
    <dxf>
      <numFmt numFmtId="2" formatCode="0.00"/>
    </dxf>
    <dxf>
      <numFmt numFmtId="2" formatCode="0.00"/>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name val="Segoe UI"/>
        <scheme val="minor"/>
      </font>
    </dxf>
    <dxf>
      <font>
        <name val="Segoe UI"/>
        <scheme val="minor"/>
      </font>
    </dxf>
    <dxf>
      <font>
        <name val="Segoe UI"/>
        <scheme val="minor"/>
      </font>
    </dxf>
    <dxf>
      <font>
        <sz val="10"/>
      </font>
    </dxf>
    <dxf>
      <font>
        <sz val="10"/>
      </font>
    </dxf>
    <dxf>
      <font>
        <sz val="10"/>
      </font>
    </dxf>
    <dxf>
      <numFmt numFmtId="167" formatCode="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vertical="center"/>
    </dxf>
    <dxf>
      <font>
        <sz val="10"/>
      </font>
    </dxf>
    <dxf>
      <font>
        <sz val="10"/>
      </font>
    </dxf>
    <dxf>
      <font>
        <name val="Segoe UI Semibold"/>
        <scheme val="major"/>
      </font>
    </dxf>
    <dxf>
      <font>
        <name val="Segoe UI Semibold"/>
        <scheme val="major"/>
      </font>
    </dxf>
    <dxf>
      <alignment horizontal="right"/>
    </dxf>
    <dxf>
      <alignment vertical="center"/>
    </dxf>
    <dxf>
      <alignment horizontal="right"/>
    </dxf>
    <dxf>
      <alignment horizontal="right"/>
    </dxf>
    <dxf>
      <font>
        <name val="Segoe UI Semibold"/>
        <family val="2"/>
        <scheme val="major"/>
      </font>
    </dxf>
    <dxf>
      <font>
        <name val="Segoe UI Semibold"/>
        <family val="2"/>
        <scheme val="major"/>
      </font>
    </dxf>
    <dxf>
      <font>
        <name val="Segoe UI Semibold"/>
        <family val="2"/>
        <scheme val="major"/>
      </font>
    </dxf>
    <dxf>
      <font>
        <name val="Segoe UI"/>
        <family val="2"/>
        <scheme val="minor"/>
      </font>
    </dxf>
    <dxf>
      <font>
        <name val="Segoe UI"/>
        <family val="2"/>
        <scheme val="minor"/>
      </font>
    </dxf>
    <dxf>
      <font>
        <name val="Segoe UI"/>
        <family val="2"/>
        <scheme val="minor"/>
      </font>
    </dxf>
    <dxf>
      <numFmt numFmtId="166" formatCode="#,##0.0"/>
    </dxf>
    <dxf>
      <numFmt numFmtId="4" formatCode="#,##0.00"/>
    </dxf>
    <dxf>
      <numFmt numFmtId="4" formatCode="#,##0.00"/>
    </dxf>
    <dxf>
      <numFmt numFmtId="4" formatCode="#,##0.00"/>
    </dxf>
    <dxf>
      <numFmt numFmtId="2" formatCode="0.00"/>
      <alignment horizontal="right"/>
    </dxf>
    <dxf>
      <alignment horizontal="right"/>
    </dxf>
    <dxf>
      <alignment vertical="center"/>
    </dxf>
    <dxf>
      <alignment horizontal="general"/>
    </dxf>
    <dxf>
      <alignment horizontal="general"/>
    </dxf>
    <dxf>
      <alignment vertical="center"/>
    </dxf>
    <dxf>
      <font>
        <sz val="10"/>
        <name val="Segoe UI Semibold"/>
        <scheme val="major"/>
      </font>
      <alignment horizontal="right" vertical="center"/>
    </dxf>
    <dxf>
      <font>
        <sz val="10"/>
        <name val="Segoe UI Semibold"/>
        <scheme val="major"/>
      </font>
      <alignment horizontal="right" vertical="center"/>
    </dxf>
    <dxf>
      <font>
        <name val="Segoe UI Semibold"/>
        <scheme val="major"/>
      </font>
      <alignment vertical="center"/>
    </dxf>
    <dxf>
      <font>
        <b/>
      </font>
    </dxf>
    <dxf>
      <font>
        <sz val="10"/>
      </font>
    </dxf>
    <dxf>
      <numFmt numFmtId="2" formatCode="0.00"/>
      <alignment horizontal="right" vertical="center"/>
    </dxf>
    <dxf>
      <font>
        <sz val="10"/>
      </font>
    </dxf>
    <dxf>
      <font>
        <sz val="10"/>
      </font>
    </dxf>
    <dxf>
      <font>
        <sz val="10"/>
      </font>
    </dxf>
    <dxf>
      <font>
        <sz val="10"/>
      </font>
    </dxf>
    <dxf>
      <font>
        <sz val="10"/>
      </font>
    </dxf>
    <dxf>
      <font>
        <sz val="10"/>
      </font>
    </dxf>
    <dxf>
      <font>
        <sz val="10"/>
        <name val="Segoe UI Semibold"/>
        <scheme val="major"/>
      </font>
      <alignment vertical="center"/>
    </dxf>
    <dxf>
      <font>
        <sz val="10"/>
        <name val="Segoe UI Semibold"/>
        <scheme val="major"/>
      </font>
      <alignment vertical="center"/>
    </dxf>
    <dxf>
      <font>
        <sz val="10"/>
        <name val="Segoe UI Semibold"/>
        <scheme val="major"/>
      </font>
      <alignment vertical="center"/>
    </dxf>
    <dxf>
      <font>
        <sz val="10"/>
        <name val="Segoe UI Semibold"/>
        <scheme val="major"/>
      </font>
      <alignment vertical="center"/>
    </dxf>
    <dxf>
      <font>
        <sz val="10"/>
        <name val="Segoe UI Semibold"/>
        <scheme val="major"/>
      </font>
    </dxf>
    <dxf>
      <numFmt numFmtId="2" formatCode="0.00"/>
    </dxf>
    <dxf>
      <numFmt numFmtId="2" formatCode="0.00"/>
    </dxf>
    <dxf>
      <numFmt numFmtId="2" formatCode="0.00"/>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name val="Segoe UI Semibold"/>
        <scheme val="major"/>
      </font>
      <alignment horizontal="right" vertical="cent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border>
        <top style="thin">
          <color auto="1"/>
        </top>
        <bottom style="thin">
          <color auto="1"/>
        </bottom>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 Table Style (Template)" table="0" count="5" xr9:uid="{CE85B76A-7F8F-45A5-B630-31E830B2F064}">
      <tableStyleElement type="wholeTable" dxfId="355"/>
      <tableStyleElement type="headerRow" dxfId="354"/>
      <tableStyleElement type="totalRow" dxfId="353"/>
      <tableStyleElement type="secondRowStripe" dxfId="352"/>
      <tableStyleElement type="secondSubtotalRow" dxfId="351"/>
    </tableStyle>
    <tableStyle name="Business Central Reports Slicer Style (Template)" pivot="0" table="0" count="10" xr9:uid="{CE2AB33F-1FF2-4E45-A425-481C2C9E0EAB}">
      <tableStyleElement type="wholeTable" dxfId="350"/>
      <tableStyleElement type="headerRow" dxfId="349"/>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1821175</xdr:colOff>
      <xdr:row>10</xdr:row>
      <xdr:rowOff>2055</xdr:rowOff>
    </xdr:to>
    <mc:AlternateContent xmlns:mc="http://schemas.openxmlformats.org/markup-compatibility/2006" xmlns:a14="http://schemas.microsoft.com/office/drawing/2010/main">
      <mc:Choice Requires="a14">
        <xdr:graphicFrame macro="">
          <xdr:nvGraphicFramePr>
            <xdr:cNvPr id="2" name="$No_Item$">
              <a:extLst>
                <a:ext uri="{FF2B5EF4-FFF2-40B4-BE49-F238E27FC236}">
                  <a16:creationId xmlns:a16="http://schemas.microsoft.com/office/drawing/2014/main" id="{B16DCAE1-E85E-26BF-0D2D-CC9F8A512CCB}"/>
                </a:ext>
              </a:extLst>
            </xdr:cNvPr>
            <xdr:cNvGraphicFramePr/>
          </xdr:nvGraphicFramePr>
          <xdr:xfrm>
            <a:off x="0" y="0"/>
            <a:ext cx="0" cy="0"/>
          </xdr:xfrm>
          <a:graphic>
            <a:graphicData uri="http://schemas.microsoft.com/office/drawing/2010/slicer">
              <sle:slicer xmlns:sle="http://schemas.microsoft.com/office/drawing/2010/slicer" name="$No_Item$"/>
            </a:graphicData>
          </a:graphic>
        </xdr:graphicFrame>
      </mc:Choice>
      <mc:Fallback xmlns="">
        <xdr:sp macro="" textlink="">
          <xdr:nvSpPr>
            <xdr:cNvPr id="0" name=""/>
            <xdr:cNvSpPr>
              <a:spLocks noTextEdit="1"/>
            </xdr:cNvSpPr>
          </xdr:nvSpPr>
          <xdr:spPr>
            <a:xfrm>
              <a:off x="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1878350</xdr:colOff>
      <xdr:row>0</xdr:row>
      <xdr:rowOff>0</xdr:rowOff>
    </xdr:from>
    <xdr:to>
      <xdr:col>0</xdr:col>
      <xdr:colOff>3696350</xdr:colOff>
      <xdr:row>10</xdr:row>
      <xdr:rowOff>2055</xdr:rowOff>
    </xdr:to>
    <mc:AlternateContent xmlns:mc="http://schemas.openxmlformats.org/markup-compatibility/2006" xmlns:a14="http://schemas.microsoft.com/office/drawing/2010/main">
      <mc:Choice Requires="a14">
        <xdr:graphicFrame macro="">
          <xdr:nvGraphicFramePr>
            <xdr:cNvPr id="3" name="$CustNameLabel$">
              <a:extLst>
                <a:ext uri="{FF2B5EF4-FFF2-40B4-BE49-F238E27FC236}">
                  <a16:creationId xmlns:a16="http://schemas.microsoft.com/office/drawing/2014/main" id="{4A211276-F0D5-D950-C5A0-0343A6693AA5}"/>
                </a:ext>
              </a:extLst>
            </xdr:cNvPr>
            <xdr:cNvGraphicFramePr/>
          </xdr:nvGraphicFramePr>
          <xdr:xfrm>
            <a:off x="0" y="0"/>
            <a:ext cx="0" cy="0"/>
          </xdr:xfrm>
          <a:graphic>
            <a:graphicData uri="http://schemas.microsoft.com/office/drawing/2010/slicer">
              <sle:slicer xmlns:sle="http://schemas.microsoft.com/office/drawing/2010/slicer" name="$CustNameLabel$"/>
            </a:graphicData>
          </a:graphic>
        </xdr:graphicFrame>
      </mc:Choice>
      <mc:Fallback xmlns="">
        <xdr:sp macro="" textlink="">
          <xdr:nvSpPr>
            <xdr:cNvPr id="0" name=""/>
            <xdr:cNvSpPr>
              <a:spLocks noTextEdit="1"/>
            </xdr:cNvSpPr>
          </xdr:nvSpPr>
          <xdr:spPr>
            <a:xfrm>
              <a:off x="1875175" y="0"/>
              <a:ext cx="1821175"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eline Soerjonoto" refreshedDate="46076.63392083333" createdVersion="8" refreshedVersion="8" minRefreshableVersion="3" recordCount="1" xr:uid="{5AFCF433-3871-4BBA-8440-569122CBD6E3}">
  <cacheSource type="worksheet">
    <worksheetSource name="InventoryCustomerSales_Query"/>
  </cacheSource>
  <cacheFields count="11">
    <cacheField name="No_Item" numFmtId="0">
      <sharedItems count="1">
        <s v=""/>
      </sharedItems>
    </cacheField>
    <cacheField name="Description_Item" numFmtId="0">
      <sharedItems count="1">
        <s v=""/>
      </sharedItems>
    </cacheField>
    <cacheField name="BaseUnitofMeasure_Item" numFmtId="0">
      <sharedItems count="1">
        <s v=""/>
      </sharedItems>
    </cacheField>
    <cacheField name="SourceNo_ItemLedgEntry" numFmtId="0">
      <sharedItems count="1">
        <s v=""/>
      </sharedItems>
    </cacheField>
    <cacheField name="CustName" numFmtId="0">
      <sharedItems count="1">
        <s v=""/>
      </sharedItems>
    </cacheField>
    <cacheField name="InvQty_ItemLedgEntry" numFmtId="0">
      <sharedItems containsSemiMixedTypes="0" containsString="0" containsNumber="1" containsInteger="1" minValue="0" maxValue="0" count="1">
        <n v="0"/>
      </sharedItems>
    </cacheField>
    <cacheField name="SalesAmtActual_ItemLedgEntry" numFmtId="0">
      <sharedItems containsSemiMixedTypes="0" containsString="0" containsNumber="1" containsInteger="1" minValue="0" maxValue="0"/>
    </cacheField>
    <cacheField name="Profit_ItemLedgEntry" numFmtId="0">
      <sharedItems containsSemiMixedTypes="0" containsString="0" containsNumber="1" containsInteger="1" minValue="0" maxValue="0"/>
    </cacheField>
    <cacheField name="ProfitPct_ItemLedgEntry" numFmtId="0">
      <sharedItems containsSemiMixedTypes="0" containsString="0" containsNumber="1" containsInteger="1" minValue="0" maxValue="0" count="1">
        <n v="0"/>
      </sharedItems>
    </cacheField>
    <cacheField name="DiscountAmount" numFmtId="0">
      <sharedItems containsSemiMixedTypes="0" containsString="0" containsNumber="1" containsInteger="1" minValue="0" maxValue="0"/>
    </cacheField>
    <cacheField name="CalculatedProfit" numFmtId="0" formula="Profit_ItemLedgEntry/SalesAmtActual_ItemLedgEntry* 100" databaseField="0"/>
  </cacheFields>
  <extLst>
    <ext xmlns:x14="http://schemas.microsoft.com/office/spreadsheetml/2009/9/main" uri="{725AE2AE-9491-48be-B2B4-4EB974FC3084}">
      <x14:pivotCacheDefinition pivotCacheId="350806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n v="0"/>
    <n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233FAE-2FCB-4309-8C1B-A2196CF68A38}" name="PivotTable1" cacheId="64" applyNumberFormats="0" applyBorderFormats="0" applyFontFormats="0" applyPatternFormats="0" applyAlignmentFormats="0" applyWidthHeightFormats="1" dataCaption="Values" errorCaption="0" showError="1" updatedVersion="8" minRefreshableVersion="3" showDrill="0" itemPrintTitles="1" createdVersion="8" indent="0" compact="0" compactData="0" multipleFieldFilters="0">
  <location ref="B7:K10" firstHeaderRow="0" firstDataRow="1" firstDataCol="5"/>
  <pivotFields count="11">
    <pivotField name="$No_Item$" axis="axisRow" compact="0" outline="0" showAll="0" defaultSubtotal="0">
      <items count="1">
        <item x="0"/>
      </items>
    </pivotField>
    <pivotField name="$Description_Item$" axis="axisRow" compact="0" outline="0" showAll="0">
      <items count="2">
        <item x="0"/>
        <item t="default"/>
      </items>
    </pivotField>
    <pivotField name="$BaseUnitofMeasure_Item$" axis="axisRow" compact="0" outline="0" showAll="0" defaultSubtotal="0">
      <items count="1">
        <item x="0"/>
      </items>
    </pivotField>
    <pivotField name="$CustomerNoLbl$" axis="axisRow" compact="0" outline="0" showAll="0" defaultSubtotal="0">
      <items count="1">
        <item x="0"/>
      </items>
    </pivotField>
    <pivotField name="$CustNameLbl$" axis="axisRow" compact="0" outline="0" showAll="0" defaultSubtotal="0">
      <items count="1">
        <item x="0"/>
      </items>
    </pivotField>
    <pivotField name="InvQty_ItemLedgEntry" dataField="1" compact="0" outline="0" showAll="0" defaultSubtotal="0">
      <items count="1">
        <item x="0"/>
      </items>
    </pivotField>
    <pivotField dataField="1" compact="0" outline="0" showAll="0" defaultSubtotal="0"/>
    <pivotField dataField="1" compact="0" outline="0" showAll="0" defaultSubtotal="0"/>
    <pivotField name="ProfitPct_ItemLedgEntry" compact="0" outline="0" subtotalTop="0" showAll="0" defaultSubtotal="0">
      <items count="1">
        <item x="0"/>
      </items>
    </pivotField>
    <pivotField dataField="1" compact="0" outline="0" showAll="0" defaultSubtotal="0"/>
    <pivotField dataField="1" compact="0" outline="0" subtotalTop="0" dragToRow="0" dragToCol="0" dragToPage="0" showAll="0" defaultSubtotal="0"/>
  </pivotFields>
  <rowFields count="5">
    <field x="0"/>
    <field x="1"/>
    <field x="2"/>
    <field x="3"/>
    <field x="4"/>
  </rowFields>
  <rowItems count="3">
    <i>
      <x/>
      <x/>
      <x/>
      <x/>
      <x/>
    </i>
    <i t="default" r="1">
      <x/>
    </i>
    <i t="grand">
      <x/>
    </i>
  </rowItems>
  <colFields count="1">
    <field x="-2"/>
  </colFields>
  <colItems count="5">
    <i>
      <x/>
    </i>
    <i i="1">
      <x v="1"/>
    </i>
    <i i="2">
      <x v="2"/>
    </i>
    <i i="3">
      <x v="3"/>
    </i>
    <i i="4">
      <x v="4"/>
    </i>
  </colItems>
  <dataFields count="5">
    <dataField name="$InvQtyLbl$" fld="5" baseField="1" baseItem="0"/>
    <dataField name="$SalesAmtActual_ItemLedgEntry$" fld="6" baseField="0" baseItem="0"/>
    <dataField name="$DiscountAmtLbl$" fld="9" baseField="0" baseItem="0"/>
    <dataField name="$ProfitLbl$" fld="7" baseField="0" baseItem="0"/>
    <dataField name="$ProfitPctLbl$" fld="10" baseField="4" baseItem="0" numFmtId="167"/>
  </dataFields>
  <formats count="65">
    <format dxfId="348">
      <pivotArea outline="0" fieldPosition="0">
        <references count="6">
          <reference field="4294967294" count="1" selected="0">
            <x v="1"/>
          </reference>
          <reference field="0" count="0" selected="0"/>
          <reference field="1" count="0" selected="0"/>
          <reference field="2" count="0" selected="0"/>
          <reference field="3" count="0" selected="0"/>
          <reference field="4" count="0" selected="0"/>
        </references>
      </pivotArea>
    </format>
    <format dxfId="347">
      <pivotArea dataOnly="0" labelOnly="1" outline="0" fieldPosition="0">
        <references count="1">
          <reference field="4294967294" count="1">
            <x v="1"/>
          </reference>
        </references>
      </pivotArea>
    </format>
    <format dxfId="346">
      <pivotArea dataOnly="0" labelOnly="1" outline="0" fieldPosition="0">
        <references count="1">
          <reference field="4294967294" count="1">
            <x v="3"/>
          </reference>
        </references>
      </pivotArea>
    </format>
    <format dxfId="345">
      <pivotArea dataOnly="0" labelOnly="1" outline="0" fieldPosition="0">
        <references count="1">
          <reference field="4294967294" count="1">
            <x v="2"/>
          </reference>
        </references>
      </pivotArea>
    </format>
    <format dxfId="344">
      <pivotArea outline="0" fieldPosition="0">
        <references count="6">
          <reference field="4294967294" count="1" selected="0">
            <x v="1"/>
          </reference>
          <reference field="0" count="0" selected="0"/>
          <reference field="1" count="0" selected="0"/>
          <reference field="2" count="0" selected="0"/>
          <reference field="3" count="0" selected="0"/>
          <reference field="4" count="0" selected="0"/>
        </references>
      </pivotArea>
    </format>
    <format dxfId="343">
      <pivotArea outline="0" fieldPosition="0">
        <references count="6">
          <reference field="4294967294" count="1" selected="0">
            <x v="2"/>
          </reference>
          <reference field="0" count="0" selected="0"/>
          <reference field="1" count="0" selected="0"/>
          <reference field="2" count="0" selected="0"/>
          <reference field="3" count="0" selected="0"/>
          <reference field="4" count="0" selected="0"/>
        </references>
      </pivotArea>
    </format>
    <format dxfId="342">
      <pivotArea outline="0" fieldPosition="0">
        <references count="6">
          <reference field="4294967294" count="1" selected="0">
            <x v="3"/>
          </reference>
          <reference field="0" count="0" selected="0"/>
          <reference field="1" count="0" selected="0"/>
          <reference field="2" count="0" selected="0"/>
          <reference field="3" count="0" selected="0"/>
          <reference field="4" count="0" selected="0"/>
        </references>
      </pivotArea>
    </format>
    <format dxfId="341">
      <pivotArea outline="0" collapsedLevelsAreSubtotals="1" fieldPosition="0"/>
    </format>
    <format dxfId="340">
      <pivotArea field="1" type="button" dataOnly="0" labelOnly="1" outline="0" axis="axisRow" fieldPosition="1"/>
    </format>
    <format dxfId="339">
      <pivotArea field="2" type="button" dataOnly="0" labelOnly="1" outline="0" axis="axisRow" fieldPosition="2"/>
    </format>
    <format dxfId="338">
      <pivotArea field="3" type="button" dataOnly="0" labelOnly="1" outline="0" axis="axisRow" fieldPosition="3"/>
    </format>
    <format dxfId="337">
      <pivotArea field="4" type="button" dataOnly="0" labelOnly="1" outline="0" axis="axisRow" fieldPosition="4"/>
    </format>
    <format dxfId="336">
      <pivotArea dataOnly="0" labelOnly="1" outline="0" fieldPosition="0">
        <references count="5">
          <reference field="0" count="0" selected="0"/>
          <reference field="1" count="0" selected="0"/>
          <reference field="2" count="0" selected="0"/>
          <reference field="3" count="0" selected="0"/>
          <reference field="4" count="0"/>
        </references>
      </pivotArea>
    </format>
    <format dxfId="335">
      <pivotArea dataOnly="0" labelOnly="1" outline="0" fieldPosition="0">
        <references count="4">
          <reference field="0" count="0" selected="0"/>
          <reference field="1" count="0" selected="0"/>
          <reference field="2" count="0" selected="0"/>
          <reference field="3" count="0"/>
        </references>
      </pivotArea>
    </format>
    <format dxfId="334">
      <pivotArea dataOnly="0" labelOnly="1" outline="0" fieldPosition="0">
        <references count="3">
          <reference field="0" count="0" selected="0"/>
          <reference field="1" count="0" selected="0"/>
          <reference field="2" count="0"/>
        </references>
      </pivotArea>
    </format>
    <format dxfId="333">
      <pivotArea dataOnly="0" labelOnly="1" outline="0" fieldPosition="0">
        <references count="2">
          <reference field="0" count="0" selected="0"/>
          <reference field="1" count="0"/>
        </references>
      </pivotArea>
    </format>
    <format dxfId="332">
      <pivotArea dataOnly="0" labelOnly="1" outline="0" fieldPosition="0">
        <references count="1">
          <reference field="0" count="0"/>
        </references>
      </pivotArea>
    </format>
    <format dxfId="331">
      <pivotArea dataOnly="0" labelOnly="1" grandRow="1" outline="0" fieldPosition="0"/>
    </format>
    <format dxfId="330">
      <pivotArea grandRow="1" outline="0" collapsedLevelsAreSubtotals="1" fieldPosition="0"/>
    </format>
    <format dxfId="329">
      <pivotArea field="0" type="button" dataOnly="0" labelOnly="1" outline="0" axis="axisRow" fieldPosition="0"/>
    </format>
    <format dxfId="328">
      <pivotArea field="0" type="button" dataOnly="0" labelOnly="1" outline="0" axis="axisRow" fieldPosition="0"/>
    </format>
    <format dxfId="327">
      <pivotArea field="0" type="button" dataOnly="0" labelOnly="1" outline="0" axis="axisRow" fieldPosition="0"/>
    </format>
    <format dxfId="326">
      <pivotArea field="5" type="button" dataOnly="0" labelOnly="1" outline="0"/>
    </format>
    <format dxfId="325">
      <pivotArea field="8" type="button" dataOnly="0" labelOnly="1" outline="0"/>
    </format>
    <format dxfId="324">
      <pivotArea dataOnly="0" labelOnly="1" grandRow="1" outline="0" fieldPosition="0"/>
    </format>
    <format dxfId="323">
      <pivotArea field="0" grandRow="1" outline="0" axis="axisRow" fieldPosition="0">
        <references count="1">
          <reference field="4294967294" count="1" selected="0">
            <x v="1"/>
          </reference>
        </references>
      </pivotArea>
    </format>
    <format dxfId="322">
      <pivotArea field="0" grandRow="1" outline="0" axis="axisRow" fieldPosition="0">
        <references count="1">
          <reference field="4294967294" count="1" selected="0">
            <x v="2"/>
          </reference>
        </references>
      </pivotArea>
    </format>
    <format dxfId="321">
      <pivotArea dataOnly="0" labelOnly="1" outline="0" fieldPosition="0">
        <references count="1">
          <reference field="0" count="0"/>
        </references>
      </pivotArea>
    </format>
    <format dxfId="320">
      <pivotArea field="0" grandRow="1" outline="0" axis="axisRow" fieldPosition="0">
        <references count="1">
          <reference field="4294967294" count="2" selected="0">
            <x v="1"/>
            <x v="2"/>
          </reference>
        </references>
      </pivotArea>
    </format>
    <format dxfId="319">
      <pivotArea field="0" grandRow="1" outline="0" axis="axisRow" fieldPosition="0">
        <references count="1">
          <reference field="4294967294" count="1" selected="0">
            <x v="3"/>
          </reference>
        </references>
      </pivotArea>
    </format>
    <format dxfId="318">
      <pivotArea field="0" grandRow="1" outline="0" axis="axisRow" fieldPosition="0">
        <references count="1">
          <reference field="4294967294" count="1" selected="0">
            <x v="2"/>
          </reference>
        </references>
      </pivotArea>
    </format>
    <format dxfId="317">
      <pivotArea field="0" grandRow="1" outline="0" axis="axisRow" fieldPosition="0">
        <references count="1">
          <reference field="4294967294" count="1" selected="0">
            <x v="1"/>
          </reference>
        </references>
      </pivotArea>
    </format>
    <format dxfId="316">
      <pivotArea dataOnly="0" labelOnly="1" grandRow="1" outline="0" fieldPosition="0"/>
    </format>
    <format dxfId="315">
      <pivotArea field="0" grandRow="1" outline="0" axis="axisRow" fieldPosition="0">
        <references count="1">
          <reference field="4294967294" count="1" selected="0">
            <x v="3"/>
          </reference>
        </references>
      </pivotArea>
    </format>
    <format dxfId="314">
      <pivotArea field="0" grandRow="1" outline="0" axis="axisRow" fieldPosition="0">
        <references count="1">
          <reference field="4294967294" count="1" selected="0">
            <x v="1"/>
          </reference>
        </references>
      </pivotArea>
    </format>
    <format dxfId="313">
      <pivotArea field="0" grandRow="1" outline="0" axis="axisRow" fieldPosition="0">
        <references count="1">
          <reference field="4294967294" count="1" selected="0">
            <x v="2"/>
          </reference>
        </references>
      </pivotArea>
    </format>
    <format dxfId="312">
      <pivotArea field="0" grandRow="1" outline="0" axis="axisRow" fieldPosition="0">
        <references count="1">
          <reference field="4294967294" count="1" selected="0">
            <x v="3"/>
          </reference>
        </references>
      </pivotArea>
    </format>
    <format dxfId="311">
      <pivotArea outline="0" fieldPosition="0">
        <references count="2">
          <reference field="0" count="0" selected="0"/>
          <reference field="1" count="0" selected="0" defaultSubtotal="1"/>
        </references>
      </pivotArea>
    </format>
    <format dxfId="310">
      <pivotArea dataOnly="0" labelOnly="1" outline="0" fieldPosition="0">
        <references count="1">
          <reference field="0" count="0"/>
        </references>
      </pivotArea>
    </format>
    <format dxfId="309">
      <pivotArea dataOnly="0" labelOnly="1" outline="0" fieldPosition="0">
        <references count="2">
          <reference field="0" count="0" selected="0"/>
          <reference field="1" count="0" defaultSubtotal="1"/>
        </references>
      </pivotArea>
    </format>
    <format dxfId="308">
      <pivotArea outline="0" fieldPosition="0">
        <references count="1">
          <reference field="4294967294" count="1" selected="0">
            <x v="4"/>
          </reference>
        </references>
      </pivotArea>
    </format>
    <format dxfId="307">
      <pivotArea dataOnly="0" labelOnly="1" outline="0" fieldPosition="0">
        <references count="1">
          <reference field="4294967294" count="1">
            <x v="4"/>
          </reference>
        </references>
      </pivotArea>
    </format>
    <format dxfId="306">
      <pivotArea dataOnly="0" labelOnly="1" outline="0" fieldPosition="0">
        <references count="1">
          <reference field="4294967294" count="1">
            <x v="4"/>
          </reference>
        </references>
      </pivotArea>
    </format>
    <format dxfId="305">
      <pivotArea outline="0" fieldPosition="0">
        <references count="3">
          <reference field="4294967294" count="1" selected="0">
            <x v="4"/>
          </reference>
          <reference field="0" count="0" selected="0"/>
          <reference field="1" count="0" selected="0" defaultSubtotal="1"/>
        </references>
      </pivotArea>
    </format>
    <format dxfId="304">
      <pivotArea dataOnly="0" labelOnly="1" outline="0" fieldPosition="0">
        <references count="1">
          <reference field="4294967294" count="1">
            <x v="4"/>
          </reference>
        </references>
      </pivotArea>
    </format>
    <format dxfId="303">
      <pivotArea dataOnly="0" labelOnly="1" outline="0" fieldPosition="0">
        <references count="1">
          <reference field="4294967294" count="1">
            <x v="0"/>
          </reference>
        </references>
      </pivotArea>
    </format>
    <format dxfId="302">
      <pivotArea dataOnly="0" labelOnly="1" outline="0" fieldPosition="0">
        <references count="1">
          <reference field="4294967294" count="1">
            <x v="0"/>
          </reference>
        </references>
      </pivotArea>
    </format>
    <format dxfId="301">
      <pivotArea dataOnly="0" labelOnly="1" outline="0" fieldPosition="0">
        <references count="1">
          <reference field="4294967294" count="1">
            <x v="4"/>
          </reference>
        </references>
      </pivotArea>
    </format>
    <format dxfId="300">
      <pivotArea dataOnly="0" labelOnly="1" outline="0" fieldPosition="0">
        <references count="1">
          <reference field="4294967294" count="1">
            <x v="0"/>
          </reference>
        </references>
      </pivotArea>
    </format>
    <format dxfId="299">
      <pivotArea dataOnly="0" labelOnly="1" outline="0" fieldPosition="0">
        <references count="1">
          <reference field="4294967294" count="1">
            <x v="0"/>
          </reference>
        </references>
      </pivotArea>
    </format>
    <format dxfId="298">
      <pivotArea outline="0" fieldPosition="0">
        <references count="2">
          <reference field="0" count="0" selected="0"/>
          <reference field="1" count="0" selected="0" defaultSubtotal="1"/>
        </references>
      </pivotArea>
    </format>
    <format dxfId="297">
      <pivotArea dataOnly="0" labelOnly="1" outline="0" fieldPosition="0">
        <references count="2">
          <reference field="0" count="0" selected="0"/>
          <reference field="1" count="0" defaultSubtotal="1"/>
        </references>
      </pivotArea>
    </format>
    <format dxfId="296">
      <pivotArea outline="0" fieldPosition="0">
        <references count="5">
          <reference field="0" count="0" selected="0"/>
          <reference field="1" count="0" selected="0"/>
          <reference field="2" count="0" selected="0"/>
          <reference field="3" count="0" selected="0"/>
          <reference field="4" count="0" selected="0"/>
        </references>
      </pivotArea>
    </format>
    <format dxfId="295">
      <pivotArea dataOnly="0" labelOnly="1" outline="0" fieldPosition="0">
        <references count="1">
          <reference field="0" count="0"/>
        </references>
      </pivotArea>
    </format>
    <format dxfId="294">
      <pivotArea dataOnly="0" labelOnly="1" outline="0" fieldPosition="0">
        <references count="2">
          <reference field="0" count="0" selected="0"/>
          <reference field="1" count="0"/>
        </references>
      </pivotArea>
    </format>
    <format dxfId="293">
      <pivotArea dataOnly="0" labelOnly="1" outline="0" fieldPosition="0">
        <references count="3">
          <reference field="0" count="0" selected="0"/>
          <reference field="1" count="0" selected="0"/>
          <reference field="2" count="0"/>
        </references>
      </pivotArea>
    </format>
    <format dxfId="292">
      <pivotArea dataOnly="0" labelOnly="1" outline="0" fieldPosition="0">
        <references count="4">
          <reference field="0" count="0" selected="0"/>
          <reference field="1" count="0" selected="0"/>
          <reference field="2" count="0" selected="0"/>
          <reference field="3" count="0"/>
        </references>
      </pivotArea>
    </format>
    <format dxfId="291">
      <pivotArea dataOnly="0" labelOnly="1" outline="0" fieldPosition="0">
        <references count="5">
          <reference field="0" count="0" selected="0"/>
          <reference field="1" count="0" selected="0"/>
          <reference field="2" count="0" selected="0"/>
          <reference field="3" count="0" selected="0"/>
          <reference field="4" count="0"/>
        </references>
      </pivotArea>
    </format>
    <format dxfId="290">
      <pivotArea outline="0" fieldPosition="0">
        <references count="1">
          <reference field="4294967294" count="1">
            <x v="4"/>
          </reference>
        </references>
      </pivotArea>
    </format>
    <format dxfId="289">
      <pivotArea outline="0" fieldPosition="0">
        <references count="2">
          <reference field="0" count="0" selected="0"/>
          <reference field="1" count="0" selected="0" defaultSubtotal="1"/>
        </references>
      </pivotArea>
    </format>
    <format dxfId="288">
      <pivotArea dataOnly="0" labelOnly="1" outline="0" fieldPosition="0">
        <references count="1">
          <reference field="0" count="0"/>
        </references>
      </pivotArea>
    </format>
    <format dxfId="287">
      <pivotArea dataOnly="0" labelOnly="1" outline="0" fieldPosition="0">
        <references count="2">
          <reference field="0" count="0" selected="0"/>
          <reference field="1" count="0" defaultSubtotal="1"/>
        </references>
      </pivotArea>
    </format>
    <format dxfId="286">
      <pivotArea grandRow="1" outline="0" collapsedLevelsAreSubtotals="1" fieldPosition="0"/>
    </format>
    <format dxfId="285">
      <pivotArea dataOnly="0" labelOnly="1" outline="0" fieldPosition="0">
        <references count="1">
          <reference field="0" count="0"/>
        </references>
      </pivotArea>
    </format>
    <format dxfId="284">
      <pivotArea outline="0" fieldPosition="0">
        <references count="5">
          <reference field="0" count="0" selected="0"/>
          <reference field="1" count="0" selected="0"/>
          <reference field="2" count="0" selected="0"/>
          <reference field="3" count="0" selected="0"/>
          <reference field="4" count="0" selected="0"/>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87101B-D324-4715-8E8E-84928FDC1BDF}" name="PivotTable1" cacheId="64" applyNumberFormats="0" applyBorderFormats="0" applyFontFormats="0" applyPatternFormats="0" applyAlignmentFormats="0" applyWidthHeightFormats="1" dataCaption="Values" errorCaption="0" showError="1" updatedVersion="8" minRefreshableVersion="3" showDrill="0" itemPrintTitles="1" createdVersion="8" indent="0" compact="0" compactData="0" multipleFieldFilters="0">
  <location ref="B1:K4" firstHeaderRow="0" firstDataRow="1" firstDataCol="5"/>
  <pivotFields count="11">
    <pivotField name="$No_Item$" axis="axisRow" compact="0" outline="0" showAll="0" defaultSubtotal="0">
      <items count="1">
        <item x="0"/>
      </items>
    </pivotField>
    <pivotField name="$Description_Item$" axis="axisRow" compact="0" outline="0" showAll="0">
      <items count="2">
        <item x="0"/>
        <item t="default"/>
      </items>
    </pivotField>
    <pivotField name="$BaseUnitofMeasure_Item$" axis="axisRow" compact="0" outline="0" showAll="0" defaultSubtotal="0">
      <items count="1">
        <item x="0"/>
      </items>
    </pivotField>
    <pivotField name="$CustomerNoLbl$" axis="axisRow" compact="0" outline="0" showAll="0" defaultSubtotal="0">
      <items count="1">
        <item x="0"/>
      </items>
    </pivotField>
    <pivotField name="$CustNameLbl$" axis="axisRow" compact="0" outline="0" showAll="0" defaultSubtotal="0">
      <items count="1">
        <item x="0"/>
      </items>
    </pivotField>
    <pivotField name="InvQty_ItemLedgEntry" dataField="1" compact="0" outline="0" showAll="0" defaultSubtotal="0">
      <items count="1">
        <item x="0"/>
      </items>
    </pivotField>
    <pivotField dataField="1" compact="0" outline="0" showAll="0" defaultSubtotal="0"/>
    <pivotField dataField="1" compact="0" outline="0" showAll="0" defaultSubtotal="0"/>
    <pivotField name="ProfitPct_ItemLedgEntry" compact="0" outline="0" subtotalTop="0" showAll="0" defaultSubtotal="0">
      <items count="1">
        <item x="0"/>
      </items>
    </pivotField>
    <pivotField dataField="1" compact="0" outline="0" showAll="0" defaultSubtotal="0"/>
    <pivotField dataField="1" compact="0" outline="0" subtotalTop="0" dragToRow="0" dragToCol="0" dragToPage="0" showAll="0" defaultSubtotal="0"/>
  </pivotFields>
  <rowFields count="5">
    <field x="0"/>
    <field x="1"/>
    <field x="2"/>
    <field x="3"/>
    <field x="4"/>
  </rowFields>
  <rowItems count="3">
    <i>
      <x/>
      <x/>
      <x/>
      <x/>
      <x/>
    </i>
    <i t="default" r="1">
      <x/>
    </i>
    <i t="grand">
      <x/>
    </i>
  </rowItems>
  <colFields count="1">
    <field x="-2"/>
  </colFields>
  <colItems count="5">
    <i>
      <x/>
    </i>
    <i i="1">
      <x v="1"/>
    </i>
    <i i="2">
      <x v="2"/>
    </i>
    <i i="3">
      <x v="3"/>
    </i>
    <i i="4">
      <x v="4"/>
    </i>
  </colItems>
  <dataFields count="5">
    <dataField name="$InvQtyLbl$" fld="5" baseField="8" baseItem="0"/>
    <dataField name="$SalesAmtActual_ItemLedgEntry$" fld="6" baseField="0" baseItem="0"/>
    <dataField name="$DiscountAmtLbl$" fld="9" baseField="0" baseItem="0"/>
    <dataField name="$ProfitLbl$" fld="7" baseField="8" baseItem="0" numFmtId="167"/>
    <dataField name="$ProfitPctLbl$" fld="10" baseField="1" baseItem="0" numFmtId="167"/>
  </dataFields>
  <formats count="70">
    <format dxfId="283">
      <pivotArea outline="0" fieldPosition="0">
        <references count="6">
          <reference field="4294967294" count="1" selected="0">
            <x v="1"/>
          </reference>
          <reference field="0" count="0" selected="0"/>
          <reference field="1" count="0" selected="0"/>
          <reference field="2" count="0" selected="0"/>
          <reference field="3" count="0" selected="0"/>
          <reference field="4" count="0" selected="0"/>
        </references>
      </pivotArea>
    </format>
    <format dxfId="282">
      <pivotArea dataOnly="0" labelOnly="1" outline="0" fieldPosition="0">
        <references count="1">
          <reference field="4294967294" count="1">
            <x v="1"/>
          </reference>
        </references>
      </pivotArea>
    </format>
    <format dxfId="281">
      <pivotArea dataOnly="0" labelOnly="1" outline="0" fieldPosition="0">
        <references count="1">
          <reference field="4294967294" count="1">
            <x v="3"/>
          </reference>
        </references>
      </pivotArea>
    </format>
    <format dxfId="280">
      <pivotArea dataOnly="0" labelOnly="1" outline="0" fieldPosition="0">
        <references count="1">
          <reference field="4294967294" count="1">
            <x v="2"/>
          </reference>
        </references>
      </pivotArea>
    </format>
    <format dxfId="279">
      <pivotArea outline="0" fieldPosition="0">
        <references count="6">
          <reference field="4294967294" count="1" selected="0">
            <x v="1"/>
          </reference>
          <reference field="0" count="0" selected="0"/>
          <reference field="1" count="0" selected="0"/>
          <reference field="2" count="0" selected="0"/>
          <reference field="3" count="0" selected="0"/>
          <reference field="4" count="0" selected="0"/>
        </references>
      </pivotArea>
    </format>
    <format dxfId="278">
      <pivotArea outline="0" fieldPosition="0">
        <references count="6">
          <reference field="4294967294" count="1" selected="0">
            <x v="2"/>
          </reference>
          <reference field="0" count="0" selected="0"/>
          <reference field="1" count="0" selected="0"/>
          <reference field="2" count="0" selected="0"/>
          <reference field="3" count="0" selected="0"/>
          <reference field="4" count="0" selected="0"/>
        </references>
      </pivotArea>
    </format>
    <format dxfId="277">
      <pivotArea outline="0" fieldPosition="0">
        <references count="6">
          <reference field="4294967294" count="1" selected="0">
            <x v="3"/>
          </reference>
          <reference field="0" count="0" selected="0"/>
          <reference field="1" count="0" selected="0"/>
          <reference field="2" count="0" selected="0"/>
          <reference field="3" count="0" selected="0"/>
          <reference field="4" count="0" selected="0"/>
        </references>
      </pivotArea>
    </format>
    <format dxfId="276">
      <pivotArea outline="0" collapsedLevelsAreSubtotals="1" fieldPosition="0"/>
    </format>
    <format dxfId="275">
      <pivotArea field="0" type="button" dataOnly="0" labelOnly="1" outline="0" axis="axisRow" fieldPosition="0"/>
    </format>
    <format dxfId="274">
      <pivotArea field="1" type="button" dataOnly="0" labelOnly="1" outline="0" axis="axisRow" fieldPosition="1"/>
    </format>
    <format dxfId="273">
      <pivotArea field="2" type="button" dataOnly="0" labelOnly="1" outline="0" axis="axisRow" fieldPosition="2"/>
    </format>
    <format dxfId="272">
      <pivotArea field="3" type="button" dataOnly="0" labelOnly="1" outline="0" axis="axisRow" fieldPosition="3"/>
    </format>
    <format dxfId="271">
      <pivotArea field="4" type="button" dataOnly="0" labelOnly="1" outline="0" axis="axisRow" fieldPosition="4"/>
    </format>
    <format dxfId="270">
      <pivotArea dataOnly="0" labelOnly="1" outline="0" fieldPosition="0">
        <references count="5">
          <reference field="0" count="0" selected="0"/>
          <reference field="1" count="0" selected="0"/>
          <reference field="2" count="0" selected="0"/>
          <reference field="3" count="0" selected="0"/>
          <reference field="4" count="0"/>
        </references>
      </pivotArea>
    </format>
    <format dxfId="269">
      <pivotArea field="0" type="button" dataOnly="0" labelOnly="1" outline="0" axis="axisRow" fieldPosition="0"/>
    </format>
    <format dxfId="268">
      <pivotArea field="1" type="button" dataOnly="0" labelOnly="1" outline="0" axis="axisRow" fieldPosition="1"/>
    </format>
    <format dxfId="267">
      <pivotArea field="2" type="button" dataOnly="0" labelOnly="1" outline="0" axis="axisRow" fieldPosition="2"/>
    </format>
    <format dxfId="266">
      <pivotArea field="3" type="button" dataOnly="0" labelOnly="1" outline="0" axis="axisRow" fieldPosition="3"/>
    </format>
    <format dxfId="265">
      <pivotArea field="4" type="button" dataOnly="0" labelOnly="1" outline="0" axis="axisRow" fieldPosition="4"/>
    </format>
    <format dxfId="264">
      <pivotArea dataOnly="0" labelOnly="1" outline="0" fieldPosition="0">
        <references count="1">
          <reference field="0" count="0"/>
        </references>
      </pivotArea>
    </format>
    <format dxfId="263">
      <pivotArea dataOnly="0" labelOnly="1" outline="0" fieldPosition="0">
        <references count="2">
          <reference field="0" count="0" selected="0"/>
          <reference field="1" count="0"/>
        </references>
      </pivotArea>
    </format>
    <format dxfId="262">
      <pivotArea dataOnly="0" labelOnly="1" outline="0" fieldPosition="0">
        <references count="3">
          <reference field="0" count="0" selected="0"/>
          <reference field="1" count="0" selected="0"/>
          <reference field="2" count="0"/>
        </references>
      </pivotArea>
    </format>
    <format dxfId="261">
      <pivotArea dataOnly="0" labelOnly="1" outline="0" fieldPosition="0">
        <references count="4">
          <reference field="0" count="0" selected="0"/>
          <reference field="1" count="0" selected="0"/>
          <reference field="2" count="0" selected="0"/>
          <reference field="3" count="0"/>
        </references>
      </pivotArea>
    </format>
    <format dxfId="260">
      <pivotArea dataOnly="0" labelOnly="1" grandRow="1" outline="0" fieldPosition="0"/>
    </format>
    <format dxfId="259">
      <pivotArea field="5" type="button" dataOnly="0" labelOnly="1" outline="0"/>
    </format>
    <format dxfId="258">
      <pivotArea dataOnly="0" labelOnly="1" grandRow="1" outline="0" fieldPosition="0"/>
    </format>
    <format dxfId="257">
      <pivotArea field="8" type="button" dataOnly="0" labelOnly="1" outline="0"/>
    </format>
    <format dxfId="256">
      <pivotArea field="8" type="button" dataOnly="0" labelOnly="1" outline="0"/>
    </format>
    <format dxfId="255">
      <pivotArea field="5" type="button" dataOnly="0" labelOnly="1" outline="0"/>
    </format>
    <format dxfId="254">
      <pivotArea field="0" grandRow="1" outline="0" axis="axisRow" fieldPosition="0">
        <references count="1">
          <reference field="4294967294" count="1" selected="0">
            <x v="3"/>
          </reference>
        </references>
      </pivotArea>
    </format>
    <format dxfId="253">
      <pivotArea field="0" grandRow="1" outline="0" axis="axisRow" fieldPosition="0">
        <references count="1">
          <reference field="4294967294" count="1" selected="0">
            <x v="3"/>
          </reference>
        </references>
      </pivotArea>
    </format>
    <format dxfId="252">
      <pivotArea field="0" grandRow="1" outline="0" axis="axisRow" fieldPosition="0">
        <references count="1">
          <reference field="4294967294" count="1" selected="0">
            <x v="3"/>
          </reference>
        </references>
      </pivotArea>
    </format>
    <format dxfId="251">
      <pivotArea dataOnly="0" labelOnly="1" grandRow="1" outline="0" fieldPosition="0"/>
    </format>
    <format dxfId="250">
      <pivotArea field="0" grandRow="1" outline="0" axis="axisRow" fieldPosition="0">
        <references count="1">
          <reference field="4294967294" count="2" selected="0">
            <x v="1"/>
            <x v="2"/>
          </reference>
        </references>
      </pivotArea>
    </format>
    <format dxfId="249">
      <pivotArea field="0" grandRow="1" outline="0" axis="axisRow" fieldPosition="0">
        <references count="1">
          <reference field="4294967294" count="1" selected="0">
            <x v="1"/>
          </reference>
        </references>
      </pivotArea>
    </format>
    <format dxfId="248">
      <pivotArea field="0" grandRow="1" outline="0" axis="axisRow" fieldPosition="0">
        <references count="1">
          <reference field="4294967294" count="1" selected="0">
            <x v="2"/>
          </reference>
        </references>
      </pivotArea>
    </format>
    <format dxfId="247">
      <pivotArea dataOnly="0" labelOnly="1" grandRow="1" outline="0" fieldPosition="0"/>
    </format>
    <format dxfId="246">
      <pivotArea outline="0" fieldPosition="0">
        <references count="2">
          <reference field="0" count="0" selected="0"/>
          <reference field="1" count="0" selected="0" defaultSubtotal="1"/>
        </references>
      </pivotArea>
    </format>
    <format dxfId="245">
      <pivotArea dataOnly="0" labelOnly="1" outline="0" fieldPosition="0">
        <references count="1">
          <reference field="0" count="0"/>
        </references>
      </pivotArea>
    </format>
    <format dxfId="244">
      <pivotArea dataOnly="0" labelOnly="1" outline="0" fieldPosition="0">
        <references count="2">
          <reference field="0" count="0" selected="0"/>
          <reference field="1" count="0" defaultSubtotal="1"/>
        </references>
      </pivotArea>
    </format>
    <format dxfId="243">
      <pivotArea dataOnly="0" labelOnly="1" outline="0" fieldPosition="0">
        <references count="1">
          <reference field="4294967294" count="1">
            <x v="0"/>
          </reference>
        </references>
      </pivotArea>
    </format>
    <format dxfId="242">
      <pivotArea outline="0" fieldPosition="0">
        <references count="2">
          <reference field="0" count="0" selected="0"/>
          <reference field="1" count="0" selected="0" defaultSubtotal="1"/>
        </references>
      </pivotArea>
    </format>
    <format dxfId="241">
      <pivotArea dataOnly="0" labelOnly="1" outline="0" fieldPosition="0">
        <references count="1">
          <reference field="0" count="0"/>
        </references>
      </pivotArea>
    </format>
    <format dxfId="240">
      <pivotArea dataOnly="0" labelOnly="1" outline="0" fieldPosition="0">
        <references count="2">
          <reference field="0" count="0" selected="0"/>
          <reference field="1" count="0"/>
        </references>
      </pivotArea>
    </format>
    <format dxfId="239">
      <pivotArea dataOnly="0" labelOnly="1" outline="0" fieldPosition="0">
        <references count="2">
          <reference field="0" count="0" selected="0"/>
          <reference field="1" count="0" defaultSubtotal="1"/>
        </references>
      </pivotArea>
    </format>
    <format dxfId="238">
      <pivotArea dataOnly="0" labelOnly="1" outline="0" fieldPosition="0">
        <references count="3">
          <reference field="0" count="0" selected="0"/>
          <reference field="1" count="0" selected="0"/>
          <reference field="2" count="0"/>
        </references>
      </pivotArea>
    </format>
    <format dxfId="237">
      <pivotArea dataOnly="0" labelOnly="1" outline="0" fieldPosition="0">
        <references count="4">
          <reference field="0" count="0" selected="0"/>
          <reference field="1" count="0" selected="0"/>
          <reference field="2" count="0" selected="0"/>
          <reference field="3" count="0"/>
        </references>
      </pivotArea>
    </format>
    <format dxfId="236">
      <pivotArea dataOnly="0" labelOnly="1" outline="0" fieldPosition="0">
        <references count="5">
          <reference field="0" count="0" selected="0"/>
          <reference field="1" count="0" selected="0"/>
          <reference field="2" count="0" selected="0"/>
          <reference field="3" count="0" selected="0"/>
          <reference field="4" count="0"/>
        </references>
      </pivotArea>
    </format>
    <format dxfId="235">
      <pivotArea outline="0" fieldPosition="0">
        <references count="1">
          <reference field="4294967294" count="1">
            <x v="3"/>
          </reference>
        </references>
      </pivotArea>
    </format>
    <format dxfId="234">
      <pivotArea outline="0" fieldPosition="0">
        <references count="2">
          <reference field="0" count="0" selected="0"/>
          <reference field="1" count="0" selected="0" defaultSubtotal="1"/>
        </references>
      </pivotArea>
    </format>
    <format dxfId="233">
      <pivotArea dataOnly="0" labelOnly="1" outline="0" fieldPosition="0">
        <references count="1">
          <reference field="0" count="0"/>
        </references>
      </pivotArea>
    </format>
    <format dxfId="232">
      <pivotArea dataOnly="0" labelOnly="1" outline="0" fieldPosition="0">
        <references count="2">
          <reference field="0" count="0" selected="0"/>
          <reference field="1" count="0" defaultSubtotal="1"/>
        </references>
      </pivotArea>
    </format>
    <format dxfId="231">
      <pivotArea field="0" grandRow="1" outline="0" axis="axisRow" fieldPosition="0">
        <references count="1">
          <reference field="4294967294" count="1" selected="0">
            <x v="0"/>
          </reference>
        </references>
      </pivotArea>
    </format>
    <format dxfId="230">
      <pivotArea dataOnly="0" labelOnly="1" outline="0" fieldPosition="0">
        <references count="1">
          <reference field="4294967294" count="1">
            <x v="4"/>
          </reference>
        </references>
      </pivotArea>
    </format>
    <format dxfId="229">
      <pivotArea dataOnly="0" labelOnly="1" outline="0" fieldPosition="0">
        <references count="1">
          <reference field="4294967294" count="1">
            <x v="4"/>
          </reference>
        </references>
      </pivotArea>
    </format>
    <format dxfId="228">
      <pivotArea dataOnly="0" labelOnly="1" outline="0" fieldPosition="0">
        <references count="1">
          <reference field="4294967294" count="1">
            <x v="4"/>
          </reference>
        </references>
      </pivotArea>
    </format>
    <format dxfId="227">
      <pivotArea dataOnly="0" labelOnly="1" outline="0" fieldPosition="0">
        <references count="1">
          <reference field="4294967294" count="1">
            <x v="4"/>
          </reference>
        </references>
      </pivotArea>
    </format>
    <format dxfId="226">
      <pivotArea outline="0" fieldPosition="0">
        <references count="6">
          <reference field="4294967294" count="1" selected="0">
            <x v="4"/>
          </reference>
          <reference field="0" count="0" selected="0"/>
          <reference field="1" count="0" selected="0"/>
          <reference field="2" count="0" selected="0"/>
          <reference field="3" count="0" selected="0"/>
          <reference field="4" count="0" selected="0"/>
        </references>
      </pivotArea>
    </format>
    <format dxfId="225">
      <pivotArea field="0" grandRow="1" outline="0" axis="axisRow" fieldPosition="0">
        <references count="1">
          <reference field="4294967294" count="1" selected="0">
            <x v="4"/>
          </reference>
        </references>
      </pivotArea>
    </format>
    <format dxfId="224">
      <pivotArea outline="0" fieldPosition="0">
        <references count="6">
          <reference field="4294967294" count="1" selected="0">
            <x v="4"/>
          </reference>
          <reference field="0" count="0" selected="0"/>
          <reference field="1" count="0" selected="0"/>
          <reference field="2" count="0" selected="0"/>
          <reference field="3" count="0" selected="0"/>
          <reference field="4" count="0" selected="0"/>
        </references>
      </pivotArea>
    </format>
    <format dxfId="223">
      <pivotArea outline="0" fieldPosition="0">
        <references count="6">
          <reference field="4294967294" count="4" selected="0">
            <x v="0"/>
            <x v="1"/>
            <x v="2"/>
            <x v="3"/>
          </reference>
          <reference field="0" count="0" selected="0"/>
          <reference field="1" count="0" selected="0"/>
          <reference field="2" count="0" selected="0"/>
          <reference field="3" count="0" selected="0"/>
          <reference field="4" count="0" selected="0"/>
        </references>
      </pivotArea>
    </format>
    <format dxfId="222">
      <pivotArea dataOnly="0" labelOnly="1" outline="0" fieldPosition="0">
        <references count="1">
          <reference field="0" count="0"/>
        </references>
      </pivotArea>
    </format>
    <format dxfId="221">
      <pivotArea dataOnly="0" labelOnly="1" outline="0" fieldPosition="0">
        <references count="2">
          <reference field="0" count="0" selected="0"/>
          <reference field="1" count="0"/>
        </references>
      </pivotArea>
    </format>
    <format dxfId="220">
      <pivotArea dataOnly="0" labelOnly="1" outline="0" fieldPosition="0">
        <references count="3">
          <reference field="0" count="0" selected="0"/>
          <reference field="1" count="0" selected="0"/>
          <reference field="2" count="0"/>
        </references>
      </pivotArea>
    </format>
    <format dxfId="219">
      <pivotArea dataOnly="0" labelOnly="1" outline="0" fieldPosition="0">
        <references count="4">
          <reference field="0" count="0" selected="0"/>
          <reference field="1" count="0" selected="0"/>
          <reference field="2" count="0" selected="0"/>
          <reference field="3" count="0"/>
        </references>
      </pivotArea>
    </format>
    <format dxfId="218">
      <pivotArea dataOnly="0" labelOnly="1" outline="0" fieldPosition="0">
        <references count="5">
          <reference field="0" count="0" selected="0"/>
          <reference field="1" count="0" selected="0"/>
          <reference field="2" count="0" selected="0"/>
          <reference field="3" count="0" selected="0"/>
          <reference field="4" count="0"/>
        </references>
      </pivotArea>
    </format>
    <format dxfId="217">
      <pivotArea outline="0" fieldPosition="0">
        <references count="5">
          <reference field="0" count="0" selected="0"/>
          <reference field="1" count="0" selected="0"/>
          <reference field="2" count="0" selected="0"/>
          <reference field="3" count="0" selected="0"/>
          <reference field="4" count="0" selected="0"/>
        </references>
      </pivotArea>
    </format>
    <format dxfId="216">
      <pivotArea field="0" grandRow="1" outline="0" axis="axisRow" fieldPosition="0">
        <references count="1">
          <reference field="4294967294" count="1" selected="0">
            <x v="4"/>
          </reference>
        </references>
      </pivotArea>
    </format>
    <format dxfId="215">
      <pivotArea field="0" grandRow="1" outline="0" axis="axisRow" fieldPosition="0">
        <references count="1">
          <reference field="4294967294" count="1" selected="0">
            <x v="0"/>
          </reference>
        </references>
      </pivotArea>
    </format>
    <format dxfId="0">
      <pivotArea outline="0" fieldPosition="0">
        <references count="1">
          <reference field="4294967294" count="1">
            <x v="4"/>
          </reference>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BF3F4C9A-4BF7-4A38-A9B3-2E1EF71C15A7}" autoFormatId="16" applyNumberFormats="0" applyBorderFormats="0" applyFontFormats="0" applyPatternFormats="0" applyAlignmentFormats="0" applyWidthHeightFormats="0">
  <queryTableRefresh nextId="17">
    <queryTableFields count="10">
      <queryTableField id="5" name="No_Item" tableColumnId="5"/>
      <queryTableField id="6" name="Description_Item" tableColumnId="6"/>
      <queryTableField id="7" name="BaseUnitofMeasure_Item" tableColumnId="7"/>
      <queryTableField id="8" name="SourceNo_ItemLedgEntry" tableColumnId="8"/>
      <queryTableField id="9" name="CustName" tableColumnId="9"/>
      <queryTableField id="10" name="InvQty_ItemLedgEntry" tableColumnId="10"/>
      <queryTableField id="11" name="SalesAmtActual_ItemLedgEntry" tableColumnId="11"/>
      <queryTableField id="12" name="Profit_ItemLedgEntry" tableColumnId="12"/>
      <queryTableField id="15" name="ProfitPct_ItemLedgEntry" tableColumnId="2"/>
      <queryTableField id="13" name="DiscountAmoun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Item" xr10:uid="{816156EF-2299-49A8-9D14-25212A3D2ACD}" sourceName="No_Item">
  <pivotTables>
    <pivotTable tabId="7" name="PivotTable1"/>
  </pivotTables>
  <data>
    <tabular pivotCacheId="350806050"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Name" xr10:uid="{95D34F8D-26B4-4A7C-BD7B-43E8D1121360}" sourceName="CustName">
  <pivotTables>
    <pivotTable tabId="7" name="PivotTable1"/>
  </pivotTables>
  <data>
    <tabular pivotCacheId="350806050"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_Item$" xr10:uid="{A3D3741B-83B0-45C1-A1C0-2A84948BFE7A}" cache="Slicer_No_Item" caption="$No_Item$" style="Business Central Reports Slicer Style (Template)" rowHeight="273050"/>
  <slicer name="$CustNameLabel$" xr10:uid="{2F00B823-D443-40D1-ADE9-801FC2A7AE4B}" cache="Slicer_CustName" caption="$CustNameLbl$"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EC0FDF-8174-4D04-BB6C-FABDD3B6FF3C}" name="InventoryCustomerSales_Query" displayName="InventoryCustomerSales_Query" ref="A1:J2" tableType="queryTable" totalsRowShown="0">
  <autoFilter ref="A1:J2" xr:uid="{3AEC0FDF-8174-4D04-BB6C-FABDD3B6FF3C}"/>
  <tableColumns count="10">
    <tableColumn id="5" xr3:uid="{1013E2EC-211B-4A71-B38C-CF7D4871E5D7}" uniqueName="5" name="No_Item" queryTableFieldId="5" dataDxfId="214"/>
    <tableColumn id="6" xr3:uid="{623CF22D-A743-4356-84BE-00D88F0FA48D}" uniqueName="6" name="Description_Item" queryTableFieldId="6" dataDxfId="213"/>
    <tableColumn id="7" xr3:uid="{59E4B741-5039-4729-9131-B707742377B9}" uniqueName="7" name="BaseUnitofMeasure_Item" queryTableFieldId="7" dataDxfId="212"/>
    <tableColumn id="8" xr3:uid="{5971019C-5D59-4642-8C76-F71C171D69C9}" uniqueName="8" name="SourceNo_ItemLedgEntry" queryTableFieldId="8" dataDxfId="211"/>
    <tableColumn id="9" xr3:uid="{5C23BC3B-7BD9-4814-91AF-46583A73E902}" uniqueName="9" name="CustName" queryTableFieldId="9" dataDxfId="210"/>
    <tableColumn id="10" xr3:uid="{29CF218F-C1D1-4A64-8417-D6B684F293C6}" uniqueName="10" name="InvQty_ItemLedgEntry" queryTableFieldId="10"/>
    <tableColumn id="11" xr3:uid="{9B4D18FB-E000-40D6-B0B0-35D2155CAF05}" uniqueName="11" name="SalesAmtActual_ItemLedgEntry" queryTableFieldId="11"/>
    <tableColumn id="12" xr3:uid="{74BE5609-7387-4E9B-A89C-587C547BAFE6}" uniqueName="12" name="Profit_ItemLedgEntry" queryTableFieldId="12"/>
    <tableColumn id="2" xr3:uid="{92401B07-C4FC-4AEF-AE1E-1B1B04EEB6D5}" uniqueName="2" name="ProfitPct_ItemLedgEntry" queryTableFieldId="15"/>
    <tableColumn id="13" xr3:uid="{5D2CAE48-4B02-4BFC-AE02-3D0F7B142D25}" uniqueName="13" name="DiscountAmount"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L2" totalsRowShown="0" headerRowDxfId="209">
  <autoFilter ref="A1:L2" xr:uid="{41D726F2-778D-4B1C-A5EA-875FED73D050}"/>
  <tableColumns count="12">
    <tableColumn id="3" xr3:uid="{21867904-D69E-41E3-B5BE-D9B124B8D7E4}" name="ItemFilter"/>
    <tableColumn id="4" xr3:uid="{21867904-D69E-41E3-B5BE-D9B124B8D7E4}" name="ItemLedgEntryFilter"/>
    <tableColumn id="5" xr3:uid="{21867904-D69E-41E3-B5BE-D9B124B8D7E4}" name="No_Item"/>
    <tableColumn id="6" xr3:uid="{21867904-D69E-41E3-B5BE-D9B124B8D7E4}" name="Description_Item"/>
    <tableColumn id="7" xr3:uid="{21867904-D69E-41E3-B5BE-D9B124B8D7E4}" name="BaseUnitofMeasure_Item"/>
    <tableColumn id="8" xr3:uid="{21867904-D69E-41E3-B5BE-D9B124B8D7E4}" name="SourceNo_ItemLedgEntry"/>
    <tableColumn id="9" xr3:uid="{21867904-D69E-41E3-B5BE-D9B124B8D7E4}" name="CustName"/>
    <tableColumn id="10" xr3:uid="{21867904-D69E-41E3-B5BE-D9B124B8D7E4}" name="InvQty_ItemLedgEntry"/>
    <tableColumn id="11" xr3:uid="{21867904-D69E-41E3-B5BE-D9B124B8D7E4}" name="SalesAmtActual_ItemLedgEntry"/>
    <tableColumn id="12" xr3:uid="{21867904-D69E-41E3-B5BE-D9B124B8D7E4}" name="Profit_ItemLedgEntry"/>
    <tableColumn id="15" xr3:uid="{B9DF0B44-F6B8-4D0B-8A1C-E78842B5AB87}" name="ProfitPct_ItemLedgEntry" dataDxfId="208"/>
    <tableColumn id="13" xr3:uid="{21867904-D69E-41E3-B5BE-D9B124B8D7E4}" name="DiscountAmount"/>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207">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206">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205">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204">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10C2C-2123-427A-A6C9-B2915867B32D}">
  <sheetPr>
    <pageSetUpPr fitToPage="1"/>
  </sheetPr>
  <dimension ref="A2:K10"/>
  <sheetViews>
    <sheetView showGridLines="0" tabSelected="1" zoomScaleNormal="100" workbookViewId="0"/>
  </sheetViews>
  <sheetFormatPr defaultRowHeight="20.100000000000001" customHeight="1" x14ac:dyDescent="0.45"/>
  <cols>
    <col min="1" max="1" width="9.09765625" style="14" customWidth="1"/>
    <col min="2" max="2" width="11.796875" customWidth="1"/>
    <col min="3" max="3" width="29.09765625" customWidth="1"/>
    <col min="4" max="4" width="19.296875" bestFit="1" customWidth="1"/>
    <col min="5" max="5" width="13.5" bestFit="1" customWidth="1"/>
    <col min="6" max="6" width="29.09765625" customWidth="1"/>
    <col min="7" max="7" width="15.19921875" customWidth="1"/>
    <col min="8" max="8" width="17.796875" customWidth="1"/>
    <col min="9" max="10" width="14.296875" customWidth="1"/>
    <col min="11" max="11" width="25.59765625" customWidth="1"/>
  </cols>
  <sheetData>
    <row r="2" spans="2:11" ht="20.100000000000001" customHeight="1" thickBot="1" x14ac:dyDescent="0.5">
      <c r="B2" s="7" t="s">
        <v>88</v>
      </c>
      <c r="K2" s="6" t="str" cm="1">
        <f t="array" ref="K2">ReportRequest.CompanyName</f>
        <v>Company name Value</v>
      </c>
    </row>
    <row r="3" spans="2:11" ht="20.100000000000001" customHeight="1" thickTop="1" x14ac:dyDescent="0.45"/>
    <row r="4" spans="2:11" ht="20.100000000000001" customHeight="1" x14ac:dyDescent="0.45">
      <c r="B4" s="11" t="e" cm="1">
        <f t="array" ref="B4">ItemFilter</f>
        <v>#N/A</v>
      </c>
      <c r="C4" s="11"/>
      <c r="J4" s="5" t="e" cm="1">
        <f t="array" ref="J4">Caption.DataRetrievedLbl</f>
        <v>#NAME?</v>
      </c>
      <c r="K4" s="4" t="str" cm="1">
        <f t="array" ref="K4">ReportRequest.DateLocal</f>
        <v>Date (Local) Value</v>
      </c>
    </row>
    <row r="5" spans="2:11" ht="20.100000000000001" customHeight="1" x14ac:dyDescent="0.45">
      <c r="B5" s="11" t="e" cm="1">
        <f t="array" ref="B5">ItemLedgEntryFilter</f>
        <v>#N/A</v>
      </c>
    </row>
    <row r="7" spans="2:11" ht="20.100000000000001" customHeight="1" x14ac:dyDescent="0.45">
      <c r="B7" s="27" t="s">
        <v>78</v>
      </c>
      <c r="C7" s="26" t="s">
        <v>77</v>
      </c>
      <c r="D7" s="26" t="s">
        <v>79</v>
      </c>
      <c r="E7" s="26" t="s">
        <v>89</v>
      </c>
      <c r="F7" s="26" t="s">
        <v>90</v>
      </c>
      <c r="G7" s="25" t="s">
        <v>91</v>
      </c>
      <c r="H7" s="25" t="s">
        <v>80</v>
      </c>
      <c r="I7" s="25" t="s">
        <v>93</v>
      </c>
      <c r="J7" s="25" t="s">
        <v>94</v>
      </c>
      <c r="K7" s="25" t="s">
        <v>92</v>
      </c>
    </row>
    <row r="8" spans="2:11" ht="20.100000000000001" customHeight="1" x14ac:dyDescent="0.45">
      <c r="B8" s="33"/>
      <c r="C8" s="3"/>
      <c r="D8" s="3"/>
      <c r="E8" s="3"/>
      <c r="F8" s="3"/>
      <c r="G8" s="34">
        <v>0</v>
      </c>
      <c r="H8" s="29">
        <v>0</v>
      </c>
      <c r="I8" s="35">
        <v>0</v>
      </c>
      <c r="J8" s="35">
        <v>0</v>
      </c>
      <c r="K8" s="32">
        <v>0</v>
      </c>
    </row>
    <row r="9" spans="2:11" ht="20.100000000000001" customHeight="1" x14ac:dyDescent="0.45">
      <c r="B9" s="33"/>
      <c r="C9" s="17" t="s">
        <v>95</v>
      </c>
      <c r="D9" s="17"/>
      <c r="E9" s="17"/>
      <c r="F9" s="17"/>
      <c r="G9" s="28">
        <v>0</v>
      </c>
      <c r="H9" s="28">
        <v>0</v>
      </c>
      <c r="I9" s="28">
        <v>0</v>
      </c>
      <c r="J9" s="28">
        <v>0</v>
      </c>
      <c r="K9" s="20">
        <v>0</v>
      </c>
    </row>
    <row r="10" spans="2:11" ht="20.100000000000001" customHeight="1" x14ac:dyDescent="0.45">
      <c r="B10" s="16" t="s">
        <v>76</v>
      </c>
      <c r="C10" s="16"/>
      <c r="D10" s="16"/>
      <c r="E10" s="16"/>
      <c r="F10" s="16"/>
      <c r="G10" s="29">
        <v>0</v>
      </c>
      <c r="H10" s="30">
        <v>0</v>
      </c>
      <c r="I10" s="30">
        <v>0</v>
      </c>
      <c r="J10" s="31">
        <v>0</v>
      </c>
      <c r="K10" s="32">
        <v>0</v>
      </c>
    </row>
  </sheetData>
  <printOptions horizontalCentered="1"/>
  <pageMargins left="0.25" right="0.25" top="0.75" bottom="0.75" header="0.3" footer="0.3"/>
  <pageSetup paperSize="9" scale="52"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49A7-EDF3-41EF-9B2A-8075228A92D0}">
  <sheetPr>
    <pageSetUpPr fitToPage="1"/>
  </sheetPr>
  <dimension ref="A1:K4"/>
  <sheetViews>
    <sheetView showGridLines="0" zoomScaleNormal="100" workbookViewId="0"/>
  </sheetViews>
  <sheetFormatPr defaultRowHeight="20.100000000000001" customHeight="1" x14ac:dyDescent="0.45"/>
  <cols>
    <col min="1" max="1" width="50.69921875" style="14" customWidth="1"/>
    <col min="2" max="2" width="11.796875" customWidth="1"/>
    <col min="3" max="3" width="29.09765625" customWidth="1"/>
    <col min="4" max="4" width="19.59765625" customWidth="1"/>
    <col min="5" max="5" width="12.796875" customWidth="1"/>
    <col min="6" max="6" width="29.09765625" customWidth="1"/>
    <col min="7" max="7" width="15.19921875" customWidth="1"/>
    <col min="8" max="8" width="17.796875" customWidth="1"/>
    <col min="9" max="11" width="14.296875" customWidth="1"/>
  </cols>
  <sheetData>
    <row r="1" spans="2:11" ht="20.399999999999999" x14ac:dyDescent="0.45">
      <c r="B1" s="19" t="s">
        <v>78</v>
      </c>
      <c r="C1" s="19" t="s">
        <v>77</v>
      </c>
      <c r="D1" s="19" t="s">
        <v>79</v>
      </c>
      <c r="E1" s="19" t="s">
        <v>89</v>
      </c>
      <c r="F1" s="19" t="s">
        <v>90</v>
      </c>
      <c r="G1" s="18" t="s">
        <v>91</v>
      </c>
      <c r="H1" s="18" t="s">
        <v>80</v>
      </c>
      <c r="I1" s="18" t="s">
        <v>93</v>
      </c>
      <c r="J1" s="18" t="s">
        <v>94</v>
      </c>
      <c r="K1" s="18" t="s">
        <v>92</v>
      </c>
    </row>
    <row r="2" spans="2:11" ht="20.399999999999999" x14ac:dyDescent="0.45">
      <c r="B2" s="3"/>
      <c r="C2" s="3"/>
      <c r="D2" s="3"/>
      <c r="E2" s="3"/>
      <c r="F2" s="3"/>
      <c r="G2" s="36">
        <v>0</v>
      </c>
      <c r="H2" s="23">
        <v>0</v>
      </c>
      <c r="I2" s="24">
        <v>0</v>
      </c>
      <c r="J2" s="22">
        <v>0</v>
      </c>
      <c r="K2" s="22">
        <v>0</v>
      </c>
    </row>
    <row r="3" spans="2:11" ht="20.399999999999999" x14ac:dyDescent="0.45">
      <c r="B3" s="3"/>
      <c r="C3" s="17" t="s">
        <v>95</v>
      </c>
      <c r="D3" s="17"/>
      <c r="E3" s="17"/>
      <c r="F3" s="17"/>
      <c r="G3" s="28">
        <v>0</v>
      </c>
      <c r="H3" s="28">
        <v>0</v>
      </c>
      <c r="I3" s="28">
        <v>0</v>
      </c>
      <c r="J3" s="21">
        <v>0</v>
      </c>
      <c r="K3" s="21">
        <v>0</v>
      </c>
    </row>
    <row r="4" spans="2:11" ht="20.399999999999999" x14ac:dyDescent="0.45">
      <c r="B4" s="3" t="s">
        <v>76</v>
      </c>
      <c r="C4" s="3"/>
      <c r="D4" s="3"/>
      <c r="E4" s="3"/>
      <c r="F4" s="3"/>
      <c r="G4" s="36">
        <v>0</v>
      </c>
      <c r="H4" s="16">
        <v>0</v>
      </c>
      <c r="I4" s="16">
        <v>0</v>
      </c>
      <c r="J4" s="22">
        <v>0</v>
      </c>
      <c r="K4" s="22">
        <v>0</v>
      </c>
    </row>
  </sheetData>
  <pageMargins left="0.25" right="0.25" top="0.75" bottom="0.75" header="0.3" footer="0.3"/>
  <pageSetup paperSize="9" scale="39" fitToHeight="0"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F3F99-B563-4FB3-A87C-FF38122BEFDC}">
  <sheetPr>
    <pageSetUpPr fitToPage="1"/>
  </sheetPr>
  <dimension ref="A1:C8"/>
  <sheetViews>
    <sheetView showGridLines="0" zoomScaleNormal="100" workbookViewId="0"/>
  </sheetViews>
  <sheetFormatPr defaultColWidth="8.59765625" defaultRowHeight="20.100000000000001" customHeight="1" x14ac:dyDescent="0.4"/>
  <cols>
    <col min="1" max="1" width="17.296875" style="8" customWidth="1"/>
    <col min="2" max="2" width="25.59765625" style="8" customWidth="1"/>
    <col min="3" max="3" width="8.59765625" style="9"/>
    <col min="4" max="16384" width="8.59765625" style="8"/>
  </cols>
  <sheetData>
    <row r="1" spans="1:2" ht="20.100000000000001" customHeight="1" x14ac:dyDescent="0.4">
      <c r="A1" s="10" t="s">
        <v>82</v>
      </c>
      <c r="B1" s="11" t="str" cm="1">
        <f t="array" ref="B1">ReportRequest.EnvironmentName</f>
        <v>Environment name Value</v>
      </c>
    </row>
    <row r="2" spans="1:2" ht="20.100000000000001" customHeight="1" x14ac:dyDescent="0.4">
      <c r="A2" s="10" t="s">
        <v>83</v>
      </c>
      <c r="B2" s="11" t="str" cm="1">
        <f t="array" ref="B2">ReportRequest.CompanyName</f>
        <v>Company name Value</v>
      </c>
    </row>
    <row r="3" spans="1:2" ht="20.100000000000001" customHeight="1" x14ac:dyDescent="0.4">
      <c r="A3" s="10" t="s">
        <v>84</v>
      </c>
      <c r="B3" s="11" t="str" cm="1">
        <f t="array" ref="B3">ReportRequest.UserName</f>
        <v>User name Value</v>
      </c>
    </row>
    <row r="4" spans="1:2" ht="20.100000000000001" customHeight="1" x14ac:dyDescent="0.4">
      <c r="A4" s="10" t="s">
        <v>85</v>
      </c>
      <c r="B4" s="13" t="str" cm="1">
        <f t="array" ref="B4">ReportRequest.DateLocal</f>
        <v>Date (Local) Value</v>
      </c>
    </row>
    <row r="5" spans="1:2" ht="20.100000000000001" customHeight="1" x14ac:dyDescent="0.4">
      <c r="A5" s="10"/>
      <c r="B5" s="12" t="str" cm="1">
        <f t="array" ref="B5">ReportRequest.DateLocal</f>
        <v>Date (Local) Value</v>
      </c>
    </row>
    <row r="6" spans="1:2" ht="20.100000000000001" customHeight="1" x14ac:dyDescent="0.4">
      <c r="A6" s="10" t="s">
        <v>86</v>
      </c>
      <c r="B6" s="11" t="str" cm="1">
        <f t="array" ref="B6">ReportMetadata.ObjectCaption</f>
        <v>Object Caption Value</v>
      </c>
    </row>
    <row r="7" spans="1:2" ht="20.100000000000001" customHeight="1" x14ac:dyDescent="0.4">
      <c r="A7" s="10" t="s">
        <v>87</v>
      </c>
      <c r="B7" s="15" t="str">
        <f>HYPERLINK(_xlfn.CONCAT("https://learn.microsoft.com/dynamics365/business-central/reports/report-",ReportMetadata.ObjectID))</f>
        <v>https://learn.microsoft.com/dynamics365/business-central/reports/report-Object ID Value</v>
      </c>
    </row>
    <row r="8" spans="1:2" ht="20.100000000000001" customHeight="1" x14ac:dyDescent="0.4">
      <c r="A8" s="10"/>
      <c r="B8" s="3"/>
    </row>
  </sheetData>
  <printOptions horizontalCentered="1"/>
  <pageMargins left="0.25" right="0.25" top="0.75" bottom="0.75" header="0.3" footer="0.3"/>
  <pageSetup paperSize="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F26AF-17BA-4B87-9633-956E43331828}">
  <dimension ref="A1:J2"/>
  <sheetViews>
    <sheetView zoomScaleNormal="100" workbookViewId="0"/>
  </sheetViews>
  <sheetFormatPr defaultRowHeight="16.8" x14ac:dyDescent="0.4"/>
  <cols>
    <col min="1" max="1" width="10" bestFit="1" customWidth="1"/>
    <col min="2" max="2" width="17.296875" bestFit="1" customWidth="1"/>
    <col min="3" max="3" width="24.5" bestFit="1" customWidth="1"/>
    <col min="4" max="4" width="24.69921875" bestFit="1" customWidth="1"/>
    <col min="5" max="5" width="11.59765625" bestFit="1" customWidth="1"/>
    <col min="6" max="6" width="22.09765625" bestFit="1" customWidth="1"/>
    <col min="7" max="7" width="29.8984375" bestFit="1" customWidth="1"/>
    <col min="8" max="8" width="21.09765625" bestFit="1" customWidth="1"/>
    <col min="9" max="9" width="23.8984375" bestFit="1" customWidth="1"/>
    <col min="10" max="10" width="17.3984375" bestFit="1" customWidth="1"/>
    <col min="11" max="11" width="26.19921875" bestFit="1" customWidth="1"/>
    <col min="12" max="12" width="31.5" customWidth="1"/>
    <col min="13" max="13" width="22.296875" customWidth="1"/>
    <col min="14" max="14" width="18.19921875" customWidth="1"/>
  </cols>
  <sheetData>
    <row r="1" spans="1:10" x14ac:dyDescent="0.4">
      <c r="A1" t="s">
        <v>66</v>
      </c>
      <c r="B1" t="s">
        <v>67</v>
      </c>
      <c r="C1" t="s">
        <v>68</v>
      </c>
      <c r="D1" t="s">
        <v>69</v>
      </c>
      <c r="E1" t="s">
        <v>70</v>
      </c>
      <c r="F1" t="s">
        <v>71</v>
      </c>
      <c r="G1" t="s">
        <v>72</v>
      </c>
      <c r="H1" t="s">
        <v>73</v>
      </c>
      <c r="I1" t="s">
        <v>81</v>
      </c>
      <c r="J1" t="s">
        <v>74</v>
      </c>
    </row>
    <row r="2" spans="1:10" x14ac:dyDescent="0.4">
      <c r="A2" t="s">
        <v>75</v>
      </c>
      <c r="B2" t="s">
        <v>75</v>
      </c>
      <c r="C2" t="s">
        <v>75</v>
      </c>
      <c r="D2" t="s">
        <v>75</v>
      </c>
      <c r="E2" t="s">
        <v>75</v>
      </c>
      <c r="F2">
        <v>0</v>
      </c>
      <c r="G2">
        <v>0</v>
      </c>
      <c r="H2">
        <v>0</v>
      </c>
      <c r="I2">
        <v>0</v>
      </c>
      <c r="J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zoomScaleNormal="100" workbookViewId="0">
      <pane ySplit="1" topLeftCell="A2" activePane="bottomLeft" state="frozen"/>
      <selection pane="bottomLeft"/>
    </sheetView>
  </sheetViews>
  <sheetFormatPr defaultRowHeight="16.8" x14ac:dyDescent="0.4"/>
  <cols>
    <col min="1" max="1" width="11.69921875" bestFit="1" customWidth="1"/>
    <col min="2" max="2" width="20.796875" bestFit="1" customWidth="1"/>
    <col min="3" max="3" width="10.59765625" bestFit="1" customWidth="1"/>
    <col min="4" max="4" width="18.09765625" bestFit="1" customWidth="1"/>
    <col min="5" max="5" width="25.59765625" bestFit="1" customWidth="1"/>
    <col min="6" max="6" width="25.69921875" bestFit="1" customWidth="1"/>
    <col min="7" max="7" width="12.19921875" bestFit="1" customWidth="1"/>
    <col min="8" max="8" width="23" bestFit="1" customWidth="1"/>
    <col min="9" max="9" width="31.19921875" bestFit="1" customWidth="1"/>
    <col min="10" max="10" width="22.09765625" bestFit="1" customWidth="1"/>
    <col min="11" max="11" width="25" bestFit="1" customWidth="1"/>
    <col min="12" max="12" width="18.19921875" bestFit="1" customWidth="1"/>
  </cols>
  <sheetData>
    <row r="1" spans="1:12" x14ac:dyDescent="0.4">
      <c r="A1" t="s">
        <v>64</v>
      </c>
      <c r="B1" t="s">
        <v>65</v>
      </c>
      <c r="C1" t="s">
        <v>66</v>
      </c>
      <c r="D1" t="s">
        <v>67</v>
      </c>
      <c r="E1" t="s">
        <v>68</v>
      </c>
      <c r="F1" t="s">
        <v>69</v>
      </c>
      <c r="G1" t="s">
        <v>70</v>
      </c>
      <c r="H1" t="s">
        <v>71</v>
      </c>
      <c r="I1" t="s">
        <v>72</v>
      </c>
      <c r="J1" t="s">
        <v>73</v>
      </c>
      <c r="K1" t="s">
        <v>81</v>
      </c>
      <c r="L1" t="s">
        <v>74</v>
      </c>
    </row>
    <row r="2" spans="1:12" x14ac:dyDescent="0.4">
      <c r="A2" t="s">
        <v>75</v>
      </c>
      <c r="B2" t="s">
        <v>75</v>
      </c>
      <c r="C2" t="s">
        <v>75</v>
      </c>
      <c r="D2" t="s">
        <v>75</v>
      </c>
      <c r="E2" t="s">
        <v>75</v>
      </c>
      <c r="F2" t="s">
        <v>75</v>
      </c>
      <c r="G2" t="s">
        <v>75</v>
      </c>
      <c r="H2" s="2">
        <v>0</v>
      </c>
      <c r="I2" s="2">
        <v>0</v>
      </c>
      <c r="J2" s="2">
        <v>0</v>
      </c>
      <c r="K2" s="2">
        <v>0</v>
      </c>
      <c r="L2" s="2">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8" x14ac:dyDescent="0.4"/>
  <cols>
    <col min="1" max="1" width="16.796875" customWidth="1"/>
    <col min="2" max="2" width="11.296875" customWidth="1"/>
  </cols>
  <sheetData>
    <row r="1" spans="1:3" x14ac:dyDescent="0.4">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B2"/>
    </sheetView>
  </sheetViews>
  <sheetFormatPr defaultRowHeight="16.8" x14ac:dyDescent="0.4"/>
  <cols>
    <col min="1" max="1" width="10" customWidth="1"/>
    <col min="2" max="2" width="17.296875" customWidth="1"/>
  </cols>
  <sheetData>
    <row r="1" spans="1:2" x14ac:dyDescent="0.4">
      <c r="A1" t="s">
        <v>3</v>
      </c>
      <c r="B1" t="s">
        <v>1</v>
      </c>
    </row>
    <row r="2" spans="1:2" x14ac:dyDescent="0.4">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D16" sqref="D16"/>
    </sheetView>
  </sheetViews>
  <sheetFormatPr defaultRowHeight="16.8" x14ac:dyDescent="0.4"/>
  <cols>
    <col min="1" max="1" width="25.59765625" customWidth="1"/>
    <col min="2" max="2" width="40.59765625" customWidth="1"/>
    <col min="3" max="3" width="5.59765625" customWidth="1"/>
    <col min="4" max="4" width="25.59765625" customWidth="1"/>
    <col min="5" max="5" width="40.59765625" customWidth="1"/>
    <col min="6" max="6" width="5.59765625" customWidth="1"/>
    <col min="7" max="7" width="25.59765625" customWidth="1"/>
    <col min="8" max="8" width="40.59765625" customWidth="1"/>
    <col min="9" max="9" width="5.59765625" customWidth="1"/>
    <col min="10" max="10" width="40.59765625" customWidth="1"/>
    <col min="11" max="11" width="25.59765625" customWidth="1"/>
  </cols>
  <sheetData>
    <row r="1" spans="1:11" x14ac:dyDescent="0.4">
      <c r="A1" s="1" t="s">
        <v>6</v>
      </c>
      <c r="B1" s="1" t="s">
        <v>7</v>
      </c>
      <c r="D1" s="1" t="s">
        <v>26</v>
      </c>
      <c r="E1" s="1" t="s">
        <v>27</v>
      </c>
      <c r="G1" s="1" t="s">
        <v>4</v>
      </c>
      <c r="H1" s="1" t="s">
        <v>5</v>
      </c>
      <c r="J1" s="1" t="s">
        <v>45</v>
      </c>
      <c r="K1" s="1" t="s">
        <v>46</v>
      </c>
    </row>
    <row r="2" spans="1:11" x14ac:dyDescent="0.4">
      <c r="A2" t="s">
        <v>8</v>
      </c>
      <c r="B2" t="s">
        <v>9</v>
      </c>
      <c r="D2" t="s">
        <v>48</v>
      </c>
      <c r="E2" t="s">
        <v>49</v>
      </c>
      <c r="G2" t="s">
        <v>4</v>
      </c>
      <c r="H2" t="s">
        <v>5</v>
      </c>
      <c r="J2" t="s">
        <v>45</v>
      </c>
      <c r="K2" t="s">
        <v>46</v>
      </c>
    </row>
    <row r="3" spans="1:11" x14ac:dyDescent="0.4">
      <c r="A3" t="s">
        <v>10</v>
      </c>
      <c r="B3" t="s">
        <v>11</v>
      </c>
      <c r="D3" t="s">
        <v>28</v>
      </c>
      <c r="E3" t="s">
        <v>29</v>
      </c>
    </row>
    <row r="4" spans="1:11" x14ac:dyDescent="0.4">
      <c r="A4" t="s">
        <v>12</v>
      </c>
      <c r="B4" t="s">
        <v>13</v>
      </c>
      <c r="D4" t="s">
        <v>30</v>
      </c>
      <c r="E4" t="s">
        <v>31</v>
      </c>
    </row>
    <row r="5" spans="1:11" x14ac:dyDescent="0.4">
      <c r="A5" t="s">
        <v>14</v>
      </c>
      <c r="B5" t="s">
        <v>15</v>
      </c>
      <c r="D5" t="s">
        <v>32</v>
      </c>
      <c r="E5" t="s">
        <v>33</v>
      </c>
    </row>
    <row r="6" spans="1:11" x14ac:dyDescent="0.4">
      <c r="A6" t="s">
        <v>16</v>
      </c>
      <c r="B6" t="s">
        <v>17</v>
      </c>
      <c r="D6" t="s">
        <v>34</v>
      </c>
      <c r="E6" t="s">
        <v>35</v>
      </c>
    </row>
    <row r="7" spans="1:11" x14ac:dyDescent="0.4">
      <c r="A7" t="s">
        <v>18</v>
      </c>
      <c r="B7" t="s">
        <v>19</v>
      </c>
      <c r="D7" t="s">
        <v>50</v>
      </c>
      <c r="E7" t="s">
        <v>51</v>
      </c>
    </row>
    <row r="8" spans="1:11" x14ac:dyDescent="0.4">
      <c r="A8" t="s">
        <v>58</v>
      </c>
      <c r="B8" t="s">
        <v>59</v>
      </c>
      <c r="D8" t="s">
        <v>36</v>
      </c>
      <c r="E8" t="s">
        <v>37</v>
      </c>
    </row>
    <row r="9" spans="1:11" x14ac:dyDescent="0.4">
      <c r="A9" t="s">
        <v>20</v>
      </c>
      <c r="B9" t="s">
        <v>21</v>
      </c>
      <c r="D9" t="s">
        <v>38</v>
      </c>
      <c r="E9" t="s">
        <v>39</v>
      </c>
    </row>
    <row r="10" spans="1:11" x14ac:dyDescent="0.4">
      <c r="A10" t="s">
        <v>22</v>
      </c>
      <c r="B10" t="s">
        <v>23</v>
      </c>
      <c r="D10" t="s">
        <v>40</v>
      </c>
      <c r="E10" t="s">
        <v>41</v>
      </c>
    </row>
    <row r="11" spans="1:11" x14ac:dyDescent="0.4">
      <c r="A11" t="s">
        <v>24</v>
      </c>
      <c r="B11" t="s">
        <v>25</v>
      </c>
      <c r="D11" t="s">
        <v>60</v>
      </c>
      <c r="E11" t="s">
        <v>61</v>
      </c>
    </row>
    <row r="12" spans="1:11" x14ac:dyDescent="0.4">
      <c r="D12" t="s">
        <v>62</v>
      </c>
      <c r="E12" t="s">
        <v>63</v>
      </c>
    </row>
    <row r="13" spans="1:11" x14ac:dyDescent="0.4">
      <c r="D13" t="s">
        <v>0</v>
      </c>
      <c r="E13" t="s">
        <v>42</v>
      </c>
    </row>
    <row r="14" spans="1:11" x14ac:dyDescent="0.4">
      <c r="D14" t="s">
        <v>43</v>
      </c>
      <c r="E14" t="s">
        <v>44</v>
      </c>
    </row>
    <row r="15" spans="1:11" x14ac:dyDescent="0.4">
      <c r="D15" t="s">
        <v>52</v>
      </c>
      <c r="E15" t="s">
        <v>53</v>
      </c>
    </row>
    <row r="16" spans="1:11" x14ac:dyDescent="0.4">
      <c r="D16" t="s">
        <v>54</v>
      </c>
      <c r="E16" t="s">
        <v>55</v>
      </c>
    </row>
    <row r="17" spans="4:5" x14ac:dyDescent="0.4">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BC5867-4E14-4FDF-A8EF-14C0AF65AA94}">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$InvCustomerSalesPrintLbl$</vt:lpstr>
      <vt:lpstr>$InvCustomerSalesAnalysisLbl$</vt:lpstr>
      <vt:lpstr>$AboutTheReportLbl$</vt:lpstr>
      <vt:lpstr>InventoryCustomerSales_Query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Adeline Soerjonoto</cp:lastModifiedBy>
  <cp:lastPrinted>2025-07-18T02:28:12Z</cp:lastPrinted>
  <dcterms:modified xsi:type="dcterms:W3CDTF">2026-02-23T04:13:36Z</dcterms:modified>
</cp:coreProperties>
</file>
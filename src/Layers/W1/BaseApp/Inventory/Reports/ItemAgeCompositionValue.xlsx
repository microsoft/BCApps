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aniel.williams\Source\Gold\Yellowstone.BaseApplication\App\Layers\W1\BaseApp\Inventory\Reports\"/>
    </mc:Choice>
  </mc:AlternateContent>
  <xr:revisionPtr revIDLastSave="0" documentId="13_ncr:1_{7F939E0C-299F-4A38-982B-77F8F7940D41}" xr6:coauthVersionLast="47" xr6:coauthVersionMax="47" xr10:uidLastSave="{00000000-0000-0000-0000-000000000000}"/>
  <bookViews>
    <workbookView xWindow="-14130" yWindow="-16320" windowWidth="29040" windowHeight="15720" tabRatio="839" xr2:uid="{00000000-000D-0000-FFFF-FFFF00000000}"/>
  </bookViews>
  <sheets>
    <sheet name="$ItemAgeComposValuePrintLbl$" sheetId="5" r:id="rId1"/>
    <sheet name="$ItemAgeComposQtyPrintLbl$" sheetId="10" r:id="rId2"/>
    <sheet name="$ItemAgeComposValueAnalysisLbl$" sheetId="8" r:id="rId3"/>
    <sheet name="$AboutTheReportLbl$" sheetId="9" r:id="rId4"/>
    <sheet name="ItemAgeComposValue_Query" sheetId="6" state="hidden" r:id="rId5"/>
    <sheet name="Data" sheetId="1" state="hidden" r:id="rId6"/>
    <sheet name="TranslationData" sheetId="2" state="hidden" r:id="rId7"/>
    <sheet name="CaptionData" sheetId="3" state="hidden" r:id="rId8"/>
    <sheet name="Aggregated Metadata" sheetId="4" state="hidden" r:id="rId9"/>
  </sheets>
  <definedNames>
    <definedName name="EndingDateFilter" localSheetId="1">IFERROR(INDEX(Data[EndingDateText],1)&amp;"","")</definedName>
    <definedName name="EndingDateFilter">IFERROR(INDEX(Data[EndingDateText],1)&amp;"","")</definedName>
    <definedName name="ExternalData_1" localSheetId="4" hidden="1">ItemAgeComposValue_Query!$A$1:$Q$2</definedName>
    <definedName name="LocationFilter">IFERROR(INDEX(Data[LocationFilterText],1)&amp;"","")</definedName>
    <definedName name="Period1Text" localSheetId="1">IFERROR(INDEX(Data[Period1RangeText],1)&amp;"","")</definedName>
    <definedName name="Period1Text">IFERROR(INDEX(Data[Period1RangeText],1)&amp;"","")</definedName>
    <definedName name="Period2Text" localSheetId="1">IFERROR(INDEX(Data[Period2RangeText],1)&amp;"","")</definedName>
    <definedName name="Period2Text">IFERROR(INDEX(Data[Period2RangeText],1)&amp;"","")</definedName>
    <definedName name="Period3Text" localSheetId="1">IFERROR(INDEX(Data[Period3RangeText],1)&amp;"","")</definedName>
    <definedName name="Period3Text">IFERROR(INDEX(Data[Period3RangeText],1)&amp;"","")</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 localSheetId="2">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2">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 localSheetId="2">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 localSheetId="2">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2">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2">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2">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 localSheetId="2">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 localSheetId="2">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2">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 localSheetId="2">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 localSheetId="2">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localSheetId="2">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 localSheetId="2">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 localSheetId="2">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2">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2">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 localSheetId="2">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 localSheetId="2">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 localSheetId="2">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 localSheetId="2">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 localSheetId="2">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 localSheetId="2">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 localSheetId="2">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 localSheetId="2">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 localSheetId="2">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InventoryPostingGroup_Item">#N/A</definedName>
    <definedName name="Slicer_No_Item">#N/A</definedName>
    <definedName name="StartDateFilter" localSheetId="1">_xlfn.XLOOKUP("PeriodStartDate[2]", ReportRequestPageValues[Request Page Option], ReportRequestPageValues[Request Page Option Value])</definedName>
    <definedName name="StartDateFilter" localSheetId="2">_xlfn.XLOOKUP("PeriodStartDate[2]", ReportRequestPageValues[Request Page Option], ReportRequestPageValues[Request Page Option Value])</definedName>
    <definedName name="StartDateFilter">_xlfn.XLOOKUP("PeriodStartDate[2]", ReportRequestPageValues[Request Page Option], ReportRequestPageValues[Request Page Option Value])</definedName>
  </definedNames>
  <calcPr calcId="191029"/>
  <pivotCaches>
    <pivotCache cacheId="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8" l="1" a="1"/>
  <c r="J1" i="8" s="1"/>
  <c r="H1" i="8" a="1"/>
  <c r="H1" i="8" s="1"/>
  <c r="F1" i="8" a="1"/>
  <c r="F1" i="8" s="1"/>
  <c r="G6" i="10" a="1"/>
  <c r="G6" i="10" s="1"/>
  <c r="F6" i="10" a="1"/>
  <c r="F6" i="10" s="1"/>
  <c r="E6" i="10" a="1"/>
  <c r="E6" i="10" s="1"/>
  <c r="I4" i="10" a="1"/>
  <c r="I4" i="10" s="1"/>
  <c r="H4" i="10" a="1"/>
  <c r="H4" i="10" s="1"/>
  <c r="C4" i="10" a="1"/>
  <c r="C4" i="10" s="1"/>
  <c r="B4" i="10" a="1"/>
  <c r="B4" i="10" s="1"/>
  <c r="I2" i="10" a="1"/>
  <c r="I2" i="10" s="1"/>
  <c r="H4" i="5" a="1"/>
  <c r="H4" i="5" s="1"/>
  <c r="I4" i="5" a="1"/>
  <c r="I4" i="5" s="1"/>
  <c r="B4" i="5" a="1"/>
  <c r="B4" i="5" s="1"/>
  <c r="C4" i="5" a="1"/>
  <c r="C4" i="5" s="1"/>
  <c r="B7" i="9"/>
  <c r="B6" i="9" a="1"/>
  <c r="B6" i="9" s="1"/>
  <c r="B5" i="9" a="1"/>
  <c r="B5" i="9" s="1"/>
  <c r="B4" i="9" a="1"/>
  <c r="B4" i="9" s="1"/>
  <c r="B3" i="9" a="1"/>
  <c r="B3" i="9" s="1"/>
  <c r="B2" i="9" a="1"/>
  <c r="B2" i="9" s="1"/>
  <c r="B1" i="9" a="1"/>
  <c r="B1" i="9" s="1"/>
  <c r="G6" i="5" a="1"/>
  <c r="G6" i="5" s="1"/>
  <c r="F6" i="5" a="1"/>
  <c r="F6" i="5" s="1"/>
  <c r="E6" i="5" a="1"/>
  <c r="E6" i="5" s="1"/>
  <c r="I2" i="5" a="1"/>
  <c r="I2" i="5" s="1"/>
  <c r="B5" i="5"/>
  <c r="C5" i="5"/>
  <c r="B5" i="10"/>
  <c r="C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E9F0BD-DE45-4BB9-94DC-730881B3A70F}" keepAlive="1" name="Query - Data" description="Connection to the 'Data' query in the workbook." type="5" refreshedVersion="8" refreshOnLoad="1" saveData="1">
    <dbPr connection="Provider=Microsoft.Mashup.OleDb.1;Data Source=$Workbook$;Location=Data;Extended Properties=&quot;&quot;" command="SELECT * FROM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<sst xmlns="http://schemas.openxmlformats.org/spreadsheetml/2006/main" count="160" uniqueCount="114">
  <si>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</si>
  <si>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</si>
  <si>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</si>
  <si>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</si>
  <si>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</si>
  <si>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</si>
  <si>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</si>
  <si>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</si>
  <si>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</si>
  <si>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</si>
  <si>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</si>
  <si>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</si>
  <si>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</si>
  <si>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</si>
  <si>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</si>
  <si>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</si>
  <si>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</si>
  <si>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</si>
  <si>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</si>
  <si>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</si>
  <si>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</si>
  <si>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</si>
  <si>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</si>
  <si>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</si>
  <si>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</si>
  <si>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</si>
  <si>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</si>
  <si>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</si>
  <si>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</si>
  <si>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</si>
  <si>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</si>
  <si>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</si>
  <si>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</si>
  <si>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</si>
  <si>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</si>
  <si>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</si>
  <si>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</si>
  <si>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</si>
  <si>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</si>
  <si>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</si>
  <si>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</si>
  <si>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</si>
  <si>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</si>
  <si>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</si>
  <si>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</si>
  <si>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</si>
  <si>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</si>
  <si>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</si>
  <si>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</si>
  <si>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</si>
  <si>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</si>
  <si>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</si>
  <si>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</si>
  <si>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</si>
  <si>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</si>
  <si>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</si>
  <si>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</si>
  <si>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</si>
  <si>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</si>
  <si>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</si>
  <si>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</si>
  <si>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</si>
  <si>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</si>
  <si>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</si>
  <si>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PrintLine</t>
  </si>
  <si>
    <t>TotalInvtValue_ItemLedgEntry</t>
  </si>
  <si>
    <t>InvtValue5_ItemLedgEntry</t>
  </si>
  <si>
    <t>InvtValue4_ItemLedgEntry</t>
  </si>
  <si>
    <t>InvtValue3_ItemLedgEntry</t>
  </si>
  <si>
    <t>InvtValue2_ItemLedgEntry</t>
  </si>
  <si>
    <t>InvtValue1_ItemLedgEntry</t>
  </si>
  <si>
    <t>Description_Item</t>
  </si>
  <si>
    <t>No_Item</t>
  </si>
  <si>
    <t/>
  </si>
  <si>
    <t>False</t>
  </si>
  <si>
    <t>Grand Total</t>
  </si>
  <si>
    <t>$No_Item$</t>
  </si>
  <si>
    <t>$ItemAgeCompositionValueLbl$</t>
  </si>
  <si>
    <t>$BeforeLbl$</t>
  </si>
  <si>
    <t>$AfterLbl$</t>
  </si>
  <si>
    <t>$Description_Item$</t>
  </si>
  <si>
    <t>$InventoryValue2Lbl$</t>
  </si>
  <si>
    <t>$InventoryValue3Lbl$</t>
  </si>
  <si>
    <t>$InventoryValue4Lbl$</t>
  </si>
  <si>
    <t>InventoryPostingGroup_Item</t>
  </si>
  <si>
    <t>StatisticsGroup_Item</t>
  </si>
  <si>
    <t>$InventoryValueLbl$</t>
  </si>
  <si>
    <t>$DocumentationLbl$</t>
  </si>
  <si>
    <t>$ReportNameLbl$</t>
  </si>
  <si>
    <t>$RunOnLbl$</t>
  </si>
  <si>
    <t>$UserLbl$</t>
  </si>
  <si>
    <t>$CompanyLbl$</t>
  </si>
  <si>
    <t>$EnvironmentLbl$</t>
  </si>
  <si>
    <t>(blank)</t>
  </si>
  <si>
    <t>InvtQty1_ItemLedgEntry</t>
  </si>
  <si>
    <t>InvtQty2_ItemLedgEntry</t>
  </si>
  <si>
    <t>InvtQty3_ItemLedgEntry</t>
  </si>
  <si>
    <t>InvtQty4_ItemLedgEntry</t>
  </si>
  <si>
    <t>InvtQty5_ItemLedgEntry</t>
  </si>
  <si>
    <t>TotalInvtQty</t>
  </si>
  <si>
    <t>$Inventory2Lbl$</t>
  </si>
  <si>
    <t>$Inventory3Lbl$</t>
  </si>
  <si>
    <t>$Inventory4Lbl$</t>
  </si>
  <si>
    <t>$InventoryLbl$</t>
  </si>
  <si>
    <t>$ItemAgeCompositionQtyLbl$</t>
  </si>
  <si>
    <t>$InvValueBeforeLbl$</t>
  </si>
  <si>
    <t>$InvValueAfterLbl$</t>
  </si>
  <si>
    <t>$InvBeforeLbl$</t>
  </si>
  <si>
    <t>$InvAfterLbl$</t>
  </si>
  <si>
    <t>EndingDateText</t>
  </si>
  <si>
    <t>Period1RangeText</t>
  </si>
  <si>
    <t>Period2RangeText</t>
  </si>
  <si>
    <t>Period3RangeText</t>
  </si>
  <si>
    <t>LocationFilterText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</si>
</sst>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F400]h:mm:ss\ AM/PM"/>
    <numFmt numFmtId="166" formatCode="d/mm/yyyy;@"/>
  </numFmts>
  <fonts count="17" x14ac:knownFonts="1">
    <font>
      <sz val="11"/>
      <name val="Segoe UI"/>
      <family val="2"/>
      <scheme val="minor"/>
    </font>
    <font>
      <b/>
      <sz val="11"/>
      <name val="Segoe UI"/>
      <family val="2"/>
      <scheme val="minor"/>
    </font>
    <font>
      <b/>
      <sz val="15"/>
      <color theme="1"/>
      <name val="Segoe UI"/>
      <family val="2"/>
      <scheme val="minor"/>
    </font>
    <font>
      <b/>
      <sz val="18"/>
      <color rgb="FF212121"/>
      <name val="Segoe UI Semibold"/>
      <family val="2"/>
    </font>
    <font>
      <b/>
      <sz val="13"/>
      <color theme="1"/>
      <name val="Segoe UI"/>
      <family val="2"/>
      <scheme val="minor"/>
    </font>
    <font>
      <b/>
      <sz val="10"/>
      <color rgb="FF212121"/>
      <name val="Segoe UI Semibold"/>
      <family val="2"/>
    </font>
    <font>
      <sz val="10"/>
      <color rgb="FF212121"/>
      <name val="Segoe UI"/>
      <family val="2"/>
    </font>
    <font>
      <sz val="10"/>
      <name val="Segoe UI"/>
      <family val="2"/>
      <scheme val="minor"/>
    </font>
    <font>
      <sz val="8"/>
      <name val="Segoe UI"/>
      <family val="2"/>
      <scheme val="minor"/>
    </font>
    <font>
      <sz val="14"/>
      <name val="Segoe UI"/>
      <family val="2"/>
      <scheme val="minor"/>
    </font>
    <font>
      <sz val="10"/>
      <color theme="1"/>
      <name val="Segoe UI Semibold"/>
      <family val="2"/>
      <scheme val="major"/>
    </font>
    <font>
      <u/>
      <sz val="11"/>
      <color theme="10"/>
      <name val="Segoe UI"/>
      <family val="2"/>
      <scheme val="minor"/>
    </font>
    <font>
      <sz val="10"/>
      <color theme="1"/>
      <name val="Segoe UI Semibold"/>
      <family val="2"/>
    </font>
    <font>
      <sz val="10"/>
      <color rgb="FF212121"/>
      <name val="Segoe UI"/>
      <family val="2"/>
      <scheme val="minor"/>
    </font>
    <font>
      <sz val="10"/>
      <color theme="1"/>
      <name val="Segoe UI Semibold"/>
      <family val="2"/>
    </font>
    <font>
      <u/>
      <sz val="10"/>
      <color theme="10"/>
      <name val="Segoe UI"/>
      <family val="2"/>
      <scheme val="minor"/>
    </font>
    <font>
      <sz val="10"/>
      <name val="Segoe UI Semibold"/>
    </font>
  </fonts>
  <fills count="4">
    <fill>
      <patternFill patternType="none"/>
    </fill>
    <fill>
      <patternFill patternType="gray125"/>
    </fill>
    <fill>
      <patternFill patternType="solid">
        <fgColor rgb="FFC0C0C0"/>
        <bgColor indexed="64"/>
      </patternFill>
    </fill>
    <fill>
      <patternFill patternType="solid">
        <fgColor theme="5"/>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thick">
        <color rgb="FFE9EBED"/>
      </bottom>
      <diagonal/>
    </border>
    <border>
      <left/>
      <right/>
      <top style="thin">
        <color theme="4"/>
      </top>
      <bottom style="thin">
        <color theme="4"/>
      </bottom>
      <diagonal/>
    </border>
  </borders>
  <cellStyleXfs count="4">
    <xf numFmtId="0" fontId="0" fillId="0" borderId="0"/>
    <xf numFmtId="0" fontId="2" fillId="0" borderId="1" applyNumberFormat="0" applyFill="0" applyBorder="0" applyAlignment="0" applyProtection="0"/>
    <xf numFmtId="0" fontId="4" fillId="0" borderId="2" applyNumberFormat="0" applyFill="0" applyAlignment="0" applyProtection="0"/>
    <xf numFmtId="0" fontId="11" fillId="0" borderId="0" applyNumberFormat="0" applyFill="0" applyBorder="0" applyAlignment="0" applyProtection="0"/>
  </cellStyleXfs>
  <cellXfs count="24">
    <xf numFmtId="0" fontId="0" fillId="0" borderId="0" xfId="0"/>
    <xf numFmtId="49" fontId="1" fillId="2" borderId="0" xfId="0" applyNumberFormat="1" applyFont="1" applyFill="1"/>
    <xf numFmtId="4" fontId="0" fillId="0" borderId="0" xfId="0" applyNumberFormat="1"/>
    <xf numFmtId="0" fontId="3" fillId="0" borderId="0" xfId="1" applyFont="1" applyFill="1" applyBorder="1" applyAlignment="1">
      <alignment vertical="center"/>
    </xf>
    <xf numFmtId="0" fontId="5" fillId="0" borderId="3" xfId="2" applyFont="1" applyFill="1" applyBorder="1" applyAlignment="1">
      <alignment horizontal="right" vertical="center"/>
    </xf>
    <xf numFmtId="164" fontId="6" fillId="0" borderId="0" xfId="0" applyNumberFormat="1" applyFont="1" applyAlignment="1">
      <alignment horizontal="right" vertical="center"/>
    </xf>
    <xf numFmtId="0" fontId="7" fillId="0" borderId="0" xfId="0" applyFont="1" applyAlignment="1">
      <alignment vertical="center"/>
    </xf>
    <xf numFmtId="0" fontId="0" fillId="0" borderId="0" xfId="0" applyAlignment="1">
      <alignment vertical="center"/>
    </xf>
    <xf numFmtId="0" fontId="9" fillId="0" borderId="0" xfId="0" applyFont="1" applyAlignment="1">
      <alignment vertical="center"/>
    </xf>
    <xf numFmtId="0" fontId="10" fillId="0" borderId="0" xfId="0" applyFont="1" applyAlignment="1">
      <alignment vertical="center"/>
    </xf>
    <xf numFmtId="0" fontId="7" fillId="0" borderId="0" xfId="0" applyFont="1" applyAlignment="1">
      <alignment horizontal="left" vertical="center"/>
    </xf>
    <xf numFmtId="165" fontId="7" fillId="0" borderId="0" xfId="0" applyNumberFormat="1" applyFont="1" applyAlignment="1">
      <alignment horizontal="left" vertical="center"/>
    </xf>
    <xf numFmtId="164" fontId="7" fillId="0" borderId="0" xfId="0" applyNumberFormat="1" applyFont="1" applyAlignment="1">
      <alignment horizontal="left" vertical="center"/>
    </xf>
    <xf numFmtId="0" fontId="12" fillId="3" borderId="4" xfId="0" applyFont="1" applyFill="1" applyBorder="1" applyAlignment="1">
      <alignment horizontal="left" vertical="center"/>
    </xf>
    <xf numFmtId="0" fontId="9" fillId="0" borderId="0" xfId="0" applyFont="1"/>
    <xf numFmtId="166" fontId="7" fillId="0" borderId="0" xfId="0" applyNumberFormat="1" applyFont="1" applyAlignment="1">
      <alignment horizontal="left" vertical="center"/>
    </xf>
    <xf numFmtId="0" fontId="13" fillId="0" borderId="0" xfId="0" applyFont="1" applyAlignment="1">
      <alignment horizontal="right" vertical="center"/>
    </xf>
    <xf numFmtId="0" fontId="12" fillId="3" borderId="4" xfId="0" applyFont="1" applyFill="1" applyBorder="1" applyAlignment="1">
      <alignment horizontal="right" vertical="center"/>
    </xf>
    <xf numFmtId="0" fontId="14" fillId="3" borderId="4" xfId="0" applyFont="1" applyFill="1" applyBorder="1" applyAlignment="1">
      <alignment horizontal="left" vertical="center"/>
    </xf>
    <xf numFmtId="0" fontId="15" fillId="0" borderId="0" xfId="3" applyFont="1" applyAlignment="1">
      <alignment horizontal="left" vertical="center"/>
    </xf>
    <xf numFmtId="0" fontId="16" fillId="0" borderId="0" xfId="0" applyFont="1" applyAlignment="1">
      <alignment horizontal="right" vertical="center"/>
    </xf>
    <xf numFmtId="0" fontId="16" fillId="0" borderId="0" xfId="0" pivotButton="1" applyFont="1" applyAlignment="1">
      <alignment horizontal="left" vertical="center"/>
    </xf>
    <xf numFmtId="0" fontId="16" fillId="0" borderId="0" xfId="0" applyFont="1" applyAlignment="1">
      <alignment horizontal="left" vertical="center"/>
    </xf>
    <xf numFmtId="0" fontId="7" fillId="0" borderId="0" xfId="0" applyNumberFormat="1" applyFont="1" applyAlignment="1">
      <alignment vertical="center"/>
    </xf>
  </cellXfs>
  <cellStyles count="4">
    <cellStyle name="Heading 1 2" xfId="1" xr:uid="{8274B70B-DC89-4A5C-9E84-C39FA0726C63}"/>
    <cellStyle name="Heading 2 2" xfId="2" xr:uid="{E67C6645-C128-4EA7-8256-ABC450938A88}"/>
    <cellStyle name="Hyperlink" xfId="3" builtinId="8"/>
    <cellStyle name="Normal" xfId="0" builtinId="0"/>
  </cellStyles>
  <dxfs count="9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4" formatCode="#,##0.00"/>
    </dxf>
    <dxf>
      <numFmt numFmtId="4" formatCode="#,##0.00"/>
    </dxf>
    <dxf>
      <numFmt numFmtId="4" formatCode="#,##0.00"/>
    </dxf>
    <dxf>
      <numFmt numFmtId="4" formatCode="#,##0.00"/>
    </dxf>
    <dxf>
      <numFmt numFmtId="4" formatCode="#,##0.00"/>
    </dxf>
    <dxf>
      <numFmt numFmtId="4" formatCode="#,##0.00"/>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sz val="10"/>
      </font>
      <numFmt numFmtId="4" formatCode="#,##0.00"/>
      <alignment vertical="center"/>
    </dxf>
    <dxf>
      <numFmt numFmtId="2" formatCode="0.00"/>
    </dxf>
    <dxf>
      <font>
        <sz val="10"/>
      </font>
      <numFmt numFmtId="2" formatCode="0.00"/>
      <alignment vertical="center"/>
    </dxf>
    <dxf>
      <font>
        <sz val="10"/>
        <name val="Segoe UI Semibold"/>
        <scheme val="none"/>
      </font>
      <alignment horizontal="right" vertical="center"/>
    </dxf>
    <dxf>
      <font>
        <sz val="10"/>
        <name val="Segoe UI Semibold"/>
        <scheme val="none"/>
      </font>
      <alignment horizontal="right" vertical="center"/>
    </dxf>
    <dxf>
      <font>
        <sz val="10"/>
        <name val="Segoe UI Semibold"/>
        <scheme val="none"/>
      </font>
      <alignment horizontal="right" vertical="center"/>
    </dxf>
    <dxf>
      <font>
        <sz val="10"/>
        <name val="Segoe UI Semibold"/>
        <scheme val="none"/>
      </font>
      <alignment horizontal="right" vertical="center"/>
    </dxf>
    <dxf>
      <font>
        <sz val="10"/>
        <name val="Segoe UI Semibold"/>
        <scheme val="none"/>
      </font>
      <alignment horizontal="right" vertical="center"/>
    </dxf>
    <dxf>
      <font>
        <sz val="10"/>
        <name val="Segoe UI Semibold"/>
        <scheme val="none"/>
      </font>
      <alignment horizontal="left" vertical="center"/>
    </dxf>
    <dxf>
      <alignment vertical="center"/>
    </dxf>
    <dxf>
      <font>
        <sz val="10"/>
      </font>
    </dxf>
    <dxf>
      <font>
        <sz val="10"/>
      </font>
      <numFmt numFmtId="4" formatCode="#,##0.00"/>
      <alignment vertical="center"/>
    </dxf>
    <dxf>
      <alignment horizontal="general"/>
    </dxf>
    <dxf>
      <numFmt numFmtId="2" formatCode="0.00"/>
    </dxf>
    <dxf>
      <font>
        <sz val="10"/>
      </font>
      <numFmt numFmtId="4" formatCode="#,##0.00"/>
      <alignment vertical="center"/>
    </dxf>
    <dxf>
      <font>
        <sz val="10"/>
      </font>
      <numFmt numFmtId="4" formatCode="#,##0.00"/>
      <alignment vertical="center"/>
    </dxf>
    <dxf>
      <alignment horizontal="left"/>
    </dxf>
    <dxf>
      <font>
        <sz val="10"/>
        <name val="Segoe UI Semibold"/>
        <scheme val="none"/>
      </font>
      <alignment horizontal="right" vertical="center"/>
    </dxf>
    <dxf>
      <font>
        <sz val="10"/>
        <name val="Segoe UI Semibold"/>
        <scheme val="none"/>
      </font>
      <alignment horizontal="left" vertical="center"/>
    </dxf>
    <dxf>
      <alignment horizontal="left"/>
    </dxf>
    <dxf>
      <font>
        <sz val="10"/>
        <name val="Segoe UI Semibold"/>
        <scheme val="none"/>
      </font>
      <alignment vertical="center"/>
    </dxf>
    <dxf>
      <font>
        <sz val="10"/>
      </font>
      <numFmt numFmtId="4" formatCode="#,##0.00"/>
      <alignment vertical="center"/>
    </dxf>
    <dxf>
      <font>
        <sz val="10"/>
      </font>
      <numFmt numFmtId="4" formatCode="#,##0.00"/>
      <alignment vertical="center"/>
    </dxf>
    <dxf>
      <font>
        <sz val="10"/>
      </font>
      <numFmt numFmtId="2" formatCode="0.00"/>
      <alignment vertical="center"/>
    </dxf>
    <dxf>
      <font>
        <sz val="10"/>
      </font>
    </dxf>
    <dxf>
      <alignment vertical="center"/>
    </dxf>
    <dxf>
      <numFmt numFmtId="2" formatCode="0.00"/>
    </dxf>
    <dxf>
      <alignment horizontal="left"/>
    </dxf>
    <dxf>
      <font>
        <sz val="10"/>
        <name val="Segoe UI Semibold"/>
        <scheme val="none"/>
      </font>
      <alignment horizontal="right" vertical="center"/>
    </dxf>
    <dxf>
      <font>
        <sz val="10"/>
        <name val="Segoe UI Semibold"/>
        <scheme val="none"/>
      </font>
      <alignment horizontal="right" vertical="center"/>
    </dxf>
    <dxf>
      <font>
        <sz val="10"/>
        <name val="Segoe UI Semibold"/>
        <scheme val="none"/>
      </font>
      <alignment horizontal="right" vertical="center"/>
    </dxf>
    <dxf>
      <alignment vertical="center"/>
    </dxf>
    <dxf>
      <font>
        <sz val="10"/>
      </font>
    </dxf>
    <dxf>
      <alignment vertical="center"/>
    </dxf>
    <dxf>
      <font>
        <sz val="10"/>
      </font>
    </dxf>
    <dxf>
      <font>
        <sz val="10"/>
      </font>
      <numFmt numFmtId="4" formatCode="#,##0.00"/>
      <alignment vertical="center"/>
    </dxf>
    <dxf>
      <font>
        <sz val="10"/>
        <name val="Segoe UI Semibold"/>
        <scheme val="none"/>
      </font>
      <alignment horizontal="left" vertical="center"/>
    </dxf>
    <dxf>
      <alignment horizontal="left"/>
    </dxf>
    <dxf>
      <font>
        <sz val="10"/>
        <name val="Segoe UI Semibold"/>
        <scheme val="none"/>
      </font>
      <alignment horizontal="right" vertical="center"/>
    </dxf>
    <dxf>
      <font>
        <sz val="10"/>
      </font>
      <numFmt numFmtId="4" formatCode="#,##0.00"/>
      <alignment vertical="center"/>
    </dxf>
    <dxf>
      <alignment vertical="center"/>
    </dxf>
    <dxf>
      <font>
        <sz val="10"/>
      </font>
    </dxf>
    <dxf>
      <numFmt numFmtId="0" formatCode="General"/>
    </dxf>
    <dxf>
      <alignment vertical="center"/>
    </dxf>
    <dxf>
      <numFmt numFmtId="2" formatCode="0.00"/>
    </dxf>
    <dxf>
      <numFmt numFmtId="2" formatCode="0.00"/>
    </dxf>
    <dxf>
      <numFmt numFmtId="2" formatCode="0.00"/>
    </dxf>
    <dxf>
      <numFmt numFmtId="2" formatCode="0.00"/>
    </dxf>
    <dxf>
      <numFmt numFmtId="2" formatCode="0.00"/>
    </dxf>
    <dxf>
      <numFmt numFmtId="2" formatCode="0.00"/>
    </dxf>
    <dxf>
      <font>
        <sz val="10"/>
      </font>
    </dxf>
    <dxf>
      <font>
        <sz val="10"/>
      </font>
      <numFmt numFmtId="4" formatCode="#,##0.00"/>
      <alignment vertical="center"/>
    </dxf>
    <dxf>
      <font>
        <sz val="10"/>
      </font>
      <numFmt numFmtId="4" formatCode="#,##0.00"/>
      <alignment vertical="center"/>
    </dxf>
    <dxf>
      <font>
        <sz val="10"/>
        <name val="Segoe UI Semibold"/>
        <scheme val="none"/>
      </font>
      <alignment horizontal="right" vertical="center"/>
    </dxf>
    <dxf>
      <alignment horizontal="left"/>
    </dxf>
    <dxf>
      <font>
        <sz val="10"/>
        <name val="Segoe UI Semibold"/>
        <scheme val="none"/>
      </font>
      <alignment horizontal="right" vertical="center"/>
    </dxf>
    <dxf>
      <font>
        <sz val="10"/>
        <name val="Segoe UI Semibold"/>
        <scheme val="none"/>
      </font>
      <alignment horizontal="right" vertical="center"/>
    </dxf>
    <dxf>
      <font>
        <sz val="10"/>
        <name val="Segoe UI Semibold"/>
        <scheme val="none"/>
      </font>
      <alignment horizontal="left" vertical="center"/>
    </dxf>
    <dxf>
      <alignment horizontal="left"/>
    </dxf>
    <dxf>
      <font>
        <sz val="10"/>
        <name val="Segoe UI Semibold"/>
        <scheme val="none"/>
      </font>
      <alignment horizontal="right" vertical="center"/>
    </dxf>
    <dxf>
      <font>
        <sz val="10"/>
      </font>
      <numFmt numFmtId="4" formatCode="#,##0.00"/>
      <alignment vertical="center"/>
    </dxf>
    <dxf>
      <font>
        <sz val="10"/>
      </font>
      <numFmt numFmtId="4" formatCode="#,##0.00"/>
      <alignment vertical="center"/>
    </dxf>
    <dxf>
      <font>
        <sz val="10"/>
        <name val="Segoe UI Semibold"/>
        <scheme val="none"/>
      </font>
      <alignment horizontal="right" vertical="center"/>
    </dxf>
    <dxf>
      <font>
        <sz val="10"/>
        <name val="Segoe UI Semibold"/>
        <scheme val="none"/>
      </font>
      <alignment horizontal="right" vertical="center"/>
    </dxf>
    <dxf>
      <font>
        <sz val="10"/>
        <name val="Segoe UI Semibold"/>
        <scheme val="none"/>
      </font>
      <alignment horizontal="right" vertical="cent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 Table Style (Template)" table="0" count="4" xr9:uid="{448D8BCF-97AF-4E59-8088-0FED2F1324DA}">
      <tableStyleElement type="wholeTable" dxfId="94"/>
      <tableStyleElement type="headerRow" dxfId="93"/>
      <tableStyleElement type="totalRow" dxfId="92"/>
      <tableStyleElement type="secondRowStripe" dxfId="91"/>
    </tableStyle>
    <tableStyle name="Business Central Reports Slicer Style (Template)" pivot="0" table="0" count="10" xr9:uid="{4321FF29-35C6-48A6-800D-A06250738174}">
      <tableStyleElement type="wholeTable" dxfId="90"/>
      <tableStyleElement type="headerRow" dxfId="89"/>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1818000</xdr:colOff>
      <xdr:row>10</xdr:row>
      <xdr:rowOff>9675</xdr:rowOff>
    </xdr:to>
    <mc:AlternateContent xmlns:mc="http://schemas.openxmlformats.org/markup-compatibility/2006" xmlns:a14="http://schemas.microsoft.com/office/drawing/2010/main">
      <mc:Choice Requires="a14">
        <xdr:graphicFrame macro="">
          <xdr:nvGraphicFramePr>
            <xdr:cNvPr id="2" name="$No_Item$">
              <a:extLst>
                <a:ext uri="{FF2B5EF4-FFF2-40B4-BE49-F238E27FC236}">
                  <a16:creationId xmlns:a16="http://schemas.microsoft.com/office/drawing/2014/main" id="{AC59A413-5943-C656-9FB9-2C5A9AA581A2}"/>
                </a:ext>
              </a:extLst>
            </xdr:cNvPr>
            <xdr:cNvGraphicFramePr/>
          </xdr:nvGraphicFramePr>
          <xdr:xfrm>
            <a:off x="0" y="0"/>
            <a:ext cx="0" cy="0"/>
          </xdr:xfrm>
          <a:graphic>
            <a:graphicData uri="http://schemas.microsoft.com/office/drawing/2010/slicer">
              <sle:slicer xmlns:sle="http://schemas.microsoft.com/office/drawing/2010/slicer" name="$No_Item$"/>
            </a:graphicData>
          </a:graphic>
        </xdr:graphicFrame>
      </mc:Choice>
      <mc:Fallback xmlns="">
        <xdr:sp macro="" textlink="">
          <xdr:nvSpPr>
            <xdr:cNvPr id="0" name=""/>
            <xdr:cNvSpPr>
              <a:spLocks noTextEdit="1"/>
            </xdr:cNvSpPr>
          </xdr:nvSpPr>
          <xdr:spPr>
            <a:xfrm>
              <a:off x="0" y="0"/>
              <a:ext cx="1821175" cy="26068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1905000</xdr:colOff>
      <xdr:row>0</xdr:row>
      <xdr:rowOff>0</xdr:rowOff>
    </xdr:from>
    <xdr:to>
      <xdr:col>0</xdr:col>
      <xdr:colOff>3723000</xdr:colOff>
      <xdr:row>10</xdr:row>
      <xdr:rowOff>9675</xdr:rowOff>
    </xdr:to>
    <mc:AlternateContent xmlns:mc="http://schemas.openxmlformats.org/markup-compatibility/2006" xmlns:a14="http://schemas.microsoft.com/office/drawing/2010/main">
      <mc:Choice Requires="a14">
        <xdr:graphicFrame macro="">
          <xdr:nvGraphicFramePr>
            <xdr:cNvPr id="3" name="$InventoryPostingGroup_Item$">
              <a:extLst>
                <a:ext uri="{FF2B5EF4-FFF2-40B4-BE49-F238E27FC236}">
                  <a16:creationId xmlns:a16="http://schemas.microsoft.com/office/drawing/2014/main" id="{CEC70266-D457-F084-778D-8E4AA997B1F5}"/>
                </a:ext>
              </a:extLst>
            </xdr:cNvPr>
            <xdr:cNvGraphicFramePr/>
          </xdr:nvGraphicFramePr>
          <xdr:xfrm>
            <a:off x="0" y="0"/>
            <a:ext cx="0" cy="0"/>
          </xdr:xfrm>
          <a:graphic>
            <a:graphicData uri="http://schemas.microsoft.com/office/drawing/2010/slicer">
              <sle:slicer xmlns:sle="http://schemas.microsoft.com/office/drawing/2010/slicer" name="$InventoryPostingGroup_Item$"/>
            </a:graphicData>
          </a:graphic>
        </xdr:graphicFrame>
      </mc:Choice>
      <mc:Fallback xmlns="">
        <xdr:sp macro="" textlink="">
          <xdr:nvSpPr>
            <xdr:cNvPr id="0" name=""/>
            <xdr:cNvSpPr>
              <a:spLocks noTextEdit="1"/>
            </xdr:cNvSpPr>
          </xdr:nvSpPr>
          <xdr:spPr>
            <a:xfrm>
              <a:off x="1905000" y="0"/>
              <a:ext cx="1821175" cy="26068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5987.369774421299" createdVersion="8" refreshedVersion="8" minRefreshableVersion="3" recordCount="1" xr:uid="{5BD6B56E-A179-47D2-903A-4E7C42D98419}">
  <cacheSource type="worksheet">
    <worksheetSource name="Data_1"/>
  </cacheSource>
  <cacheFields count="17">
    <cacheField name="No_Item" numFmtId="0">
      <sharedItems containsNonDate="0" containsBlank="1" count="2">
        <m/>
        <s v="" u="1"/>
      </sharedItems>
    </cacheField>
    <cacheField name="Description_Item" numFmtId="0">
      <sharedItems containsNonDate="0" containsBlank="1" count="2">
        <m/>
        <s v="" u="1"/>
      </sharedItems>
    </cacheField>
    <cacheField name="InventoryPostingGroup_Item" numFmtId="0">
      <sharedItems containsNonDate="0" containsString="0" containsBlank="1" count="1">
        <m/>
      </sharedItems>
    </cacheField>
    <cacheField name="StatisticsGroup_Item" numFmtId="0">
      <sharedItems containsNonDate="0" containsString="0" containsBlank="1"/>
    </cacheField>
    <cacheField name="PrintLine" numFmtId="0">
      <sharedItems containsNonDate="0" containsString="0" containsBlank="1"/>
    </cacheField>
    <cacheField name="TotalInvtValue_ItemLedgEntry" numFmtId="0">
      <sharedItems containsNonDate="0" containsString="0" containsBlank="1"/>
    </cacheField>
    <cacheField name="InvtValue5_ItemLedgEntry" numFmtId="0">
      <sharedItems containsNonDate="0" containsString="0" containsBlank="1"/>
    </cacheField>
    <cacheField name="InvtValue4_ItemLedgEntry" numFmtId="0">
      <sharedItems containsNonDate="0" containsString="0" containsBlank="1"/>
    </cacheField>
    <cacheField name="InvtValue3_ItemLedgEntry" numFmtId="0">
      <sharedItems containsNonDate="0" containsString="0" containsBlank="1"/>
    </cacheField>
    <cacheField name="InvtValue2_ItemLedgEntry" numFmtId="0">
      <sharedItems containsNonDate="0" containsString="0" containsBlank="1"/>
    </cacheField>
    <cacheField name="InvtValue1_ItemLedgEntry" numFmtId="0">
      <sharedItems containsNonDate="0" containsString="0" containsBlank="1"/>
    </cacheField>
    <cacheField name="TotalInvtQty" numFmtId="0">
      <sharedItems containsNonDate="0" containsString="0" containsBlank="1"/>
    </cacheField>
    <cacheField name="InvtQty5_ItemLedgEntry" numFmtId="0">
      <sharedItems containsNonDate="0" containsString="0" containsBlank="1"/>
    </cacheField>
    <cacheField name="InvtQty4_ItemLedgEntry" numFmtId="0">
      <sharedItems containsNonDate="0" containsString="0" containsBlank="1"/>
    </cacheField>
    <cacheField name="InvtQty3_ItemLedgEntry" numFmtId="0">
      <sharedItems containsNonDate="0" containsString="0" containsBlank="1"/>
    </cacheField>
    <cacheField name="InvtQty2_ItemLedgEntry" numFmtId="0">
      <sharedItems containsNonDate="0" containsString="0" containsBlank="1"/>
    </cacheField>
    <cacheField name="InvtQty1_ItemLedgEntry" numFmtId="0">
      <sharedItems containsNonDate="0" containsString="0" containsBlank="1"/>
    </cacheField>
  </cacheFields>
  <extLst>
    <ext xmlns:x14="http://schemas.microsoft.com/office/spreadsheetml/2009/9/main" uri="{725AE2AE-9491-48be-B2B4-4EB974FC3084}">
      <x14:pivotCacheDefinition pivotCacheId="185811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E7FEC-122B-4FFA-9404-A6F0FB5F416A}" name="PivotTable2" cacheId="6"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7:I9" firstHeaderRow="0" firstDataRow="1" firstDataCol="2"/>
  <pivotFields count="17">
    <pivotField name="$No_Item$" axis="axisRow" compact="0" outline="0" showAll="0" defaultSubtotal="0">
      <items count="2">
        <item m="1" x="1"/>
        <item x="0"/>
      </items>
    </pivotField>
    <pivotField name="$Description_Item$" axis="axisRow" compact="0" outline="0" showAll="0" defaultSubtotal="0">
      <items count="2">
        <item m="1" x="1"/>
        <item x="0"/>
      </items>
    </pivotField>
    <pivotField compact="0" outline="0" subtotalTop="0" showAll="0" defaultSubtotal="0"/>
    <pivotField compact="0" outline="0" subtotalTop="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0"/>
    <field x="1"/>
  </rowFields>
  <rowItems count="2">
    <i>
      <x v="1"/>
      <x v="1"/>
    </i>
    <i t="grand">
      <x/>
    </i>
  </rowItems>
  <colFields count="1">
    <field x="-2"/>
  </colFields>
  <colItems count="6">
    <i>
      <x/>
    </i>
    <i i="1">
      <x v="1"/>
    </i>
    <i i="2">
      <x v="2"/>
    </i>
    <i i="3">
      <x v="3"/>
    </i>
    <i i="4">
      <x v="4"/>
    </i>
    <i i="5">
      <x v="5"/>
    </i>
  </colItems>
  <dataFields count="6">
    <dataField name="$BeforeLbl$" fld="10" baseField="0" baseItem="0"/>
    <dataField name="$InventoryValue2Lbl$" fld="9" baseField="0" baseItem="0"/>
    <dataField name="$InventoryValue3Lbl$" fld="8" baseField="0" baseItem="0"/>
    <dataField name="$InventoryValue4Lbl$" fld="7" baseField="0" baseItem="0"/>
    <dataField name="$AfterLbl$" fld="6" baseField="0" baseItem="0"/>
    <dataField name="$InventoryValueLbl$" fld="5" baseField="0" baseItem="0"/>
  </dataFields>
  <formats count="27">
    <format dxfId="88">
      <pivotArea dataOnly="0" labelOnly="1" outline="0" fieldPosition="0">
        <references count="1">
          <reference field="4294967294" count="1">
            <x v="2"/>
          </reference>
        </references>
      </pivotArea>
    </format>
    <format dxfId="87">
      <pivotArea dataOnly="0" labelOnly="1" outline="0" fieldPosition="0">
        <references count="1">
          <reference field="4294967294" count="1">
            <x v="3"/>
          </reference>
        </references>
      </pivotArea>
    </format>
    <format dxfId="86">
      <pivotArea dataOnly="0" labelOnly="1" outline="0" fieldPosition="0">
        <references count="1">
          <reference field="4294967294" count="1">
            <x v="4"/>
          </reference>
        </references>
      </pivotArea>
    </format>
    <format dxfId="85">
      <pivotArea outline="0" fieldPosition="0">
        <references count="3">
          <reference field="4294967294" count="5" selected="0">
            <x v="1"/>
            <x v="2"/>
            <x v="3"/>
            <x v="4"/>
            <x v="5"/>
          </reference>
          <reference field="0" count="0" selected="0"/>
          <reference field="1" count="0" selected="0"/>
        </references>
      </pivotArea>
    </format>
    <format dxfId="84">
      <pivotArea dataOnly="0" labelOnly="1" outline="0" fieldPosition="0">
        <references count="2">
          <reference field="0" count="0" selected="0"/>
          <reference field="1" count="0"/>
        </references>
      </pivotArea>
    </format>
    <format dxfId="83">
      <pivotArea field="0" type="button" dataOnly="0" labelOnly="1" outline="0" axis="axisRow" fieldPosition="0"/>
    </format>
    <format dxfId="82">
      <pivotArea field="0" type="button" dataOnly="0" labelOnly="1" outline="0" axis="axisRow" fieldPosition="0"/>
    </format>
    <format dxfId="81">
      <pivotArea field="1" type="button" dataOnly="0" labelOnly="1" outline="0" axis="axisRow" fieldPosition="1"/>
    </format>
    <format dxfId="80">
      <pivotArea dataOnly="0" labelOnly="1" outline="0" fieldPosition="0">
        <references count="1">
          <reference field="4294967294" count="1">
            <x v="1"/>
          </reference>
        </references>
      </pivotArea>
    </format>
    <format dxfId="79">
      <pivotArea dataOnly="0" labelOnly="1" outline="0" fieldPosition="0">
        <references count="1">
          <reference field="4294967294" count="1">
            <x v="0"/>
          </reference>
        </references>
      </pivotArea>
    </format>
    <format dxfId="78">
      <pivotArea dataOnly="0" labelOnly="1" outline="0" fieldPosition="0">
        <references count="1">
          <reference field="4294967294" count="1">
            <x v="0"/>
          </reference>
        </references>
      </pivotArea>
    </format>
    <format dxfId="77">
      <pivotArea dataOnly="0" labelOnly="1" outline="0" fieldPosition="0">
        <references count="1">
          <reference field="4294967294" count="1">
            <x v="5"/>
          </reference>
        </references>
      </pivotArea>
    </format>
    <format dxfId="76">
      <pivotArea outline="0" fieldPosition="0">
        <references count="3">
          <reference field="4294967294" count="1" selected="0">
            <x v="0"/>
          </reference>
          <reference field="0" count="0" selected="0"/>
          <reference field="1" count="0" selected="0"/>
        </references>
      </pivotArea>
    </format>
    <format dxfId="75">
      <pivotArea grandRow="1" outline="0" collapsedLevelsAreSubtotals="1" fieldPosition="0"/>
    </format>
    <format dxfId="74">
      <pivotArea dataOnly="0" labelOnly="1" outline="0" fieldPosition="0">
        <references count="1">
          <reference field="0" count="0"/>
        </references>
      </pivotArea>
    </format>
    <format dxfId="73">
      <pivotArea field="0" grandRow="1" outline="0" axis="axisRow" fieldPosition="0">
        <references count="1">
          <reference field="4294967294" count="1" selected="0">
            <x v="0"/>
          </reference>
        </references>
      </pivotArea>
    </format>
    <format dxfId="72">
      <pivotArea field="0" grandRow="1" outline="0" axis="axisRow" fieldPosition="0">
        <references count="1">
          <reference field="4294967294" count="1" selected="0">
            <x v="1"/>
          </reference>
        </references>
      </pivotArea>
    </format>
    <format dxfId="71">
      <pivotArea field="0" grandRow="1" outline="0" axis="axisRow" fieldPosition="0">
        <references count="1">
          <reference field="4294967294" count="1" selected="0">
            <x v="2"/>
          </reference>
        </references>
      </pivotArea>
    </format>
    <format dxfId="70">
      <pivotArea field="0" grandRow="1" outline="0" axis="axisRow" fieldPosition="0">
        <references count="1">
          <reference field="4294967294" count="1" selected="0">
            <x v="3"/>
          </reference>
        </references>
      </pivotArea>
    </format>
    <format dxfId="69">
      <pivotArea field="0" grandRow="1" outline="0" axis="axisRow" fieldPosition="0">
        <references count="1">
          <reference field="4294967294" count="1" selected="0">
            <x v="4"/>
          </reference>
        </references>
      </pivotArea>
    </format>
    <format dxfId="68">
      <pivotArea field="0" grandRow="1" outline="0" axis="axisRow" fieldPosition="0">
        <references count="1">
          <reference field="4294967294" count="1" selected="0">
            <x v="5"/>
          </reference>
        </references>
      </pivotArea>
    </format>
    <format dxfId="67">
      <pivotArea dataOnly="0" labelOnly="1" outline="0" fieldPosition="0">
        <references count="1">
          <reference field="0" count="0"/>
        </references>
      </pivotArea>
    </format>
    <format dxfId="66">
      <pivotArea dataOnly="0" labelOnly="1" outline="0" fieldPosition="0">
        <references count="2">
          <reference field="0" count="0" selected="0"/>
          <reference field="1" count="0"/>
        </references>
      </pivotArea>
    </format>
    <format dxfId="65">
      <pivotArea dataOnly="0" labelOnly="1" grandRow="1" outline="0" fieldPosition="0"/>
    </format>
    <format dxfId="64">
      <pivotArea dataOnly="0" labelOnly="1" grandRow="1" outline="0" fieldPosition="0"/>
    </format>
    <format dxfId="12">
      <pivotArea outline="0" fieldPosition="0">
        <references count="2">
          <reference field="0" count="0" selected="0"/>
          <reference field="1" count="0" selected="0"/>
        </references>
      </pivotArea>
    </format>
    <format dxfId="11">
      <pivotArea grandRow="1" outline="0" collapsedLevelsAreSubtotals="1" fieldPosition="0"/>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05DB32-8145-4161-BD94-05C84AF04228}" name="PivotTable2" cacheId="6"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7:I9" firstHeaderRow="0" firstDataRow="1" firstDataCol="2"/>
  <pivotFields count="17">
    <pivotField name="$No_Item$" axis="axisRow" compact="0" outline="0" showAll="0" defaultSubtotal="0">
      <items count="2">
        <item m="1" x="1"/>
        <item x="0"/>
      </items>
    </pivotField>
    <pivotField name="$Description_Item$" axis="axisRow" compact="0" outline="0" showAll="0" defaultSubtotal="0">
      <items count="2">
        <item m="1" x="1"/>
        <item x="0"/>
      </items>
    </pivotField>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2">
    <field x="0"/>
    <field x="1"/>
  </rowFields>
  <rowItems count="2">
    <i>
      <x v="1"/>
      <x v="1"/>
    </i>
    <i t="grand">
      <x/>
    </i>
  </rowItems>
  <colFields count="1">
    <field x="-2"/>
  </colFields>
  <colItems count="6">
    <i>
      <x/>
    </i>
    <i i="1">
      <x v="1"/>
    </i>
    <i i="2">
      <x v="2"/>
    </i>
    <i i="3">
      <x v="3"/>
    </i>
    <i i="4">
      <x v="4"/>
    </i>
    <i i="5">
      <x v="5"/>
    </i>
  </colItems>
  <dataFields count="6">
    <dataField name="$BeforeLbl$" fld="16" baseField="1" baseItem="1"/>
    <dataField name="$Inventory2Lbl$" fld="15" baseField="1" baseItem="1"/>
    <dataField name="$Inventory3Lbl$" fld="14" baseField="1" baseItem="1"/>
    <dataField name="$Inventory4Lbl$" fld="13" baseField="1" baseItem="1"/>
    <dataField name="$AfterLbl$" fld="12" baseField="1" baseItem="1"/>
    <dataField name="$InventoryLbl$" fld="11" baseField="1" baseItem="1"/>
  </dataFields>
  <formats count="21">
    <format dxfId="63">
      <pivotArea dataOnly="0" labelOnly="1" outline="0" fieldPosition="0">
        <references count="2">
          <reference field="0" count="0" selected="0"/>
          <reference field="1" count="0"/>
        </references>
      </pivotArea>
    </format>
    <format dxfId="62">
      <pivotArea field="0" type="button" dataOnly="0" labelOnly="1" outline="0" axis="axisRow" fieldPosition="0"/>
    </format>
    <format dxfId="61">
      <pivotArea field="0" type="button" dataOnly="0" labelOnly="1" outline="0" axis="axisRow" fieldPosition="0"/>
    </format>
    <format dxfId="60">
      <pivotArea field="1" type="button" dataOnly="0" labelOnly="1" outline="0" axis="axisRow" fieldPosition="1"/>
    </format>
    <format dxfId="59">
      <pivotArea grandRow="1" outline="0" collapsedLevelsAreSubtotals="1" fieldPosition="0"/>
    </format>
    <format dxfId="58">
      <pivotArea dataOnly="0" labelOnly="1" outline="0" fieldPosition="0">
        <references count="1">
          <reference field="0" count="0"/>
        </references>
      </pivotArea>
    </format>
    <format dxfId="57">
      <pivotArea dataOnly="0" labelOnly="1" outline="0" fieldPosition="0">
        <references count="1">
          <reference field="0" count="0"/>
        </references>
      </pivotArea>
    </format>
    <format dxfId="56">
      <pivotArea dataOnly="0" labelOnly="1" grandRow="1" outline="0" fieldPosition="0"/>
    </format>
    <format dxfId="55">
      <pivotArea dataOnly="0" labelOnly="1" grandRow="1" outline="0" fieldPosition="0"/>
    </format>
    <format dxfId="54">
      <pivotArea dataOnly="0" labelOnly="1" outline="0" fieldPosition="0">
        <references count="1">
          <reference field="4294967294" count="4">
            <x v="2"/>
            <x v="3"/>
            <x v="4"/>
            <x v="5"/>
          </reference>
        </references>
      </pivotArea>
    </format>
    <format dxfId="53">
      <pivotArea dataOnly="0" labelOnly="1" outline="0" fieldPosition="0">
        <references count="1">
          <reference field="4294967294" count="1">
            <x v="1"/>
          </reference>
        </references>
      </pivotArea>
    </format>
    <format dxfId="52">
      <pivotArea dataOnly="0" labelOnly="1" outline="0" fieldPosition="0">
        <references count="1">
          <reference field="4294967294" count="1">
            <x v="0"/>
          </reference>
        </references>
      </pivotArea>
    </format>
    <format dxfId="51">
      <pivotArea dataOnly="0" labelOnly="1" outline="0" fieldPosition="0">
        <references count="1">
          <reference field="4294967294" count="1">
            <x v="0"/>
          </reference>
        </references>
      </pivotArea>
    </format>
    <format dxfId="50">
      <pivotArea outline="0" fieldPosition="0">
        <references count="3">
          <reference field="4294967294" count="1" selected="0">
            <x v="0"/>
          </reference>
          <reference field="0" count="0" selected="0"/>
          <reference field="1" count="0" selected="0"/>
        </references>
      </pivotArea>
    </format>
    <format dxfId="49">
      <pivotArea outline="0" fieldPosition="0">
        <references count="3">
          <reference field="4294967294" count="1" selected="0">
            <x v="0"/>
          </reference>
          <reference field="0" count="0" selected="0"/>
          <reference field="1" count="0" selected="0"/>
        </references>
      </pivotArea>
    </format>
    <format dxfId="48">
      <pivotArea outline="0" fieldPosition="0">
        <references count="3">
          <reference field="4294967294" count="1" selected="0">
            <x v="0"/>
          </reference>
          <reference field="0" count="0" selected="0"/>
          <reference field="1" count="0" selected="0"/>
        </references>
      </pivotArea>
    </format>
    <format dxfId="47">
      <pivotArea outline="0" fieldPosition="0">
        <references count="3">
          <reference field="4294967294" count="5" selected="0">
            <x v="1"/>
            <x v="2"/>
            <x v="3"/>
            <x v="4"/>
            <x v="5"/>
          </reference>
          <reference field="0" count="0" selected="0"/>
          <reference field="1" count="0" selected="0"/>
        </references>
      </pivotArea>
    </format>
    <format dxfId="10">
      <pivotArea outline="0" collapsedLevelsAreSubtotals="1" fieldPosition="0"/>
    </format>
    <format dxfId="9">
      <pivotArea dataOnly="0" labelOnly="1" outline="0" fieldPosition="0">
        <references count="1">
          <reference field="0" count="0"/>
        </references>
      </pivotArea>
    </format>
    <format dxfId="8">
      <pivotArea dataOnly="0" labelOnly="1" grandRow="1" outline="0" fieldPosition="0"/>
    </format>
    <format dxfId="7">
      <pivotArea dataOnly="0" labelOnly="1" outline="0" fieldPosition="0">
        <references count="2">
          <reference field="0" count="0" selected="0"/>
          <reference field="1"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0167D5-F176-4337-BEC8-D2BBBF692993}" name="PivotTable2" cacheId="6"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2:O4" firstHeaderRow="0" firstDataRow="1" firstDataCol="2"/>
  <pivotFields count="17">
    <pivotField name="$No_Item$" axis="axisRow" compact="0" outline="0" showAll="0" defaultSubtotal="0">
      <items count="2">
        <item m="1" x="1"/>
        <item x="0"/>
      </items>
    </pivotField>
    <pivotField name="$Description_Item$" axis="axisRow" compact="0" outline="0" showAll="0" defaultSubtotal="0">
      <items count="2">
        <item m="1" x="1"/>
        <item x="0"/>
      </items>
    </pivotField>
    <pivotField compact="0" outline="0" subtotalTop="0" showAll="0" defaultSubtotal="0">
      <items count="1">
        <item x="0"/>
      </items>
    </pivotField>
    <pivotField compact="0" outline="0" subtotalTop="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2">
    <field x="0"/>
    <field x="1"/>
  </rowFields>
  <rowItems count="2">
    <i>
      <x v="1"/>
      <x v="1"/>
    </i>
    <i t="grand">
      <x/>
    </i>
  </rowItems>
  <colFields count="1">
    <field x="-2"/>
  </colFields>
  <colItems count="12">
    <i>
      <x/>
    </i>
    <i i="1">
      <x v="1"/>
    </i>
    <i i="2">
      <x v="2"/>
    </i>
    <i i="3">
      <x v="3"/>
    </i>
    <i i="4">
      <x v="4"/>
    </i>
    <i i="5">
      <x v="5"/>
    </i>
    <i i="6">
      <x v="6"/>
    </i>
    <i i="7">
      <x v="7"/>
    </i>
    <i i="8">
      <x v="8"/>
    </i>
    <i i="9">
      <x v="9"/>
    </i>
    <i i="10">
      <x v="10"/>
    </i>
    <i i="11">
      <x v="11"/>
    </i>
  </colItems>
  <dataFields count="12">
    <dataField name="$InvValueBeforeLbl$" fld="10" baseField="1" baseItem="1"/>
    <dataField name="$InvBeforeLbl$" fld="16" baseField="1" baseItem="1"/>
    <dataField name="$InventoryValue2Lbl$" fld="9" baseField="0" baseItem="0"/>
    <dataField name="$Inventory2Lbl$" fld="15" baseField="1" baseItem="1" numFmtId="4"/>
    <dataField name="$InventoryValue3Lbl$" fld="8" baseField="0" baseItem="0" numFmtId="4"/>
    <dataField name="$Inventory3Lbl$" fld="14" baseField="1" baseItem="1" numFmtId="4"/>
    <dataField name="$InventoryValue4Lbl$" fld="7" baseField="0" baseItem="0" numFmtId="4"/>
    <dataField name="$Inventory4Lbl$" fld="13" baseField="1" baseItem="1" numFmtId="4"/>
    <dataField name="$InvValueAfterLbl$" fld="6" baseField="1" baseItem="1" numFmtId="4"/>
    <dataField name="$InvAfterLbl$" fld="12" baseField="1" baseItem="1" numFmtId="4"/>
    <dataField name="$InventoryValueLbl$" fld="5" baseField="0" baseItem="0" numFmtId="4"/>
    <dataField name="$InventoryLbl$" fld="11" baseField="1" baseItem="1" numFmtId="4"/>
  </dataFields>
  <formats count="27">
    <format dxfId="46">
      <pivotArea outline="0" fieldPosition="0">
        <references count="3">
          <reference field="4294967294" count="5" selected="0">
            <x v="2"/>
            <x v="4"/>
            <x v="6"/>
            <x v="8"/>
            <x v="10"/>
          </reference>
          <reference field="0" count="0" selected="0"/>
          <reference field="1" count="0" selected="0"/>
        </references>
      </pivotArea>
    </format>
    <format dxfId="45">
      <pivotArea dataOnly="0" labelOnly="1" outline="0" fieldPosition="0">
        <references count="2">
          <reference field="0" count="0" selected="0"/>
          <reference field="1" count="0"/>
        </references>
      </pivotArea>
    </format>
    <format dxfId="44">
      <pivotArea field="1" type="button" dataOnly="0" labelOnly="1" outline="0" axis="axisRow" fieldPosition="1"/>
    </format>
    <format dxfId="43">
      <pivotArea field="1" type="button" dataOnly="0" labelOnly="1" outline="0" axis="axisRow" fieldPosition="1"/>
    </format>
    <format dxfId="42">
      <pivotArea field="0" type="button" dataOnly="0" labelOnly="1" outline="0" axis="axisRow" fieldPosition="0"/>
    </format>
    <format dxfId="41">
      <pivotArea dataOnly="0" labelOnly="1" outline="0" fieldPosition="0">
        <references count="1">
          <reference field="4294967294" count="6">
            <x v="0"/>
            <x v="2"/>
            <x v="4"/>
            <x v="6"/>
            <x v="8"/>
            <x v="10"/>
          </reference>
        </references>
      </pivotArea>
    </format>
    <format dxfId="40">
      <pivotArea dataOnly="0" labelOnly="1" outline="0" fieldPosition="0">
        <references count="1">
          <reference field="4294967294" count="1">
            <x v="0"/>
          </reference>
        </references>
      </pivotArea>
    </format>
    <format dxfId="39">
      <pivotArea outline="0" fieldPosition="0">
        <references count="3">
          <reference field="4294967294" count="1" selected="0">
            <x v="0"/>
          </reference>
          <reference field="0" count="0" selected="0"/>
          <reference field="1" count="0" selected="0"/>
        </references>
      </pivotArea>
    </format>
    <format dxfId="38">
      <pivotArea grandRow="1" outline="0" collapsedLevelsAreSubtotals="1" fieldPosition="0"/>
    </format>
    <format dxfId="37">
      <pivotArea outline="0" fieldPosition="0">
        <references count="3">
          <reference field="4294967294" count="1" selected="0">
            <x v="0"/>
          </reference>
          <reference field="0" count="0" selected="0"/>
          <reference field="1" count="0" selected="0"/>
        </references>
      </pivotArea>
    </format>
    <format dxfId="36">
      <pivotArea dataOnly="0" labelOnly="1" outline="0" fieldPosition="0">
        <references count="2">
          <reference field="0" count="0" selected="0"/>
          <reference field="1" count="0"/>
        </references>
      </pivotArea>
    </format>
    <format dxfId="35">
      <pivotArea dataOnly="0" labelOnly="1" outline="0" fieldPosition="0">
        <references count="1">
          <reference field="0" count="0"/>
        </references>
      </pivotArea>
    </format>
    <format dxfId="34">
      <pivotArea dataOnly="0" labelOnly="1" grandRow="1" outline="0" fieldPosition="0"/>
    </format>
    <format dxfId="33">
      <pivotArea dataOnly="0" labelOnly="1" grandRow="1" outline="0" fieldPosition="0"/>
    </format>
    <format dxfId="32">
      <pivotArea dataOnly="0" labelOnly="1" outline="0" fieldPosition="0">
        <references count="1">
          <reference field="4294967294" count="1">
            <x v="1"/>
          </reference>
        </references>
      </pivotArea>
    </format>
    <format dxfId="31">
      <pivotArea dataOnly="0" labelOnly="1" outline="0" fieldPosition="0">
        <references count="1">
          <reference field="4294967294" count="1">
            <x v="3"/>
          </reference>
        </references>
      </pivotArea>
    </format>
    <format dxfId="30">
      <pivotArea dataOnly="0" labelOnly="1" outline="0" fieldPosition="0">
        <references count="1">
          <reference field="4294967294" count="1">
            <x v="5"/>
          </reference>
        </references>
      </pivotArea>
    </format>
    <format dxfId="29">
      <pivotArea dataOnly="0" labelOnly="1" outline="0" fieldPosition="0">
        <references count="1">
          <reference field="4294967294" count="1">
            <x v="7"/>
          </reference>
        </references>
      </pivotArea>
    </format>
    <format dxfId="28">
      <pivotArea dataOnly="0" labelOnly="1" outline="0" fieldPosition="0">
        <references count="1">
          <reference field="4294967294" count="1">
            <x v="9"/>
          </reference>
        </references>
      </pivotArea>
    </format>
    <format dxfId="27">
      <pivotArea dataOnly="0" labelOnly="1" outline="0" fieldPosition="0">
        <references count="1">
          <reference field="4294967294" count="1">
            <x v="11"/>
          </reference>
        </references>
      </pivotArea>
    </format>
    <format dxfId="26">
      <pivotArea outline="0" fieldPosition="0">
        <references count="3">
          <reference field="4294967294" count="1" selected="0">
            <x v="1"/>
          </reference>
          <reference field="0" count="0" selected="0"/>
          <reference field="1" count="0" selected="0"/>
        </references>
      </pivotArea>
    </format>
    <format dxfId="25">
      <pivotArea field="0" grandRow="1" outline="0" axis="axisRow" fieldPosition="0">
        <references count="1">
          <reference field="4294967294" count="2" selected="0">
            <x v="0"/>
            <x v="1"/>
          </reference>
        </references>
      </pivotArea>
    </format>
    <format dxfId="24">
      <pivotArea outline="0" fieldPosition="0">
        <references count="1">
          <reference field="4294967294" count="9" selected="0">
            <x v="3"/>
            <x v="4"/>
            <x v="5"/>
            <x v="6"/>
            <x v="7"/>
            <x v="8"/>
            <x v="9"/>
            <x v="10"/>
            <x v="11"/>
          </reference>
        </references>
      </pivotArea>
    </format>
    <format dxfId="5">
      <pivotArea outline="0" collapsedLevelsAreSubtotals="1" fieldPosition="0"/>
    </format>
    <format dxfId="4">
      <pivotArea dataOnly="0" labelOnly="1" outline="0" fieldPosition="0">
        <references count="1">
          <reference field="0" count="0"/>
        </references>
      </pivotArea>
    </format>
    <format dxfId="2">
      <pivotArea dataOnly="0" labelOnly="1" grandRow="1" outline="0" fieldPosition="0"/>
    </format>
    <format dxfId="1">
      <pivotArea dataOnly="0" labelOnly="1" outline="0" fieldPosition="0">
        <references count="2">
          <reference field="0" count="0" selected="0"/>
          <reference field="1"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427E360B-4C79-4D2B-8C9F-29C98E4C1B4F}" autoFormatId="16" applyNumberFormats="0" applyBorderFormats="0" applyFontFormats="0" applyPatternFormats="0" applyAlignmentFormats="0" applyWidthHeightFormats="0">
  <queryTableRefresh nextId="52">
    <queryTableFields count="17">
      <queryTableField id="39" name="No_Item" tableColumnId="39"/>
      <queryTableField id="38" name="Description_Item" tableColumnId="38"/>
      <queryTableField id="40" name="InventoryPostingGroup_Item" tableColumnId="40"/>
      <queryTableField id="41" name="StatisticsGroup_Item" tableColumnId="41"/>
      <queryTableField id="11" name="PrintLine" tableColumnId="11"/>
      <queryTableField id="32" name="TotalInvtValue_ItemLedgEntry" tableColumnId="32"/>
      <queryTableField id="33" name="InvtValue5_ItemLedgEntry" tableColumnId="33"/>
      <queryTableField id="34" name="InvtValue4_ItemLedgEntry" tableColumnId="34"/>
      <queryTableField id="35" name="InvtValue3_ItemLedgEntry" tableColumnId="35"/>
      <queryTableField id="36" name="InvtValue2_ItemLedgEntry" tableColumnId="36"/>
      <queryTableField id="37" name="InvtValue1_ItemLedgEntry" tableColumnId="37"/>
      <queryTableField id="46" name="TotalInvtQty" tableColumnId="1"/>
      <queryTableField id="47" name="InvtQty5_ItemLedgEntry" tableColumnId="2"/>
      <queryTableField id="48" name="InvtQty4_ItemLedgEntry" tableColumnId="3"/>
      <queryTableField id="49" name="InvtQty3_ItemLedgEntry" tableColumnId="4"/>
      <queryTableField id="50" name="InvtQty2_ItemLedgEntry" tableColumnId="5"/>
      <queryTableField id="51" name="InvtQty1_ItemLedgEntry"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Item" xr10:uid="{D49205F4-32E2-4096-AE26-B1546E579154}" sourceName="No_Item">
  <pivotTables>
    <pivotTable tabId="8" name="PivotTable2"/>
  </pivotTables>
  <data>
    <tabular pivotCacheId="185811209" showMissing="0">
      <items count="2">
        <i x="0"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PostingGroup_Item" xr10:uid="{A3578B62-0E41-4EDC-A7C6-BA9A0DF8599D}" sourceName="InventoryPostingGroup_Item">
  <pivotTables>
    <pivotTable tabId="8" name="PivotTable2"/>
  </pivotTables>
  <data>
    <tabular pivotCacheId="185811209" showMissing="0">
      <items count="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_Item$" xr10:uid="{3DF23A23-3D67-4736-BA77-363B83933C7B}" cache="Slicer_No_Item" caption="$No_Item$" style="Business Central Reports Slicer Style (Template)" rowHeight="273050"/>
  <slicer name="$InventoryPostingGroup_Item$" xr10:uid="{F0C69BB7-A015-4324-BAFA-4903DE629537}" cache="Slicer_InventoryPostingGroup_Item" caption="$InventoryPostingGroup_Item$"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C6CBB0-06F6-48AA-9987-DAEF8AF54E63}" name="Data_1" displayName="Data_1" ref="A1:Q2" tableType="queryTable" insertRow="1" totalsRowShown="0">
  <autoFilter ref="A1:Q2" xr:uid="{4DC6CBB0-06F6-48AA-9987-DAEF8AF54E63}"/>
  <tableColumns count="17">
    <tableColumn id="39" xr3:uid="{16F94F87-A045-4A2D-86CE-EBE7458DB856}" uniqueName="39" name="No_Item" queryTableFieldId="39"/>
    <tableColumn id="38" xr3:uid="{C20DFCDA-B56E-4BDD-9E75-022D739CD82A}" uniqueName="38" name="Description_Item" queryTableFieldId="38"/>
    <tableColumn id="40" xr3:uid="{229EDA8F-E9C4-42B4-B1EF-EABE790A0663}" uniqueName="40" name="InventoryPostingGroup_Item" queryTableFieldId="40"/>
    <tableColumn id="41" xr3:uid="{FB75E77A-669D-483A-82F6-6A5F8393E678}" uniqueName="41" name="StatisticsGroup_Item" queryTableFieldId="41"/>
    <tableColumn id="11" xr3:uid="{1EF44039-465B-43AC-93D1-24A20C2ABDCF}" uniqueName="11" name="PrintLine" queryTableFieldId="11"/>
    <tableColumn id="32" xr3:uid="{CE15F1B4-645D-4212-B945-09638C851127}" uniqueName="32" name="TotalInvtValue_ItemLedgEntry" queryTableFieldId="32"/>
    <tableColumn id="33" xr3:uid="{521A749F-E04B-44FB-968B-E027E6F2C098}" uniqueName="33" name="InvtValue5_ItemLedgEntry" queryTableFieldId="33"/>
    <tableColumn id="34" xr3:uid="{391F5C48-095C-4FE4-84FA-24782C81B73F}" uniqueName="34" name="InvtValue4_ItemLedgEntry" queryTableFieldId="34"/>
    <tableColumn id="35" xr3:uid="{A8CA480F-BDAE-4654-99F9-12830F8999C8}" uniqueName="35" name="InvtValue3_ItemLedgEntry" queryTableFieldId="35"/>
    <tableColumn id="36" xr3:uid="{8A387470-BC4D-4FA3-89B2-6660F435F8E5}" uniqueName="36" name="InvtValue2_ItemLedgEntry" queryTableFieldId="36"/>
    <tableColumn id="37" xr3:uid="{072711BF-5C7A-4012-9146-7E992F1CBE65}" uniqueName="37" name="InvtValue1_ItemLedgEntry" queryTableFieldId="37"/>
    <tableColumn id="1" xr3:uid="{7171FA4C-0E13-42A7-AF9F-C6098ACECE26}" uniqueName="1" name="TotalInvtQty" queryTableFieldId="46"/>
    <tableColumn id="2" xr3:uid="{24D92EF1-7735-46C8-9D7B-9F53E8AECD6D}" uniqueName="2" name="InvtQty5_ItemLedgEntry" queryTableFieldId="47"/>
    <tableColumn id="3" xr3:uid="{5FDB5E0C-8400-48B6-8E7F-CD5BEA0A57B6}" uniqueName="3" name="InvtQty4_ItemLedgEntry" queryTableFieldId="48"/>
    <tableColumn id="4" xr3:uid="{9D391972-0FB9-4C45-A94A-1166EB168819}" uniqueName="4" name="InvtQty3_ItemLedgEntry" queryTableFieldId="49"/>
    <tableColumn id="5" xr3:uid="{708B169D-149F-491F-BFD8-2F1201AA421D}" uniqueName="5" name="InvtQty2_ItemLedgEntry" queryTableFieldId="50"/>
    <tableColumn id="6" xr3:uid="{EC33039F-1645-4EF4-8D56-79BCA0480371}" uniqueName="6" name="InvtQty1_ItemLedgEntry" queryTableFieldId="5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V2" totalsRowShown="0" headerRowDxfId="23">
  <autoFilter ref="A1:V2" xr:uid="{41D726F2-778D-4B1C-A5EA-875FED73D050}"/>
  <tableColumns count="22">
    <tableColumn id="11" xr3:uid="{21867904-D69E-41E3-B5BE-D9B124B8D7E4}" name="PrintLine"/>
    <tableColumn id="32" xr3:uid="{21867904-D69E-41E3-B5BE-D9B124B8D7E4}" name="TotalInvtValue_ItemLedgEntry"/>
    <tableColumn id="33" xr3:uid="{21867904-D69E-41E3-B5BE-D9B124B8D7E4}" name="InvtValue5_ItemLedgEntry"/>
    <tableColumn id="34" xr3:uid="{21867904-D69E-41E3-B5BE-D9B124B8D7E4}" name="InvtValue4_ItemLedgEntry"/>
    <tableColumn id="35" xr3:uid="{21867904-D69E-41E3-B5BE-D9B124B8D7E4}" name="InvtValue3_ItemLedgEntry"/>
    <tableColumn id="36" xr3:uid="{21867904-D69E-41E3-B5BE-D9B124B8D7E4}" name="InvtValue2_ItemLedgEntry"/>
    <tableColumn id="37" xr3:uid="{21867904-D69E-41E3-B5BE-D9B124B8D7E4}" name="InvtValue1_ItemLedgEntry"/>
    <tableColumn id="1" xr3:uid="{C06693B0-78F4-43CB-B573-DE67B5B7A8A3}" name="InvtQty1_ItemLedgEntry" dataDxfId="22"/>
    <tableColumn id="2" xr3:uid="{3FF99EC5-33A1-4E0B-8EF0-9E421FA3F557}" name="InvtQty2_ItemLedgEntry" dataDxfId="21"/>
    <tableColumn id="3" xr3:uid="{BE3A4AFA-EA0C-406F-BC78-5E1167796EEB}" name="InvtQty3_ItemLedgEntry" dataDxfId="20"/>
    <tableColumn id="4" xr3:uid="{7E7A2399-C9DE-482B-90AE-894C99BD0C12}" name="InvtQty4_ItemLedgEntry" dataDxfId="19"/>
    <tableColumn id="5" xr3:uid="{F470DABE-8862-4BC1-9560-45F31A5C037C}" name="InvtQty5_ItemLedgEntry" dataDxfId="18"/>
    <tableColumn id="6" xr3:uid="{086D5EBC-D9FE-447F-9CC7-1D39EFB22FD0}" name="TotalInvtQty" dataDxfId="17"/>
    <tableColumn id="38" xr3:uid="{21867904-D69E-41E3-B5BE-D9B124B8D7E4}" name="Description_Item"/>
    <tableColumn id="39" xr3:uid="{21867904-D69E-41E3-B5BE-D9B124B8D7E4}" name="No_Item"/>
    <tableColumn id="40" xr3:uid="{C81517BC-B460-403F-86E0-990D7DAA80E8}" name="InventoryPostingGroup_Item"/>
    <tableColumn id="41" xr3:uid="{4B19C94C-5AE0-456E-B216-C3DDADD34028}" name="StatisticsGroup_Item"/>
    <tableColumn id="42" xr3:uid="{1D6EC04F-361F-44FC-9978-0883E51746B5}" name="EndingDateText"/>
    <tableColumn id="43" xr3:uid="{FF87C6D8-BD5F-4A29-B191-A044CDF4113E}" name="Period1RangeText"/>
    <tableColumn id="44" xr3:uid="{EEDA43B9-DBCA-42C0-B501-584DD04C42DC}" name="Period2RangeText"/>
    <tableColumn id="45" xr3:uid="{3D347558-2A58-44E5-A40F-B91036AD7E9F}" name="Period3RangeText"/>
    <tableColumn id="46" xr3:uid="{8365E80A-EFB7-4ED3-80EF-065ADA21628D}" name="LocationFilterText"/>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16">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15">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4">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13">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FDE5B-BFD5-4E84-9D58-287806169389}">
  <sheetPr>
    <pageSetUpPr fitToPage="1"/>
  </sheetPr>
  <dimension ref="A2:I9"/>
  <sheetViews>
    <sheetView showGridLines="0" tabSelected="1" zoomScaleNormal="100" workbookViewId="0"/>
  </sheetViews>
  <sheetFormatPr defaultRowHeight="20.149999999999999" customHeight="1" x14ac:dyDescent="0.55000000000000004"/>
  <cols>
    <col min="1" max="1" width="9.08203125" style="14" customWidth="1"/>
    <col min="2" max="2" width="14.83203125" customWidth="1"/>
    <col min="3" max="3" width="32.33203125" customWidth="1"/>
    <col min="4" max="4" width="17.33203125" customWidth="1"/>
    <col min="5" max="7" width="22.83203125" customWidth="1"/>
    <col min="8" max="8" width="17.33203125" customWidth="1"/>
    <col min="9" max="9" width="25.58203125" customWidth="1"/>
    <col min="10" max="10" width="7.75" customWidth="1"/>
    <col min="11" max="11" width="17.58203125" bestFit="1" customWidth="1"/>
  </cols>
  <sheetData>
    <row r="2" spans="2:9" ht="21.75" customHeight="1" thickBot="1" x14ac:dyDescent="0.6">
      <c r="B2" s="3" t="s">
        <v>77</v>
      </c>
      <c r="I2" s="4" t="str" cm="1">
        <f t="array" ref="I2">ReportRequest.CompanyName</f>
        <v>Company name Value</v>
      </c>
    </row>
    <row r="3" spans="2:9" ht="20.149999999999999" customHeight="1" thickTop="1" x14ac:dyDescent="0.55000000000000004"/>
    <row r="4" spans="2:9" ht="20.149999999999999" customHeight="1" x14ac:dyDescent="0.55000000000000004">
      <c r="B4" s="10" t="e" cm="1">
        <f t="array" ref="B4">IF(EndingDateFilter="", "", "Ending Date")</f>
        <v>#N/A</v>
      </c>
      <c r="C4" s="15" t="e" cm="1">
        <f t="array" ref="C4">EndingDateFilter</f>
        <v>#N/A</v>
      </c>
      <c r="H4" s="16" t="e" cm="1">
        <f t="array" ref="H4">Caption.DataRetrievedLbl</f>
        <v>#NAME?</v>
      </c>
      <c r="I4" s="5" t="str" cm="1">
        <f t="array" ref="I4">ReportRequest.DateLocal</f>
        <v>Date (Local) Value</v>
      </c>
    </row>
    <row r="5" spans="2:9" ht="20.149999999999999" customHeight="1" x14ac:dyDescent="0.55000000000000004">
      <c r="B5" s="10" t="str">
        <f>IF(LocationFilter="","",Caption.LocationFilterLbl)</f>
        <v/>
      </c>
      <c r="C5" s="15" t="str">
        <f>LocationFilter</f>
        <v/>
      </c>
      <c r="I5" s="5"/>
    </row>
    <row r="6" spans="2:9" ht="20.149999999999999" customHeight="1" x14ac:dyDescent="0.55000000000000004">
      <c r="B6" s="13"/>
      <c r="C6" s="13"/>
      <c r="D6" s="13"/>
      <c r="E6" s="17" t="e" cm="1">
        <f t="array" ref="E6">Period1Text</f>
        <v>#N/A</v>
      </c>
      <c r="F6" s="17" t="e" cm="1">
        <f t="array" ref="F6">Period2Text</f>
        <v>#N/A</v>
      </c>
      <c r="G6" s="17" t="e" cm="1">
        <f t="array" ref="G6">Period3Text</f>
        <v>#N/A</v>
      </c>
      <c r="H6" s="13"/>
      <c r="I6" s="13"/>
    </row>
    <row r="7" spans="2:9" ht="20.149999999999999" customHeight="1" x14ac:dyDescent="0.55000000000000004">
      <c r="B7" s="21" t="s">
        <v>76</v>
      </c>
      <c r="C7" s="21" t="s">
        <v>80</v>
      </c>
      <c r="D7" s="22" t="s">
        <v>78</v>
      </c>
      <c r="E7" s="20" t="s">
        <v>81</v>
      </c>
      <c r="F7" s="20" t="s">
        <v>82</v>
      </c>
      <c r="G7" s="20" t="s">
        <v>83</v>
      </c>
      <c r="H7" s="20" t="s">
        <v>79</v>
      </c>
      <c r="I7" s="20" t="s">
        <v>86</v>
      </c>
    </row>
    <row r="8" spans="2:9" ht="20.149999999999999" customHeight="1" x14ac:dyDescent="0.55000000000000004">
      <c r="B8" s="6" t="s">
        <v>93</v>
      </c>
      <c r="C8" s="23" t="s">
        <v>93</v>
      </c>
      <c r="D8" s="23"/>
      <c r="E8" s="23"/>
      <c r="F8" s="23"/>
      <c r="G8" s="23"/>
      <c r="H8" s="23"/>
      <c r="I8" s="23"/>
    </row>
    <row r="9" spans="2:9" ht="20.149999999999999" customHeight="1" x14ac:dyDescent="0.55000000000000004">
      <c r="B9" s="6" t="s">
        <v>75</v>
      </c>
      <c r="C9" s="6"/>
      <c r="D9" s="23"/>
      <c r="E9" s="23"/>
      <c r="F9" s="23"/>
      <c r="G9" s="23"/>
      <c r="H9" s="23"/>
      <c r="I9" s="23"/>
    </row>
  </sheetData>
  <printOptions horizontalCentered="1"/>
  <pageMargins left="0.25" right="0.25" top="0.75" bottom="0.75" header="0.3" footer="0.3"/>
  <pageSetup paperSize="9" scale="55"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32CC6-CD57-4F3D-B7F6-35A89704540D}">
  <sheetPr>
    <pageSetUpPr fitToPage="1"/>
  </sheetPr>
  <dimension ref="A2:I9"/>
  <sheetViews>
    <sheetView showGridLines="0" zoomScaleNormal="100" workbookViewId="0"/>
  </sheetViews>
  <sheetFormatPr defaultRowHeight="20.149999999999999" customHeight="1" x14ac:dyDescent="0.55000000000000004"/>
  <cols>
    <col min="1" max="1" width="9.08203125" style="14" customWidth="1"/>
    <col min="2" max="2" width="14.83203125" customWidth="1"/>
    <col min="3" max="3" width="32.33203125" customWidth="1"/>
    <col min="4" max="4" width="17.33203125" customWidth="1"/>
    <col min="5" max="7" width="22.83203125" customWidth="1"/>
    <col min="8" max="8" width="17.33203125" customWidth="1"/>
    <col min="9" max="9" width="25.58203125" customWidth="1"/>
    <col min="10" max="10" width="7.75" customWidth="1"/>
    <col min="11" max="11" width="17.58203125" bestFit="1" customWidth="1"/>
  </cols>
  <sheetData>
    <row r="2" spans="2:9" ht="21.75" customHeight="1" thickBot="1" x14ac:dyDescent="0.6">
      <c r="B2" s="3" t="s">
        <v>104</v>
      </c>
      <c r="I2" s="4" t="str" cm="1">
        <f t="array" ref="I2">ReportRequest.CompanyName</f>
        <v>Company name Value</v>
      </c>
    </row>
    <row r="3" spans="2:9" ht="20.149999999999999" customHeight="1" thickTop="1" x14ac:dyDescent="0.55000000000000004"/>
    <row r="4" spans="2:9" ht="20.149999999999999" customHeight="1" x14ac:dyDescent="0.55000000000000004">
      <c r="B4" s="10" t="e" cm="1">
        <f t="array" ref="B4">IF(EndingDateFilter="", "", "Ending Date")</f>
        <v>#N/A</v>
      </c>
      <c r="C4" s="15" t="e" cm="1">
        <f t="array" ref="C4">EndingDateFilter</f>
        <v>#N/A</v>
      </c>
      <c r="H4" s="16" t="e" cm="1">
        <f t="array" ref="H4">Caption.DataRetrievedLbl</f>
        <v>#NAME?</v>
      </c>
      <c r="I4" s="5" t="str" cm="1">
        <f t="array" ref="I4">ReportRequest.DateLocal</f>
        <v>Date (Local) Value</v>
      </c>
    </row>
    <row r="5" spans="2:9" ht="20.149999999999999" customHeight="1" x14ac:dyDescent="0.55000000000000004">
      <c r="B5" s="10" t="str">
        <f>IF(LocationFilter="","",Caption.LocationFilterLbl)</f>
        <v/>
      </c>
      <c r="C5" s="15" t="str">
        <f>LocationFilter</f>
        <v/>
      </c>
      <c r="I5" s="5"/>
    </row>
    <row r="6" spans="2:9" ht="20.149999999999999" customHeight="1" x14ac:dyDescent="0.55000000000000004">
      <c r="B6" s="13"/>
      <c r="C6" s="13"/>
      <c r="D6" s="13"/>
      <c r="E6" s="17" t="e" cm="1">
        <f t="array" ref="E6">Period1Text</f>
        <v>#N/A</v>
      </c>
      <c r="F6" s="17" t="e" cm="1">
        <f t="array" ref="F6">Period2Text</f>
        <v>#N/A</v>
      </c>
      <c r="G6" s="17" t="e" cm="1">
        <f t="array" ref="G6">Period3Text</f>
        <v>#N/A</v>
      </c>
      <c r="H6" s="13"/>
      <c r="I6" s="13"/>
    </row>
    <row r="7" spans="2:9" ht="20.149999999999999" customHeight="1" x14ac:dyDescent="0.55000000000000004">
      <c r="B7" s="21" t="s">
        <v>76</v>
      </c>
      <c r="C7" s="21" t="s">
        <v>80</v>
      </c>
      <c r="D7" s="22" t="s">
        <v>78</v>
      </c>
      <c r="E7" s="20" t="s">
        <v>100</v>
      </c>
      <c r="F7" s="20" t="s">
        <v>101</v>
      </c>
      <c r="G7" s="20" t="s">
        <v>102</v>
      </c>
      <c r="H7" s="20" t="s">
        <v>79</v>
      </c>
      <c r="I7" s="20" t="s">
        <v>103</v>
      </c>
    </row>
    <row r="8" spans="2:9" ht="20.149999999999999" customHeight="1" x14ac:dyDescent="0.55000000000000004">
      <c r="B8" s="23" t="s">
        <v>93</v>
      </c>
      <c r="C8" s="23" t="s">
        <v>93</v>
      </c>
      <c r="D8" s="23"/>
      <c r="E8" s="23"/>
      <c r="F8" s="23"/>
      <c r="G8" s="23"/>
      <c r="H8" s="23"/>
      <c r="I8" s="23"/>
    </row>
    <row r="9" spans="2:9" ht="20.149999999999999" customHeight="1" x14ac:dyDescent="0.55000000000000004">
      <c r="B9" s="23" t="s">
        <v>75</v>
      </c>
      <c r="C9" s="23"/>
      <c r="D9" s="23"/>
      <c r="E9" s="23"/>
      <c r="F9" s="23"/>
      <c r="G9" s="23"/>
      <c r="H9" s="23"/>
      <c r="I9" s="23"/>
    </row>
  </sheetData>
  <printOptions horizontalCentered="1"/>
  <pageMargins left="0.25" right="0.25" top="0.75" bottom="0.75" header="0.3" footer="0.3"/>
  <pageSetup paperSize="9" scale="55" fitToHeight="0"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7CD7-9CEA-4075-9870-3FF80C9E4A88}">
  <dimension ref="A1:O4"/>
  <sheetViews>
    <sheetView showGridLines="0" zoomScaleNormal="100" workbookViewId="0"/>
  </sheetViews>
  <sheetFormatPr defaultRowHeight="20.149999999999999" customHeight="1" x14ac:dyDescent="0.55000000000000004"/>
  <cols>
    <col min="1" max="1" width="50.75" style="14" customWidth="1"/>
    <col min="2" max="2" width="14.83203125" customWidth="1"/>
    <col min="3" max="3" width="32.33203125" customWidth="1"/>
    <col min="4" max="4" width="20.83203125" customWidth="1"/>
    <col min="5" max="5" width="16" customWidth="1"/>
    <col min="6" max="6" width="22.83203125" customWidth="1"/>
    <col min="7" max="7" width="17.83203125" customWidth="1"/>
    <col min="8" max="8" width="22.83203125" customWidth="1"/>
    <col min="9" max="9" width="17.83203125" customWidth="1"/>
    <col min="10" max="10" width="22.83203125" customWidth="1"/>
    <col min="11" max="11" width="17.83203125" customWidth="1"/>
    <col min="12" max="12" width="19.33203125" customWidth="1"/>
    <col min="13" max="15" width="17.33203125" customWidth="1"/>
  </cols>
  <sheetData>
    <row r="1" spans="2:15" ht="20.149999999999999" customHeight="1" x14ac:dyDescent="0.55000000000000004">
      <c r="B1" s="18"/>
      <c r="C1" s="18"/>
      <c r="D1" s="18"/>
      <c r="E1" s="18"/>
      <c r="F1" s="17" t="e" cm="1">
        <f t="array" ref="F1">Period1Text</f>
        <v>#N/A</v>
      </c>
      <c r="G1" s="18"/>
      <c r="H1" s="17" t="e" cm="1">
        <f t="array" ref="H1">Period2Text</f>
        <v>#N/A</v>
      </c>
      <c r="I1" s="18"/>
      <c r="J1" s="17" t="e" cm="1">
        <f t="array" ref="J1">Period3Text</f>
        <v>#N/A</v>
      </c>
      <c r="K1" s="18"/>
      <c r="L1" s="18"/>
      <c r="M1" s="18"/>
      <c r="N1" s="18"/>
      <c r="O1" s="18"/>
    </row>
    <row r="2" spans="2:15" ht="21" x14ac:dyDescent="0.55000000000000004">
      <c r="B2" s="21" t="s">
        <v>76</v>
      </c>
      <c r="C2" s="21" t="s">
        <v>80</v>
      </c>
      <c r="D2" s="22" t="s">
        <v>105</v>
      </c>
      <c r="E2" s="22" t="s">
        <v>107</v>
      </c>
      <c r="F2" s="20" t="s">
        <v>81</v>
      </c>
      <c r="G2" s="20" t="s">
        <v>100</v>
      </c>
      <c r="H2" s="20" t="s">
        <v>82</v>
      </c>
      <c r="I2" s="20" t="s">
        <v>101</v>
      </c>
      <c r="J2" s="20" t="s">
        <v>83</v>
      </c>
      <c r="K2" s="20" t="s">
        <v>102</v>
      </c>
      <c r="L2" s="20" t="s">
        <v>106</v>
      </c>
      <c r="M2" s="20" t="s">
        <v>108</v>
      </c>
      <c r="N2" s="20" t="s">
        <v>86</v>
      </c>
      <c r="O2" s="20" t="s">
        <v>103</v>
      </c>
    </row>
    <row r="3" spans="2:15" ht="21" x14ac:dyDescent="0.55000000000000004">
      <c r="B3" s="23" t="s">
        <v>93</v>
      </c>
      <c r="C3" s="23" t="s">
        <v>93</v>
      </c>
      <c r="D3" s="23"/>
      <c r="E3" s="23"/>
      <c r="F3" s="23"/>
      <c r="G3" s="23"/>
      <c r="H3" s="23"/>
      <c r="I3" s="23"/>
      <c r="J3" s="23"/>
      <c r="K3" s="23"/>
      <c r="L3" s="23"/>
      <c r="M3" s="23"/>
      <c r="N3" s="23"/>
      <c r="O3" s="23"/>
    </row>
    <row r="4" spans="2:15" ht="21" x14ac:dyDescent="0.55000000000000004">
      <c r="B4" s="23" t="s">
        <v>75</v>
      </c>
      <c r="C4" s="23"/>
      <c r="D4" s="23"/>
      <c r="E4" s="23"/>
      <c r="F4" s="23"/>
      <c r="G4" s="23"/>
      <c r="H4" s="23"/>
      <c r="I4" s="23"/>
      <c r="J4" s="23"/>
      <c r="K4" s="23"/>
      <c r="L4" s="23"/>
      <c r="M4" s="23"/>
      <c r="N4" s="23"/>
      <c r="O4" s="2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656F8-6AAD-461D-9576-D9DCE96CA146}">
  <sheetPr>
    <pageSetUpPr fitToPage="1"/>
  </sheetPr>
  <dimension ref="A1:C8"/>
  <sheetViews>
    <sheetView showGridLines="0" zoomScaleNormal="100" workbookViewId="0"/>
  </sheetViews>
  <sheetFormatPr defaultColWidth="8.58203125" defaultRowHeight="20.149999999999999" customHeight="1" x14ac:dyDescent="0.45"/>
  <cols>
    <col min="1" max="1" width="17.33203125" style="7" customWidth="1"/>
    <col min="2" max="2" width="25.58203125" style="7" customWidth="1"/>
    <col min="3" max="3" width="8.58203125" style="8"/>
    <col min="4" max="16384" width="8.58203125" style="7"/>
  </cols>
  <sheetData>
    <row r="1" spans="1:2" ht="20.149999999999999" customHeight="1" x14ac:dyDescent="0.45">
      <c r="A1" s="9" t="s">
        <v>92</v>
      </c>
      <c r="B1" s="10" t="str" cm="1">
        <f t="array" ref="B1">ReportRequest.EnvironmentName</f>
        <v>Environment name Value</v>
      </c>
    </row>
    <row r="2" spans="1:2" ht="20.149999999999999" customHeight="1" x14ac:dyDescent="0.45">
      <c r="A2" s="9" t="s">
        <v>91</v>
      </c>
      <c r="B2" s="10" t="str" cm="1">
        <f t="array" ref="B2">ReportRequest.CompanyName</f>
        <v>Company name Value</v>
      </c>
    </row>
    <row r="3" spans="1:2" ht="20.149999999999999" customHeight="1" x14ac:dyDescent="0.45">
      <c r="A3" s="9" t="s">
        <v>90</v>
      </c>
      <c r="B3" s="10" t="str" cm="1">
        <f t="array" ref="B3">ReportRequest.UserName</f>
        <v>User name Value</v>
      </c>
    </row>
    <row r="4" spans="1:2" ht="20.149999999999999" customHeight="1" x14ac:dyDescent="0.45">
      <c r="A4" s="9" t="s">
        <v>89</v>
      </c>
      <c r="B4" s="12" t="str" cm="1">
        <f t="array" ref="B4">ReportRequest.DateLocal</f>
        <v>Date (Local) Value</v>
      </c>
    </row>
    <row r="5" spans="1:2" ht="20.149999999999999" customHeight="1" x14ac:dyDescent="0.45">
      <c r="A5" s="9"/>
      <c r="B5" s="11" t="str" cm="1">
        <f t="array" ref="B5">ReportRequest.DateLocal</f>
        <v>Date (Local) Value</v>
      </c>
    </row>
    <row r="6" spans="1:2" ht="20.149999999999999" customHeight="1" x14ac:dyDescent="0.45">
      <c r="A6" s="9" t="s">
        <v>88</v>
      </c>
      <c r="B6" s="10" t="str" cm="1">
        <f t="array" ref="B6">ReportMetadata.ObjectCaption</f>
        <v>Object Caption Value</v>
      </c>
    </row>
    <row r="7" spans="1:2" ht="20.149999999999999" customHeight="1" x14ac:dyDescent="0.45">
      <c r="A7" s="9" t="s">
        <v>87</v>
      </c>
      <c r="B7" s="19" t="str">
        <f>HYPERLINK(_xlfn.CONCAT("https://learn.microsoft.com/dynamics365/business-central/reports/report-",ReportMetadata.ObjectID))</f>
        <v>https://learn.microsoft.com/dynamics365/business-central/reports/report-Object ID Value</v>
      </c>
    </row>
    <row r="8" spans="1:2" ht="20.149999999999999" customHeight="1" x14ac:dyDescent="0.45">
      <c r="A8" s="9"/>
      <c r="B8" s="6"/>
    </row>
  </sheetData>
  <printOptions horizontalCentered="1"/>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8ECC8-A1CC-402C-BE16-6A1A0B9B7808}">
  <dimension ref="A1:Q1"/>
  <sheetViews>
    <sheetView workbookViewId="0"/>
  </sheetViews>
  <sheetFormatPr defaultRowHeight="16.5" x14ac:dyDescent="0.45"/>
  <cols>
    <col min="1" max="1" width="10.75" bestFit="1" customWidth="1"/>
    <col min="2" max="2" width="18.25" bestFit="1" customWidth="1"/>
    <col min="3" max="3" width="29.25" bestFit="1" customWidth="1"/>
    <col min="4" max="4" width="21.75" bestFit="1" customWidth="1"/>
    <col min="5" max="5" width="11.08203125" bestFit="1" customWidth="1"/>
    <col min="6" max="6" width="30.33203125" bestFit="1" customWidth="1"/>
    <col min="7" max="11" width="26.83203125" bestFit="1" customWidth="1"/>
    <col min="12" max="12" width="14.33203125" bestFit="1" customWidth="1"/>
    <col min="13" max="17" width="25.08203125" bestFit="1" customWidth="1"/>
    <col min="18" max="18" width="26.75" bestFit="1" customWidth="1"/>
    <col min="19" max="22" width="16.33203125" bestFit="1" customWidth="1"/>
    <col min="23" max="23" width="19.83203125" bestFit="1" customWidth="1"/>
    <col min="24" max="28" width="17.75" bestFit="1" customWidth="1"/>
    <col min="29" max="29" width="21.25" bestFit="1" customWidth="1"/>
    <col min="30" max="30" width="34.25" bestFit="1" customWidth="1"/>
    <col min="31" max="31" width="27" bestFit="1" customWidth="1"/>
    <col min="32" max="32" width="14.58203125" bestFit="1" customWidth="1"/>
    <col min="33" max="33" width="16" bestFit="1" customWidth="1"/>
    <col min="34" max="34" width="23.75" bestFit="1" customWidth="1"/>
    <col min="35" max="35" width="24.5" bestFit="1" customWidth="1"/>
    <col min="36" max="36" width="16.83203125" bestFit="1" customWidth="1"/>
    <col min="37" max="37" width="14.5" bestFit="1" customWidth="1"/>
    <col min="38" max="38" width="30.33203125" bestFit="1" customWidth="1"/>
    <col min="39" max="43" width="26.83203125" bestFit="1" customWidth="1"/>
    <col min="44" max="44" width="18.25" bestFit="1" customWidth="1"/>
    <col min="45" max="45" width="10.75" bestFit="1" customWidth="1"/>
    <col min="46" max="46" width="29.25" bestFit="1" customWidth="1"/>
    <col min="47" max="47" width="21.75" bestFit="1" customWidth="1"/>
  </cols>
  <sheetData>
    <row r="1" spans="1:17" x14ac:dyDescent="0.45">
      <c r="A1" t="s">
        <v>72</v>
      </c>
      <c r="B1" t="s">
        <v>71</v>
      </c>
      <c r="C1" t="s">
        <v>84</v>
      </c>
      <c r="D1" t="s">
        <v>85</v>
      </c>
      <c r="E1" t="s">
        <v>64</v>
      </c>
      <c r="F1" t="s">
        <v>65</v>
      </c>
      <c r="G1" t="s">
        <v>66</v>
      </c>
      <c r="H1" t="s">
        <v>67</v>
      </c>
      <c r="I1" t="s">
        <v>68</v>
      </c>
      <c r="J1" t="s">
        <v>69</v>
      </c>
      <c r="K1" t="s">
        <v>70</v>
      </c>
      <c r="L1" t="s">
        <v>99</v>
      </c>
      <c r="M1" t="s">
        <v>98</v>
      </c>
      <c r="N1" t="s">
        <v>97</v>
      </c>
      <c r="O1" t="s">
        <v>96</v>
      </c>
      <c r="P1" t="s">
        <v>95</v>
      </c>
      <c r="Q1" t="s">
        <v>94</v>
      </c>
    </row>
  </sheetData>
  <phoneticPr fontId="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
  <sheetViews>
    <sheetView workbookViewId="0">
      <pane ySplit="1" topLeftCell="A2" activePane="bottomLeft" state="frozen"/>
      <selection pane="bottomLeft" activeCell="M1" sqref="M1"/>
    </sheetView>
  </sheetViews>
  <sheetFormatPr defaultRowHeight="16.5" x14ac:dyDescent="0.45"/>
  <cols>
    <col min="1" max="1" width="7.75" customWidth="1"/>
    <col min="2" max="2" width="8.75" customWidth="1"/>
    <col min="3" max="3" width="9.33203125" customWidth="1"/>
    <col min="27" max="27" width="8.58203125" customWidth="1"/>
  </cols>
  <sheetData>
    <row r="1" spans="1:22" x14ac:dyDescent="0.45">
      <c r="A1" t="s">
        <v>64</v>
      </c>
      <c r="B1" t="s">
        <v>65</v>
      </c>
      <c r="C1" t="s">
        <v>66</v>
      </c>
      <c r="D1" t="s">
        <v>67</v>
      </c>
      <c r="E1" t="s">
        <v>68</v>
      </c>
      <c r="F1" t="s">
        <v>69</v>
      </c>
      <c r="G1" t="s">
        <v>70</v>
      </c>
      <c r="H1" t="s">
        <v>94</v>
      </c>
      <c r="I1" t="s">
        <v>95</v>
      </c>
      <c r="J1" t="s">
        <v>96</v>
      </c>
      <c r="K1" t="s">
        <v>97</v>
      </c>
      <c r="L1" t="s">
        <v>98</v>
      </c>
      <c r="M1" t="s">
        <v>99</v>
      </c>
      <c r="N1" t="s">
        <v>71</v>
      </c>
      <c r="O1" t="s">
        <v>72</v>
      </c>
      <c r="P1" t="s">
        <v>84</v>
      </c>
      <c r="Q1" t="s">
        <v>85</v>
      </c>
      <c r="R1" t="s">
        <v>109</v>
      </c>
      <c r="S1" t="s">
        <v>110</v>
      </c>
      <c r="T1" t="s">
        <v>111</v>
      </c>
      <c r="U1" t="s">
        <v>112</v>
      </c>
      <c r="V1" t="s">
        <v>113</v>
      </c>
    </row>
    <row r="2" spans="1:22" x14ac:dyDescent="0.45">
      <c r="A2" t="s">
        <v>74</v>
      </c>
      <c r="B2" s="2">
        <v>0</v>
      </c>
      <c r="C2" s="2">
        <v>0</v>
      </c>
      <c r="D2" s="2">
        <v>0</v>
      </c>
      <c r="E2" s="2">
        <v>0</v>
      </c>
      <c r="F2" s="2">
        <v>0</v>
      </c>
      <c r="G2" s="2">
        <v>0</v>
      </c>
      <c r="H2" s="2"/>
      <c r="I2" s="2"/>
      <c r="J2" s="2"/>
      <c r="K2" s="2"/>
      <c r="L2" s="2"/>
      <c r="M2" s="2"/>
      <c r="N2" t="s">
        <v>73</v>
      </c>
      <c r="O2" t="s">
        <v>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5" x14ac:dyDescent="0.45"/>
  <cols>
    <col min="1" max="1" width="16.83203125" customWidth="1"/>
    <col min="2" max="2" width="11.33203125" customWidth="1"/>
  </cols>
  <sheetData>
    <row r="1" spans="1:3" x14ac:dyDescent="0.45">
      <c r="A1" t="s">
        <v>2</v>
      </c>
      <c r="B1" t="s">
        <v>0</v>
      </c>
      <c r="C1" t="s">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5" x14ac:dyDescent="0.45"/>
  <cols>
    <col min="1" max="1" width="10.08203125" customWidth="1"/>
    <col min="2" max="2" width="17.332031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5" x14ac:dyDescent="0.45"/>
  <cols>
    <col min="1" max="1" width="25.58203125" customWidth="1"/>
    <col min="2" max="2" width="40.58203125" customWidth="1"/>
    <col min="3" max="3" width="5.58203125" customWidth="1"/>
    <col min="4" max="4" width="25.58203125" customWidth="1"/>
    <col min="5" max="5" width="40.58203125" customWidth="1"/>
    <col min="6" max="6" width="5.58203125" customWidth="1"/>
    <col min="7" max="7" width="25.58203125" customWidth="1"/>
    <col min="8" max="8" width="40.58203125" customWidth="1"/>
    <col min="9" max="9" width="5.58203125" customWidth="1"/>
    <col min="10" max="10" width="40.58203125" customWidth="1"/>
    <col min="11" max="11" width="25.582031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1CBEC7-0E08-4587-937D-727813BC01A7}">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$ItemAgeComposValuePrintLbl$</vt:lpstr>
      <vt:lpstr>$ItemAgeComposQtyPrintLbl$</vt:lpstr>
      <vt:lpstr>$ItemAgeComposValueAnalysisLbl$</vt:lpstr>
      <vt:lpstr>$AboutTheReportLbl$</vt:lpstr>
      <vt:lpstr>ItemAgeComposValue_Query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2025-11-17T23:53:29Z</cp:lastPrinted>
  <dcterms:modified xsi:type="dcterms:W3CDTF">2025-11-25T21:54:32Z</dcterms:modified>
</cp:coreProperties>
</file>
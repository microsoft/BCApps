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ebecca.chen\Workbench\Yellowstone\Yellowstone.BaseApplication\App\Layers\W1\BaseApp\Inventory\Reports\"/>
    </mc:Choice>
  </mc:AlternateContent>
  <xr:revisionPtr revIDLastSave="0" documentId="13_ncr:1_{2FCFD2B7-5D4C-4EB6-9C16-A29C3CBE13B6}" xr6:coauthVersionLast="47" xr6:coauthVersionMax="47" xr10:uidLastSave="{00000000-0000-0000-0000-000000000000}"/>
  <bookViews>
    <workbookView xWindow="28680" yWindow="-3780" windowWidth="38640" windowHeight="21120" xr2:uid="{00000000-000D-0000-FFFF-FFFF00000000}"/>
  </bookViews>
  <sheets>
    <sheet name="$ItemExpQuantityPrintLbl$" sheetId="6" r:id="rId1"/>
    <sheet name="$ItemExpQuantityAnalysisLbl$" sheetId="7" r:id="rId2"/>
    <sheet name="$AboutTheReportLbl$" sheetId="9" r:id="rId3"/>
    <sheet name="ItemExpirationQuantity_Query" sheetId="5" state="hidden" r:id="rId4"/>
    <sheet name="Data" sheetId="1" state="hidden" r:id="rId5"/>
    <sheet name="TranslationData" sheetId="2" state="hidden" r:id="rId6"/>
    <sheet name="CaptionData" sheetId="3" state="hidden" r:id="rId7"/>
    <sheet name="Aggregated Metadata" sheetId="4" state="hidden" r:id="rId8"/>
  </sheets>
  <definedNames>
    <definedName name="EndingDateFilter">_xlfn.XLOOKUP("PeriodStartDate[5]", ReportRequestPageValues[Request Page Option], ReportRequestPageValues[Request Page Option Value])</definedName>
    <definedName name="ExternalData_1" localSheetId="3" hidden="1">ItemExpirationQuantity_Query!$A$1:$K$2</definedName>
    <definedName name="Period1Text" localSheetId="1">_xlfn.XLOOKUP("Period1Text", ReportRequestPageValues[Request Page Option], ReportRequestPageValues[Request Page Option Value])</definedName>
    <definedName name="Period1Text">_xlfn.XLOOKUP("Period1Text", ReportRequestPageValues[Request Page Option], ReportRequestPageValues[Request Page Option Value])</definedName>
    <definedName name="Period2Text" localSheetId="1">_xlfn.XLOOKUP("Period2Text", ReportRequestPageValues[Request Page Option], ReportRequestPageValues[Request Page Option Value])</definedName>
    <definedName name="Period2Text">_xlfn.XLOOKUP("Period2Text", ReportRequestPageValues[Request Page Option], ReportRequestPageValues[Request Page Option Value])</definedName>
    <definedName name="Period3Text" localSheetId="1">_xlfn.XLOOKUP("Period3Text", ReportRequestPageValues[Request Page Option], ReportRequestPageValues[Request Page Option Value])</definedName>
    <definedName name="Period3Text">_xlfn.XLOOKUP("Period3Text", ReportRequestPageValues[Request Page Option], ReportRequestPageValues[Request Page Option Value])</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Description_Item">#N/A</definedName>
    <definedName name="Slicer_No_Item">#N/A</definedName>
  </definedNames>
  <calcPr calcId="191029"/>
  <pivotCaches>
    <pivotCache cacheId="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9" l="1"/>
  <c r="B6" i="9" a="1"/>
  <c r="B6" i="9" s="1"/>
  <c r="B5" i="9" a="1"/>
  <c r="B5" i="9" s="1"/>
  <c r="B4" i="9" a="1"/>
  <c r="B4" i="9" s="1"/>
  <c r="B3" i="9" a="1"/>
  <c r="B3" i="9" s="1"/>
  <c r="B2" i="9" a="1"/>
  <c r="B2" i="9" s="1"/>
  <c r="B1" i="9" a="1"/>
  <c r="B1" i="9" s="1"/>
  <c r="C4" i="6" a="1"/>
  <c r="C4" i="6" s="1"/>
  <c r="B4" i="6" a="1"/>
  <c r="B4" i="6" s="1"/>
  <c r="G1" i="7" a="1"/>
  <c r="G1" i="7" s="1"/>
  <c r="F1" i="7" a="1"/>
  <c r="F1" i="7" s="1"/>
  <c r="E1" i="7" a="1"/>
  <c r="E1" i="7" s="1"/>
  <c r="G6" i="6" a="1"/>
  <c r="G6" i="6" s="1"/>
  <c r="F6" i="6" a="1"/>
  <c r="F6" i="6" s="1"/>
  <c r="E6" i="6" a="1"/>
  <c r="E6" i="6" s="1"/>
  <c r="H4" i="6" a="1"/>
  <c r="H4" i="6" s="1"/>
  <c r="I4" i="6" a="1"/>
  <c r="I4" i="6" s="1"/>
  <c r="I2" i="6" a="1"/>
  <c r="I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BB72B9-D274-4415-8796-8D2CAD5D63C9}" keepAlive="1" name="Query - ItemExpirationQuantity_Query" description="Connection to the 'ItemExpirationQuantity_Query' query in the workbook." type="5" refreshedVersion="8" refreshOnLoad="1" saveData="1">
    <dbPr connection="Provider=Microsoft.Mashup.OleDb.1;Data Source=$Workbook$;Location=ItemExpirationQuantity_Query;Extended Properties=&quot;&quot;" command="SELECT * FROM [ItemExpirationQuantity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<sst xmlns="http://schemas.openxmlformats.org/spreadsheetml/2006/main" count="120" uniqueCount="91">
  <si>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</si>
  <si>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</si>
  <si>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</si>
  <si>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</si>
  <si>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</si>
  <si>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</si>
  <si>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</si>
  <si>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</si>
  <si>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</si>
  <si>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</si>
  <si>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</si>
  <si>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</si>
  <si>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</si>
  <si>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</si>
  <si>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</si>
  <si>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</si>
  <si>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</si>
  <si>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</si>
  <si>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</si>
  <si>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</si>
  <si>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</si>
  <si>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</si>
  <si>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</si>
  <si>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</si>
  <si>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</si>
  <si>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</si>
  <si>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</si>
  <si>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</si>
  <si>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</si>
  <si>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</si>
  <si>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</si>
  <si>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</si>
  <si>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</si>
  <si>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</si>
  <si>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</si>
  <si>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</si>
  <si>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</si>
  <si>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</si>
  <si>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</si>
  <si>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</si>
  <si>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</si>
  <si>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</si>
  <si>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</si>
  <si>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</si>
  <si>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</si>
  <si>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</si>
  <si>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</si>
  <si>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</si>
  <si>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</si>
  <si>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</si>
  <si>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</si>
  <si>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</si>
  <si>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</si>
  <si>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</si>
  <si>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</si>
  <si>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</si>
  <si>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</si>
  <si>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</si>
  <si>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</si>
  <si>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</si>
  <si>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</si>
  <si>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</si>
  <si>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</si>
  <si>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</si>
  <si>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No_Item</t>
  </si>
  <si>
    <t>Description_Item</t>
  </si>
  <si>
    <t>InvtQty1</t>
  </si>
  <si>
    <t>InvtQty2</t>
  </si>
  <si>
    <t>InvtQty3</t>
  </si>
  <si>
    <t>InvtQty4</t>
  </si>
  <si>
    <t>InvtQty5</t>
  </si>
  <si>
    <t>TotalInvtQty</t>
  </si>
  <si>
    <t/>
  </si>
  <si>
    <t>$ItemExpirationQuantityLbl$</t>
  </si>
  <si>
    <t>$No_Item$</t>
  </si>
  <si>
    <t>$Description_Item$</t>
  </si>
  <si>
    <t>$BeforeLbl$</t>
  </si>
  <si>
    <t>$Inventory2Lbl$</t>
  </si>
  <si>
    <t>$Inventory3Lbl$</t>
  </si>
  <si>
    <t>$Inventory4Lbl$</t>
  </si>
  <si>
    <t>$AfterLbl$</t>
  </si>
  <si>
    <t>$InventoryLbl$</t>
  </si>
  <si>
    <t>InventoryPostingGroup_Item</t>
  </si>
  <si>
    <t>StatisticsGroup_Item</t>
  </si>
  <si>
    <t>ItemTrackingCode_Item</t>
  </si>
  <si>
    <t>$EnvironmentLbl$</t>
  </si>
  <si>
    <t>$CompanyLbl$</t>
  </si>
  <si>
    <t>$UserLbl$</t>
  </si>
  <si>
    <t>$RunOnLbl$</t>
  </si>
  <si>
    <t>$ReportNameLbl$</t>
  </si>
  <si>
    <t>$DocumentationLbl$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</si>
</sst>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F400]h:mm:ss\ AM/PM"/>
    <numFmt numFmtId="166" formatCode="d/mm/yyyy;@"/>
  </numFmts>
  <fonts count="17" x14ac:knownFonts="1">
    <font>
      <sz val="11"/>
      <name val="Segoe UI"/>
      <family val="2"/>
      <scheme val="minor"/>
    </font>
    <font>
      <b/>
      <sz val="11"/>
      <name val="Segoe UI"/>
      <family val="2"/>
      <scheme val="minor"/>
    </font>
    <font>
      <b/>
      <sz val="15"/>
      <color theme="1"/>
      <name val="Segoe UI"/>
      <family val="2"/>
      <scheme val="minor"/>
    </font>
    <font>
      <b/>
      <sz val="18"/>
      <color rgb="FF212121"/>
      <name val="Segoe UI Semibold"/>
      <family val="2"/>
    </font>
    <font>
      <b/>
      <sz val="13"/>
      <color theme="1"/>
      <name val="Segoe UI"/>
      <family val="2"/>
      <scheme val="minor"/>
    </font>
    <font>
      <b/>
      <sz val="10"/>
      <color rgb="FF212121"/>
      <name val="Segoe UI Semibold"/>
      <family val="2"/>
    </font>
    <font>
      <sz val="10"/>
      <name val="Segoe UI"/>
      <family val="2"/>
      <scheme val="minor"/>
    </font>
    <font>
      <sz val="10"/>
      <color rgb="FF212121"/>
      <name val="Segoe UI"/>
      <family val="2"/>
      <scheme val="minor"/>
    </font>
    <font>
      <sz val="10"/>
      <color rgb="FF212121"/>
      <name val="Segoe UI"/>
      <family val="2"/>
    </font>
    <font>
      <sz val="10"/>
      <color theme="1"/>
      <name val="Segoe UI Semibold"/>
      <family val="2"/>
    </font>
    <font>
      <sz val="10"/>
      <name val="Segoe UI Semibold"/>
    </font>
    <font>
      <sz val="10"/>
      <name val="Segoe UI Semibold"/>
      <scheme val="major"/>
    </font>
    <font>
      <sz val="8"/>
      <name val="Segoe UI"/>
      <family val="2"/>
      <scheme val="minor"/>
    </font>
    <font>
      <sz val="14"/>
      <name val="Segoe UI"/>
      <family val="2"/>
      <scheme val="minor"/>
    </font>
    <font>
      <sz val="10"/>
      <color theme="1"/>
      <name val="Segoe UI Semibold"/>
      <family val="2"/>
      <scheme val="major"/>
    </font>
    <font>
      <u/>
      <sz val="11"/>
      <color theme="10"/>
      <name val="Segoe UI"/>
      <family val="2"/>
      <scheme val="minor"/>
    </font>
    <font>
      <u/>
      <sz val="10"/>
      <color theme="10"/>
      <name val="Segoe UI"/>
      <family val="2"/>
      <scheme val="minor"/>
    </font>
  </fonts>
  <fills count="4">
    <fill>
      <patternFill patternType="none"/>
    </fill>
    <fill>
      <patternFill patternType="gray125"/>
    </fill>
    <fill>
      <patternFill patternType="solid">
        <fgColor rgb="FFC0C0C0"/>
        <bgColor indexed="64"/>
      </patternFill>
    </fill>
    <fill>
      <patternFill patternType="solid">
        <fgColor theme="5"/>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style="thin">
        <color theme="4"/>
      </top>
      <bottom style="thin">
        <color theme="4"/>
      </bottom>
      <diagonal/>
    </border>
    <border>
      <left/>
      <right/>
      <top/>
      <bottom style="thick">
        <color rgb="FFE9EBED"/>
      </bottom>
      <diagonal/>
    </border>
  </borders>
  <cellStyleXfs count="4">
    <xf numFmtId="0" fontId="0" fillId="0" borderId="0"/>
    <xf numFmtId="0" fontId="2" fillId="0" borderId="1" applyNumberFormat="0" applyFill="0" applyBorder="0" applyAlignment="0" applyProtection="0"/>
    <xf numFmtId="0" fontId="4" fillId="0" borderId="2" applyNumberFormat="0" applyFill="0" applyAlignment="0" applyProtection="0"/>
    <xf numFmtId="0" fontId="15" fillId="0" borderId="0" applyNumberFormat="0" applyFill="0" applyBorder="0" applyAlignment="0" applyProtection="0"/>
  </cellStyleXfs>
  <cellXfs count="24">
    <xf numFmtId="0" fontId="0" fillId="0" borderId="0" xfId="0"/>
    <xf numFmtId="49" fontId="1" fillId="2" borderId="0" xfId="0" applyNumberFormat="1" applyFont="1" applyFill="1"/>
    <xf numFmtId="4" fontId="0" fillId="0" borderId="0" xfId="0" applyNumberFormat="1"/>
    <xf numFmtId="0" fontId="3" fillId="0" borderId="0" xfId="1" applyFont="1" applyFill="1" applyBorder="1" applyAlignment="1">
      <alignment vertical="center"/>
    </xf>
    <xf numFmtId="0" fontId="5" fillId="0" borderId="4" xfId="2" applyFont="1" applyFill="1" applyBorder="1" applyAlignment="1">
      <alignment horizontal="right" vertical="center"/>
    </xf>
    <xf numFmtId="0" fontId="7" fillId="0" borderId="0" xfId="0" applyFont="1" applyAlignment="1">
      <alignment horizontal="right" vertical="center"/>
    </xf>
    <xf numFmtId="164" fontId="8" fillId="0" borderId="0" xfId="0" applyNumberFormat="1" applyFont="1" applyAlignment="1">
      <alignment horizontal="right" vertical="center"/>
    </xf>
    <xf numFmtId="0" fontId="9" fillId="3" borderId="3" xfId="0" applyFont="1" applyFill="1" applyBorder="1" applyAlignment="1">
      <alignment horizontal="left" vertical="center"/>
    </xf>
    <xf numFmtId="0" fontId="9" fillId="3" borderId="3" xfId="0" applyFont="1" applyFill="1" applyBorder="1" applyAlignment="1">
      <alignment horizontal="right" vertical="center"/>
    </xf>
    <xf numFmtId="0" fontId="6" fillId="0" borderId="0" xfId="0" applyFont="1" applyAlignment="1">
      <alignment vertical="center"/>
    </xf>
    <xf numFmtId="0" fontId="10" fillId="0" borderId="0" xfId="0" pivotButton="1" applyFont="1" applyAlignment="1">
      <alignment horizontal="left" vertical="center"/>
    </xf>
    <xf numFmtId="0" fontId="11" fillId="0" borderId="0" xfId="0" pivotButton="1" applyFont="1" applyAlignment="1">
      <alignment vertical="center"/>
    </xf>
    <xf numFmtId="0" fontId="11" fillId="0" borderId="0" xfId="0" applyFont="1" applyAlignment="1">
      <alignment horizontal="left" vertical="center"/>
    </xf>
    <xf numFmtId="0" fontId="11" fillId="0" borderId="0" xfId="0" applyFont="1" applyAlignment="1">
      <alignment horizontal="right" vertical="center"/>
    </xf>
    <xf numFmtId="0" fontId="6" fillId="0" borderId="0" xfId="0" applyFont="1" applyAlignment="1">
      <alignment horizontal="left" vertical="center"/>
    </xf>
    <xf numFmtId="0" fontId="0" fillId="0" borderId="0" xfId="0" applyAlignment="1">
      <alignment vertical="center"/>
    </xf>
    <xf numFmtId="0" fontId="13" fillId="0" borderId="0" xfId="0" applyFont="1"/>
    <xf numFmtId="0" fontId="14" fillId="0" borderId="0" xfId="0" applyFont="1" applyAlignment="1">
      <alignment vertical="center"/>
    </xf>
    <xf numFmtId="0" fontId="13" fillId="0" borderId="0" xfId="0" applyFont="1" applyAlignment="1">
      <alignmen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16" fillId="0" borderId="0" xfId="3" applyFont="1" applyAlignment="1">
      <alignment horizontal="left" vertical="center"/>
    </xf>
    <xf numFmtId="166" fontId="6" fillId="0" borderId="0" xfId="0" applyNumberFormat="1" applyFont="1" applyAlignment="1">
      <alignment horizontal="left" vertical="center"/>
    </xf>
    <xf numFmtId="0" fontId="6" fillId="0" borderId="0" xfId="0" applyNumberFormat="1" applyFont="1" applyAlignment="1">
      <alignment vertical="center"/>
    </xf>
  </cellXfs>
  <cellStyles count="4">
    <cellStyle name="Heading 1 2" xfId="1" xr:uid="{D3952E33-85DD-4BDE-A140-A527666D67E7}"/>
    <cellStyle name="Heading 2 2" xfId="2" xr:uid="{83B5EB9D-6403-4EB5-8CB0-EFEDEB988381}"/>
    <cellStyle name="Hyperlink" xfId="3" builtinId="8"/>
    <cellStyle name="Normal" xfId="0" builtinId="0"/>
  </cellStyles>
  <dxfs count="148">
    <dxf>
      <font>
        <sz val="10"/>
        <name val="Segoe UI Semibold"/>
        <scheme val="none"/>
      </font>
      <alignment horizontal="left" vertical="center"/>
    </dxf>
    <dxf>
      <alignment vertical="center"/>
    </dxf>
    <dxf>
      <font>
        <sz val="10"/>
      </font>
    </dxf>
    <dxf>
      <alignment vertical="center"/>
    </dxf>
    <dxf>
      <font>
        <sz val="10"/>
      </font>
    </dxf>
    <dxf>
      <font>
        <sz val="10"/>
      </font>
    </dxf>
    <dxf>
      <alignment vertical="center"/>
    </dxf>
    <dxf>
      <alignment horizontal="left"/>
    </dxf>
    <dxf>
      <font>
        <sz val="10"/>
      </font>
    </dxf>
    <dxf>
      <alignment vertical="center"/>
    </dxf>
    <dxf>
      <font>
        <name val="Segoe UI Semibold"/>
        <scheme val="major"/>
      </font>
    </dxf>
    <dxf>
      <font>
        <name val="Segoe UI Semibold"/>
        <scheme val="major"/>
      </font>
    </dxf>
    <dxf>
      <font>
        <sz val="10"/>
      </font>
    </dxf>
    <dxf>
      <alignment vertical="center"/>
    </dxf>
    <dxf>
      <alignment horizontal="right"/>
    </dxf>
    <dxf>
      <font>
        <name val="Segoe UI Semibold"/>
        <scheme val="major"/>
      </font>
    </dxf>
    <dxf>
      <font>
        <sz val="10"/>
        <name val="Segoe UI Semibold"/>
        <scheme val="major"/>
      </font>
      <alignment horizontal="right" vertical="center"/>
    </dxf>
    <dxf>
      <font>
        <sz val="10"/>
      </font>
      <alignment vertical="center"/>
    </dxf>
    <dxf>
      <alignment vertical="center"/>
    </dxf>
    <dxf>
      <font>
        <sz val="10"/>
      </font>
    </dxf>
    <dxf>
      <font>
        <sz val="10"/>
      </font>
    </dxf>
    <dxf>
      <alignment vertical="center"/>
    </dxf>
    <dxf>
      <font>
        <sz val="10"/>
        <name val="Segoe UI Semibold"/>
        <scheme val="none"/>
      </font>
      <alignment horizontal="left" vertical="center"/>
    </dxf>
    <dxf>
      <alignment vertical="center"/>
    </dxf>
    <dxf>
      <font>
        <sz val="10"/>
      </font>
    </dxf>
    <dxf>
      <alignment vertical="center"/>
    </dxf>
    <dxf>
      <font>
        <sz val="10"/>
      </font>
    </dxf>
    <dxf>
      <font>
        <sz val="10"/>
      </font>
    </dxf>
    <dxf>
      <alignment vertical="center"/>
    </dxf>
    <dxf>
      <alignment horizontal="left"/>
    </dxf>
    <dxf>
      <font>
        <sz val="10"/>
      </font>
    </dxf>
    <dxf>
      <alignment vertical="center"/>
    </dxf>
    <dxf>
      <font>
        <name val="Segoe UI Semibold"/>
        <scheme val="major"/>
      </font>
    </dxf>
    <dxf>
      <font>
        <name val="Segoe UI Semibold"/>
        <scheme val="major"/>
      </font>
    </dxf>
    <dxf>
      <font>
        <sz val="10"/>
      </font>
    </dxf>
    <dxf>
      <alignment vertical="center"/>
    </dxf>
    <dxf>
      <alignment horizontal="right"/>
    </dxf>
    <dxf>
      <font>
        <name val="Segoe UI Semibold"/>
        <scheme val="major"/>
      </font>
    </dxf>
    <dxf>
      <font>
        <sz val="10"/>
        <name val="Segoe UI Semibold"/>
        <scheme val="major"/>
      </font>
      <alignment horizontal="right" vertical="center"/>
    </dxf>
    <dxf>
      <font>
        <sz val="10"/>
      </font>
      <alignment vertical="center"/>
    </dxf>
    <dxf>
      <alignment vertical="center"/>
    </dxf>
    <dxf>
      <font>
        <sz val="10"/>
      </font>
    </dxf>
    <dxf>
      <font>
        <sz val="10"/>
      </font>
    </dxf>
    <dxf>
      <alignment vertical="center"/>
    </dxf>
    <dxf>
      <font>
        <sz val="10"/>
        <name val="Segoe UI Semibold"/>
        <scheme val="none"/>
      </font>
      <alignment horizontal="left" vertical="center"/>
    </dxf>
    <dxf>
      <alignment vertical="center"/>
    </dxf>
    <dxf>
      <font>
        <sz val="10"/>
      </font>
    </dxf>
    <dxf>
      <alignment vertical="center"/>
    </dxf>
    <dxf>
      <font>
        <sz val="10"/>
      </font>
    </dxf>
    <dxf>
      <font>
        <sz val="10"/>
      </font>
    </dxf>
    <dxf>
      <alignment vertical="center"/>
    </dxf>
    <dxf>
      <alignment horizontal="left"/>
    </dxf>
    <dxf>
      <font>
        <sz val="10"/>
      </font>
    </dxf>
    <dxf>
      <alignment vertical="center"/>
    </dxf>
    <dxf>
      <font>
        <name val="Segoe UI Semibold"/>
        <scheme val="major"/>
      </font>
    </dxf>
    <dxf>
      <font>
        <name val="Segoe UI Semibold"/>
        <scheme val="major"/>
      </font>
    </dxf>
    <dxf>
      <font>
        <sz val="10"/>
      </font>
    </dxf>
    <dxf>
      <alignment vertical="center"/>
    </dxf>
    <dxf>
      <alignment horizontal="right"/>
    </dxf>
    <dxf>
      <font>
        <name val="Segoe UI Semibold"/>
        <scheme val="major"/>
      </font>
    </dxf>
    <dxf>
      <font>
        <sz val="10"/>
        <name val="Segoe UI Semibold"/>
        <scheme val="major"/>
      </font>
      <alignment horizontal="right" vertical="center"/>
    </dxf>
    <dxf>
      <font>
        <sz val="10"/>
      </font>
      <alignment vertical="center"/>
    </dxf>
    <dxf>
      <alignment vertical="center"/>
    </dxf>
    <dxf>
      <font>
        <sz val="10"/>
      </font>
    </dxf>
    <dxf>
      <font>
        <sz val="10"/>
      </font>
    </dxf>
    <dxf>
      <alignment vertical="center"/>
    </dxf>
    <dxf>
      <font>
        <sz val="10"/>
        <name val="Segoe UI Semibold"/>
        <scheme val="none"/>
      </font>
      <alignment horizontal="left" vertical="center"/>
    </dxf>
    <dxf>
      <alignment vertical="center"/>
    </dxf>
    <dxf>
      <font>
        <sz val="10"/>
      </font>
    </dxf>
    <dxf>
      <alignment vertical="center"/>
    </dxf>
    <dxf>
      <font>
        <sz val="10"/>
      </font>
    </dxf>
    <dxf>
      <font>
        <sz val="10"/>
      </font>
    </dxf>
    <dxf>
      <alignment vertical="center"/>
    </dxf>
    <dxf>
      <alignment horizontal="left"/>
    </dxf>
    <dxf>
      <font>
        <sz val="10"/>
      </font>
    </dxf>
    <dxf>
      <alignment vertical="center"/>
    </dxf>
    <dxf>
      <font>
        <name val="Segoe UI Semibold"/>
        <scheme val="major"/>
      </font>
    </dxf>
    <dxf>
      <font>
        <name val="Segoe UI Semibold"/>
        <scheme val="major"/>
      </font>
    </dxf>
    <dxf>
      <font>
        <sz val="10"/>
      </font>
    </dxf>
    <dxf>
      <alignment vertical="center"/>
    </dxf>
    <dxf>
      <alignment horizontal="right"/>
    </dxf>
    <dxf>
      <font>
        <name val="Segoe UI Semibold"/>
        <scheme val="major"/>
      </font>
    </dxf>
    <dxf>
      <font>
        <sz val="10"/>
        <name val="Segoe UI Semibold"/>
        <scheme val="major"/>
      </font>
      <alignment horizontal="right" vertical="center"/>
    </dxf>
    <dxf>
      <font>
        <sz val="10"/>
      </font>
      <alignment vertical="center"/>
    </dxf>
    <dxf>
      <alignment vertical="center"/>
    </dxf>
    <dxf>
      <font>
        <sz val="10"/>
      </font>
    </dxf>
    <dxf>
      <font>
        <sz val="10"/>
      </font>
    </dxf>
    <dxf>
      <alignment vertical="center"/>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alignment vertical="center"/>
    </dxf>
    <dxf>
      <font>
        <sz val="10"/>
      </font>
    </dxf>
    <dxf>
      <font>
        <sz val="10"/>
      </font>
    </dxf>
    <dxf>
      <alignment vertical="center"/>
    </dxf>
    <dxf>
      <font>
        <sz val="10"/>
      </font>
      <alignment vertical="center"/>
    </dxf>
    <dxf>
      <font>
        <sz val="10"/>
        <name val="Segoe UI Semibold"/>
        <scheme val="major"/>
      </font>
      <alignment horizontal="right" vertical="center"/>
    </dxf>
    <dxf>
      <font>
        <name val="Segoe UI Semibold"/>
        <scheme val="major"/>
      </font>
    </dxf>
    <dxf>
      <alignment horizontal="right"/>
    </dxf>
    <dxf>
      <alignment vertical="center"/>
    </dxf>
    <dxf>
      <font>
        <sz val="10"/>
      </font>
    </dxf>
    <dxf>
      <font>
        <name val="Segoe UI Semibold"/>
        <scheme val="major"/>
      </font>
    </dxf>
    <dxf>
      <font>
        <name val="Segoe UI Semibold"/>
        <scheme val="major"/>
      </font>
    </dxf>
    <dxf>
      <alignment vertical="center"/>
    </dxf>
    <dxf>
      <font>
        <sz val="10"/>
      </font>
    </dxf>
    <dxf>
      <alignment horizontal="left"/>
    </dxf>
    <dxf>
      <alignment vertical="center"/>
    </dxf>
    <dxf>
      <font>
        <sz val="10"/>
      </font>
    </dxf>
    <dxf>
      <font>
        <sz val="10"/>
      </font>
    </dxf>
    <dxf>
      <alignment vertical="center"/>
    </dxf>
    <dxf>
      <font>
        <sz val="10"/>
      </font>
    </dxf>
    <dxf>
      <alignment vertical="center"/>
    </dxf>
    <dxf>
      <font>
        <sz val="10"/>
        <name val="Segoe UI Semibold"/>
        <scheme val="none"/>
      </font>
      <alignment horizontal="left" vertical="center"/>
    </dxf>
    <dxf>
      <alignment vertical="center"/>
    </dxf>
    <dxf>
      <font>
        <sz val="10"/>
      </font>
    </dxf>
    <dxf>
      <font>
        <sz val="10"/>
      </font>
    </dxf>
    <dxf>
      <alignment vertical="center"/>
    </dxf>
    <dxf>
      <font>
        <sz val="10"/>
      </font>
      <alignment vertical="center"/>
    </dxf>
    <dxf>
      <font>
        <sz val="10"/>
        <name val="Segoe UI Semibold"/>
        <scheme val="major"/>
      </font>
      <alignment horizontal="right" vertical="center"/>
    </dxf>
    <dxf>
      <font>
        <name val="Segoe UI Semibold"/>
        <scheme val="major"/>
      </font>
    </dxf>
    <dxf>
      <alignment horizontal="right"/>
    </dxf>
    <dxf>
      <alignment vertical="center"/>
    </dxf>
    <dxf>
      <font>
        <sz val="10"/>
      </font>
    </dxf>
    <dxf>
      <font>
        <name val="Segoe UI Semibold"/>
        <scheme val="major"/>
      </font>
    </dxf>
    <dxf>
      <font>
        <name val="Segoe UI Semibold"/>
        <scheme val="major"/>
      </font>
    </dxf>
    <dxf>
      <alignment vertical="center"/>
    </dxf>
    <dxf>
      <font>
        <sz val="10"/>
      </font>
    </dxf>
    <dxf>
      <alignment horizontal="left"/>
    </dxf>
    <dxf>
      <alignment vertical="center"/>
    </dxf>
    <dxf>
      <font>
        <sz val="10"/>
      </font>
    </dxf>
    <dxf>
      <font>
        <sz val="10"/>
      </font>
    </dxf>
    <dxf>
      <alignment vertical="center"/>
    </dxf>
    <dxf>
      <font>
        <sz val="10"/>
      </font>
    </dxf>
    <dxf>
      <alignment vertical="center"/>
    </dxf>
    <dxf>
      <font>
        <sz val="10"/>
        <name val="Segoe UI Semibold"/>
        <scheme val="none"/>
      </font>
      <alignment horizontal="left" vertical="cent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 Table Style (Template)" table="0" count="4" xr9:uid="{13A86A10-F958-4788-B7F1-FA5B1455663F}">
      <tableStyleElement type="wholeTable" dxfId="147"/>
      <tableStyleElement type="headerRow" dxfId="146"/>
      <tableStyleElement type="totalRow" dxfId="145"/>
      <tableStyleElement type="secondRowStripe" dxfId="144"/>
    </tableStyle>
    <tableStyle name="Business Central Reports Slicer Style (Template)" pivot="0" table="0" count="10" xr9:uid="{213B0218-70B4-4DB9-9C44-810B3CCC404D}">
      <tableStyleElement type="wholeTable" dxfId="143"/>
      <tableStyleElement type="headerRow" dxfId="142"/>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1821175</xdr:colOff>
      <xdr:row>9</xdr:row>
      <xdr:rowOff>209700</xdr:rowOff>
    </xdr:to>
    <mc:AlternateContent xmlns:mc="http://schemas.openxmlformats.org/markup-compatibility/2006" xmlns:a14="http://schemas.microsoft.com/office/drawing/2010/main">
      <mc:Choice Requires="a14">
        <xdr:graphicFrame macro="">
          <xdr:nvGraphicFramePr>
            <xdr:cNvPr id="2" name="$No_Item$">
              <a:extLst>
                <a:ext uri="{FF2B5EF4-FFF2-40B4-BE49-F238E27FC236}">
                  <a16:creationId xmlns:a16="http://schemas.microsoft.com/office/drawing/2014/main" id="{F1CC212D-32F4-EAFA-384D-8F7AADBC8F20}"/>
                </a:ext>
              </a:extLst>
            </xdr:cNvPr>
            <xdr:cNvGraphicFramePr/>
          </xdr:nvGraphicFramePr>
          <xdr:xfrm>
            <a:off x="0" y="0"/>
            <a:ext cx="0" cy="0"/>
          </xdr:xfrm>
          <a:graphic>
            <a:graphicData uri="http://schemas.microsoft.com/office/drawing/2010/slicer">
              <sle:slicer xmlns:sle="http://schemas.microsoft.com/office/drawing/2010/slicer" name="$No_Item$"/>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15000</xdr:rowOff>
    </xdr:from>
    <xdr:to>
      <xdr:col>0</xdr:col>
      <xdr:colOff>1821175</xdr:colOff>
      <xdr:row>19</xdr:row>
      <xdr:rowOff>224700</xdr:rowOff>
    </xdr:to>
    <mc:AlternateContent xmlns:mc="http://schemas.openxmlformats.org/markup-compatibility/2006">
      <mc:Choice xmlns:a14="http://schemas.microsoft.com/office/drawing/2010/main" Requires="a14">
        <xdr:graphicFrame macro="">
          <xdr:nvGraphicFramePr>
            <xdr:cNvPr id="4" name="$Description_Item$">
              <a:extLst>
                <a:ext uri="{FF2B5EF4-FFF2-40B4-BE49-F238E27FC236}">
                  <a16:creationId xmlns:a16="http://schemas.microsoft.com/office/drawing/2014/main" id="{A1323FA8-4730-C2BF-C22E-51E64F12290D}"/>
                </a:ext>
              </a:extLst>
            </xdr:cNvPr>
            <xdr:cNvGraphicFramePr/>
          </xdr:nvGraphicFramePr>
          <xdr:xfrm>
            <a:off x="0" y="0"/>
            <a:ext cx="0" cy="0"/>
          </xdr:xfrm>
          <a:graphic>
            <a:graphicData uri="http://schemas.microsoft.com/office/drawing/2010/slicer">
              <sle:slicer xmlns:sle="http://schemas.microsoft.com/office/drawing/2010/slicer" name="$Description_Item$"/>
            </a:graphicData>
          </a:graphic>
        </xdr:graphicFrame>
      </mc:Choice>
      <mc:Fallback>
        <xdr:sp macro="" textlink="">
          <xdr:nvSpPr>
            <xdr:cNvPr id="0" name=""/>
            <xdr:cNvSpPr>
              <a:spLocks noTextEdit="1"/>
            </xdr:cNvSpPr>
          </xdr:nvSpPr>
          <xdr:spPr>
            <a:xfrm>
              <a:off x="0" y="267882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ebecca Chen" refreshedDate="45995.581170254627" createdVersion="8" refreshedVersion="8" minRefreshableVersion="3" recordCount="1" xr:uid="{8F9F595A-D906-4C15-B103-F50E81BD98B5}">
  <cacheSource type="worksheet">
    <worksheetSource name="ItemExpirationQuantity_Query"/>
  </cacheSource>
  <cacheFields count="11">
    <cacheField name="No_Item" numFmtId="0">
      <sharedItems count="1">
        <s v=""/>
      </sharedItems>
    </cacheField>
    <cacheField name="Description_Item" numFmtId="0">
      <sharedItems count="1">
        <s v=""/>
      </sharedItems>
    </cacheField>
    <cacheField name="InventoryPostingGroup_Item" numFmtId="0">
      <sharedItems containsNonDate="0" containsString="0" containsBlank="1" count="1">
        <m/>
      </sharedItems>
    </cacheField>
    <cacheField name="StatisticsGroup_Item" numFmtId="0">
      <sharedItems containsNonDate="0" containsString="0" containsBlank="1"/>
    </cacheField>
    <cacheField name="ItemTrackingCode_Item" numFmtId="0">
      <sharedItems containsNonDate="0" containsString="0" containsBlank="1"/>
    </cacheField>
    <cacheField name="InvtQty1" numFmtId="0">
      <sharedItems containsSemiMixedTypes="0" containsString="0" containsNumber="1" containsInteger="1" minValue="0" maxValue="0"/>
    </cacheField>
    <cacheField name="InvtQty2" numFmtId="0">
      <sharedItems containsSemiMixedTypes="0" containsString="0" containsNumber="1" containsInteger="1" minValue="0" maxValue="0"/>
    </cacheField>
    <cacheField name="InvtQty3" numFmtId="0">
      <sharedItems containsSemiMixedTypes="0" containsString="0" containsNumber="1" containsInteger="1" minValue="0" maxValue="0"/>
    </cacheField>
    <cacheField name="InvtQty4" numFmtId="0">
      <sharedItems containsSemiMixedTypes="0" containsString="0" containsNumber="1" containsInteger="1" minValue="0" maxValue="0"/>
    </cacheField>
    <cacheField name="InvtQty5" numFmtId="0">
      <sharedItems containsSemiMixedTypes="0" containsString="0" containsNumber="1" containsInteger="1" minValue="0" maxValue="0"/>
    </cacheField>
    <cacheField name="TotalInvtQty"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649579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m/>
    <m/>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133E5-D032-4E77-BEB8-C672FDF80B40}" name="PivotTable1" cacheId="6"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7:I8" firstHeaderRow="0" firstDataRow="1" firstDataCol="2"/>
  <pivotFields count="11">
    <pivotField name="$No_Item$" axis="axisRow" compact="0" outline="0" showAll="0" defaultSubtotal="0">
      <items count="1">
        <item x="0"/>
      </items>
    </pivotField>
    <pivotField name="$Description_Item$" axis="axisRow"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0"/>
    <field x="1"/>
  </rowFields>
  <rowItems count="1">
    <i>
      <x/>
      <x/>
    </i>
  </rowItems>
  <colFields count="1">
    <field x="-2"/>
  </colFields>
  <colItems count="6">
    <i>
      <x/>
    </i>
    <i i="1">
      <x v="1"/>
    </i>
    <i i="2">
      <x v="2"/>
    </i>
    <i i="3">
      <x v="3"/>
    </i>
    <i i="4">
      <x v="4"/>
    </i>
    <i i="5">
      <x v="5"/>
    </i>
  </colItems>
  <dataFields count="6">
    <dataField name="$BeforeLbl$" fld="5" baseField="1" baseItem="0"/>
    <dataField name="$Inventory2Lbl$" fld="6" baseField="1" baseItem="0"/>
    <dataField name="$Inventory3Lbl$" fld="7" baseField="1" baseItem="0"/>
    <dataField name="$Inventory4Lbl$" fld="8" baseField="1" baseItem="0"/>
    <dataField name="$AfterLbl$" fld="9" baseField="1" baseItem="0"/>
    <dataField name="$InventoryLbl$" fld="10" baseField="1" baseItem="0"/>
  </dataFields>
  <formats count="22">
    <format dxfId="141">
      <pivotArea field="1" type="button" dataOnly="0" labelOnly="1" outline="0" axis="axisRow" fieldPosition="1"/>
    </format>
    <format dxfId="140">
      <pivotArea outline="0" fieldPosition="0">
        <references count="3">
          <reference field="4294967294" count="1" selected="0">
            <x v="0"/>
          </reference>
          <reference field="0" count="0" selected="0"/>
          <reference field="1" count="0" selected="0"/>
        </references>
      </pivotArea>
    </format>
    <format dxfId="139">
      <pivotArea outline="0" fieldPosition="0">
        <references count="3">
          <reference field="4294967294" count="1" selected="0">
            <x v="0"/>
          </reference>
          <reference field="0" count="0" selected="0"/>
          <reference field="1" count="0" selected="0"/>
        </references>
      </pivotArea>
    </format>
    <format dxfId="138">
      <pivotArea outline="0" fieldPosition="0">
        <references count="2">
          <reference field="4294967294" count="1" selected="0">
            <x v="0"/>
          </reference>
          <reference field="0" count="0" selected="0" defaultSubtotal="1"/>
        </references>
      </pivotArea>
    </format>
    <format dxfId="137">
      <pivotArea outline="0" fieldPosition="0">
        <references count="2">
          <reference field="4294967294" count="1" selected="0">
            <x v="0"/>
          </reference>
          <reference field="0" count="0" selected="0" defaultSubtotal="1"/>
        </references>
      </pivotArea>
    </format>
    <format dxfId="136">
      <pivotArea dataOnly="0" labelOnly="1" outline="0" fieldPosition="0">
        <references count="1">
          <reference field="4294967294" count="1">
            <x v="0"/>
          </reference>
        </references>
      </pivotArea>
    </format>
    <format dxfId="135">
      <pivotArea dataOnly="0" labelOnly="1" outline="0" fieldPosition="0">
        <references count="1">
          <reference field="4294967294" count="1">
            <x v="0"/>
          </reference>
        </references>
      </pivotArea>
    </format>
    <format dxfId="134">
      <pivotArea dataOnly="0" labelOnly="1" outline="0" fieldPosition="0">
        <references count="1">
          <reference field="4294967294" count="1">
            <x v="0"/>
          </reference>
        </references>
      </pivotArea>
    </format>
    <format dxfId="133">
      <pivotArea field="0" type="button" dataOnly="0" labelOnly="1" outline="0" axis="axisRow" fieldPosition="0"/>
    </format>
    <format dxfId="132">
      <pivotArea field="0" type="button" dataOnly="0" labelOnly="1" outline="0" axis="axisRow" fieldPosition="0"/>
    </format>
    <format dxfId="131">
      <pivotArea field="0" type="button" dataOnly="0" labelOnly="1" outline="0" axis="axisRow" fieldPosition="0"/>
    </format>
    <format dxfId="130">
      <pivotArea dataOnly="0" labelOnly="1" outline="0" fieldPosition="0">
        <references count="1">
          <reference field="4294967294" count="1">
            <x v="0"/>
          </reference>
        </references>
      </pivotArea>
    </format>
    <format dxfId="129">
      <pivotArea dataOnly="0" labelOnly="1" outline="0" fieldPosition="0">
        <references count="1">
          <reference field="4294967294" count="1">
            <x v="1"/>
          </reference>
        </references>
      </pivotArea>
    </format>
    <format dxfId="128">
      <pivotArea dataOnly="0" labelOnly="1" outline="0" fieldPosition="0">
        <references count="1">
          <reference field="4294967294" count="1">
            <x v="1"/>
          </reference>
        </references>
      </pivotArea>
    </format>
    <format dxfId="127">
      <pivotArea dataOnly="0" labelOnly="1" outline="0" fieldPosition="0">
        <references count="1">
          <reference field="4294967294" count="1">
            <x v="1"/>
          </reference>
        </references>
      </pivotArea>
    </format>
    <format dxfId="126">
      <pivotArea dataOnly="0" labelOnly="1" outline="0" fieldPosition="0">
        <references count="1">
          <reference field="4294967294" count="1">
            <x v="1"/>
          </reference>
        </references>
      </pivotArea>
    </format>
    <format dxfId="125">
      <pivotArea dataOnly="0" labelOnly="1" outline="0" fieldPosition="0">
        <references count="1">
          <reference field="4294967294" count="4">
            <x v="2"/>
            <x v="3"/>
            <x v="4"/>
            <x v="5"/>
          </reference>
        </references>
      </pivotArea>
    </format>
    <format dxfId="124">
      <pivotArea outline="0" fieldPosition="0">
        <references count="1">
          <reference field="4294967294" count="5" selected="0">
            <x v="1"/>
            <x v="2"/>
            <x v="3"/>
            <x v="4"/>
            <x v="5"/>
          </reference>
        </references>
      </pivotArea>
    </format>
    <format dxfId="123">
      <pivotArea dataOnly="0" labelOnly="1" outline="0" fieldPosition="0">
        <references count="1">
          <reference field="1" count="0"/>
        </references>
      </pivotArea>
    </format>
    <format dxfId="122">
      <pivotArea dataOnly="0" labelOnly="1" outline="0" fieldPosition="0">
        <references count="1">
          <reference field="1" count="0"/>
        </references>
      </pivotArea>
    </format>
    <format dxfId="121">
      <pivotArea dataOnly="0" labelOnly="1" outline="0" fieldPosition="0">
        <references count="1">
          <reference field="0" count="0"/>
        </references>
      </pivotArea>
    </format>
    <format dxfId="120">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0A0D78-F9AD-4221-ACC8-268FEC9AEAC6}" name="PivotTable1" cacheId="6"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2:I3" firstHeaderRow="0" firstDataRow="1" firstDataCol="2"/>
  <pivotFields count="11">
    <pivotField name="$No_Item$" axis="axisRow" compact="0" outline="0" showAll="0" defaultSubtotal="0">
      <items count="1">
        <item x="0"/>
      </items>
    </pivotField>
    <pivotField name="$Description_Item$" axis="axisRow" compact="0" outline="0" showAll="0" defaultSubtotal="0">
      <items count="1">
        <item x="0"/>
      </items>
    </pivotField>
    <pivotField compact="0" outline="0" subtotalTop="0" showAll="0" defaultSubtotal="0">
      <items count="1">
        <item x="0"/>
      </items>
    </pivotField>
    <pivotField compact="0" outline="0" subtotalTop="0" showAll="0" defaultSubtotal="0"/>
    <pivotField compact="0" outline="0" subtotalTop="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s>
  <rowFields count="2">
    <field x="0"/>
    <field x="1"/>
  </rowFields>
  <rowItems count="1">
    <i>
      <x/>
      <x/>
    </i>
  </rowItems>
  <colFields count="1">
    <field x="-2"/>
  </colFields>
  <colItems count="6">
    <i>
      <x/>
    </i>
    <i i="1">
      <x v="1"/>
    </i>
    <i i="2">
      <x v="2"/>
    </i>
    <i i="3">
      <x v="3"/>
    </i>
    <i i="4">
      <x v="4"/>
    </i>
    <i i="5">
      <x v="5"/>
    </i>
  </colItems>
  <dataFields count="6">
    <dataField name="$BeforeLbl$" fld="5" baseField="1" baseItem="0"/>
    <dataField name="$Inventory2Lbl$" fld="6" baseField="1" baseItem="0"/>
    <dataField name="$Inventory3Lbl$" fld="7" baseField="1" baseItem="0"/>
    <dataField name="$Inventory4Lbl$" fld="8" baseField="1" baseItem="0"/>
    <dataField name="$AfterLbl$" fld="9" baseField="1" baseItem="0"/>
    <dataField name="$InventoryLbl$" fld="10" baseField="1" baseItem="0"/>
  </dataFields>
  <formats count="22">
    <format dxfId="119">
      <pivotArea field="1" type="button" dataOnly="0" labelOnly="1" outline="0" axis="axisRow" fieldPosition="1"/>
    </format>
    <format dxfId="118">
      <pivotArea outline="0" fieldPosition="0">
        <references count="3">
          <reference field="4294967294" count="1" selected="0">
            <x v="0"/>
          </reference>
          <reference field="0" count="0" selected="0"/>
          <reference field="1" count="0" selected="0"/>
        </references>
      </pivotArea>
    </format>
    <format dxfId="117">
      <pivotArea outline="0" fieldPosition="0">
        <references count="3">
          <reference field="4294967294" count="1" selected="0">
            <x v="0"/>
          </reference>
          <reference field="0" count="0" selected="0"/>
          <reference field="1" count="0" selected="0"/>
        </references>
      </pivotArea>
    </format>
    <format dxfId="116">
      <pivotArea outline="0" fieldPosition="0">
        <references count="2">
          <reference field="4294967294" count="1" selected="0">
            <x v="0"/>
          </reference>
          <reference field="0" count="0" selected="0" defaultSubtotal="1"/>
        </references>
      </pivotArea>
    </format>
    <format dxfId="115">
      <pivotArea outline="0" fieldPosition="0">
        <references count="2">
          <reference field="4294967294" count="1" selected="0">
            <x v="0"/>
          </reference>
          <reference field="0" count="0" selected="0" defaultSubtotal="1"/>
        </references>
      </pivotArea>
    </format>
    <format dxfId="114">
      <pivotArea dataOnly="0" labelOnly="1" outline="0" fieldPosition="0">
        <references count="1">
          <reference field="4294967294" count="1">
            <x v="0"/>
          </reference>
        </references>
      </pivotArea>
    </format>
    <format dxfId="113">
      <pivotArea dataOnly="0" labelOnly="1" outline="0" fieldPosition="0">
        <references count="1">
          <reference field="4294967294" count="1">
            <x v="0"/>
          </reference>
        </references>
      </pivotArea>
    </format>
    <format dxfId="112">
      <pivotArea dataOnly="0" labelOnly="1" outline="0" fieldPosition="0">
        <references count="1">
          <reference field="4294967294" count="1">
            <x v="0"/>
          </reference>
        </references>
      </pivotArea>
    </format>
    <format dxfId="111">
      <pivotArea field="0" type="button" dataOnly="0" labelOnly="1" outline="0" axis="axisRow" fieldPosition="0"/>
    </format>
    <format dxfId="110">
      <pivotArea field="0" type="button" dataOnly="0" labelOnly="1" outline="0" axis="axisRow" fieldPosition="0"/>
    </format>
    <format dxfId="109">
      <pivotArea field="0" type="button" dataOnly="0" labelOnly="1" outline="0" axis="axisRow" fieldPosition="0"/>
    </format>
    <format dxfId="108">
      <pivotArea dataOnly="0" labelOnly="1" outline="0" fieldPosition="0">
        <references count="1">
          <reference field="4294967294" count="1">
            <x v="0"/>
          </reference>
        </references>
      </pivotArea>
    </format>
    <format dxfId="107">
      <pivotArea dataOnly="0" labelOnly="1" outline="0" fieldPosition="0">
        <references count="1">
          <reference field="4294967294" count="1">
            <x v="1"/>
          </reference>
        </references>
      </pivotArea>
    </format>
    <format dxfId="106">
      <pivotArea dataOnly="0" labelOnly="1" outline="0" fieldPosition="0">
        <references count="1">
          <reference field="4294967294" count="1">
            <x v="1"/>
          </reference>
        </references>
      </pivotArea>
    </format>
    <format dxfId="105">
      <pivotArea dataOnly="0" labelOnly="1" outline="0" fieldPosition="0">
        <references count="1">
          <reference field="4294967294" count="1">
            <x v="1"/>
          </reference>
        </references>
      </pivotArea>
    </format>
    <format dxfId="104">
      <pivotArea dataOnly="0" labelOnly="1" outline="0" fieldPosition="0">
        <references count="1">
          <reference field="4294967294" count="1">
            <x v="1"/>
          </reference>
        </references>
      </pivotArea>
    </format>
    <format dxfId="103">
      <pivotArea dataOnly="0" labelOnly="1" outline="0" fieldPosition="0">
        <references count="1">
          <reference field="4294967294" count="4">
            <x v="2"/>
            <x v="3"/>
            <x v="4"/>
            <x v="5"/>
          </reference>
        </references>
      </pivotArea>
    </format>
    <format dxfId="102">
      <pivotArea outline="0" fieldPosition="0">
        <references count="1">
          <reference field="4294967294" count="5" selected="0">
            <x v="1"/>
            <x v="2"/>
            <x v="3"/>
            <x v="4"/>
            <x v="5"/>
          </reference>
        </references>
      </pivotArea>
    </format>
    <format dxfId="101">
      <pivotArea dataOnly="0" labelOnly="1" outline="0" fieldPosition="0">
        <references count="1">
          <reference field="1" count="0"/>
        </references>
      </pivotArea>
    </format>
    <format dxfId="100">
      <pivotArea dataOnly="0" labelOnly="1" outline="0" fieldPosition="0">
        <references count="1">
          <reference field="1" count="0"/>
        </references>
      </pivotArea>
    </format>
    <format dxfId="99">
      <pivotArea dataOnly="0" labelOnly="1" outline="0" fieldPosition="0">
        <references count="1">
          <reference field="0" count="0"/>
        </references>
      </pivotArea>
    </format>
    <format dxfId="98">
      <pivotArea dataOnly="0" labelOnly="1" outline="0" fieldPosition="0">
        <references count="1">
          <reference field="0" count="0"/>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5B992381-2A50-4598-950C-8E7313884351}" autoFormatId="16" applyNumberFormats="0" applyBorderFormats="0" applyFontFormats="0" applyPatternFormats="0" applyAlignmentFormats="0" applyWidthHeightFormats="0">
  <queryTableRefresh nextId="15">
    <queryTableFields count="11">
      <queryTableField id="1" name="No_Item" tableColumnId="1"/>
      <queryTableField id="2" name="Description_Item" tableColumnId="2"/>
      <queryTableField id="9" name="InventoryPostingGroup_Item" tableColumnId="9"/>
      <queryTableField id="10" name="StatisticsGroup_Item" tableColumnId="10"/>
      <queryTableField id="11" name="ItemTrackingCode_Item" tableColumnId="11"/>
      <queryTableField id="3" name="InvtQty1" tableColumnId="3"/>
      <queryTableField id="4" name="InvtQty2" tableColumnId="4"/>
      <queryTableField id="5" name="InvtQty3" tableColumnId="5"/>
      <queryTableField id="6" name="InvtQty4" tableColumnId="6"/>
      <queryTableField id="7" name="InvtQty5" tableColumnId="7"/>
      <queryTableField id="8" name="TotalInvtQt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Item" xr10:uid="{21C08CB1-BDC3-4D2E-92A9-1E49BF0324F3}" sourceName="No_Item">
  <pivotTables>
    <pivotTable tabId="7" name="PivotTable1"/>
  </pivotTables>
  <data>
    <tabular pivotCacheId="649579621"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_Item" xr10:uid="{BB3B682C-2FE1-4A2E-999B-2AEF778BA501}" sourceName="Description_Item">
  <pivotTables>
    <pivotTable tabId="7" name="PivotTable1"/>
  </pivotTables>
  <data>
    <tabular pivotCacheId="649579621"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_Item$" xr10:uid="{B271DFA9-FDF5-40C2-8D8F-C3A959F289EA}" cache="Slicer_No_Item" caption="$No_Item$" style="Business Central Reports Slicer Style (Template)" rowHeight="273050"/>
  <slicer name="$Description_Item$" xr10:uid="{4E8AC47B-BEDC-4B2E-996F-83F8020ADDA1}" cache="Slicer_Description_Item" caption="$Description_Item$"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57015F-EB8B-4F27-95C3-9B680C3734DF}" name="ItemExpirationQuantity_Query" displayName="ItemExpirationQuantity_Query" ref="A1:K2" tableType="queryTable" totalsRowShown="0">
  <autoFilter ref="A1:K2" xr:uid="{1A57015F-EB8B-4F27-95C3-9B680C3734DF}"/>
  <tableColumns count="11">
    <tableColumn id="1" xr3:uid="{03646404-2E2D-4AF1-A3C0-95C0CA2EE05A}" uniqueName="1" name="No_Item" queryTableFieldId="1" dataDxfId="97"/>
    <tableColumn id="2" xr3:uid="{0D1E6155-9229-4856-BC04-FF11D39358D2}" uniqueName="2" name="Description_Item" queryTableFieldId="2" dataDxfId="96"/>
    <tableColumn id="9" xr3:uid="{5B04AD6E-6A44-4073-953C-7DFC07FBFB4E}" uniqueName="9" name="InventoryPostingGroup_Item" queryTableFieldId="9" dataDxfId="95"/>
    <tableColumn id="10" xr3:uid="{CA6FA8B6-8538-4DBC-818D-F6A19742A06B}" uniqueName="10" name="StatisticsGroup_Item" queryTableFieldId="10" dataDxfId="94"/>
    <tableColumn id="11" xr3:uid="{FD5AB56E-D437-41A7-B433-199D9C794A46}" uniqueName="11" name="ItemTrackingCode_Item" queryTableFieldId="11" dataDxfId="93"/>
    <tableColumn id="3" xr3:uid="{467197A3-F488-41B7-A049-FF3AD17A8BEA}" uniqueName="3" name="InvtQty1" queryTableFieldId="3"/>
    <tableColumn id="4" xr3:uid="{700DD4EF-4968-4926-94C4-6180DDB644BD}" uniqueName="4" name="InvtQty2" queryTableFieldId="4"/>
    <tableColumn id="5" xr3:uid="{12C2D808-92D3-470E-8D87-E405E1D2BA8E}" uniqueName="5" name="InvtQty3" queryTableFieldId="5"/>
    <tableColumn id="6" xr3:uid="{C61729C3-2850-4C0D-9A10-0EAB8BAC7BBD}" uniqueName="6" name="InvtQty4" queryTableFieldId="6"/>
    <tableColumn id="7" xr3:uid="{9559F3B9-848C-445B-B108-EE98909D6303}" uniqueName="7" name="InvtQty5" queryTableFieldId="7"/>
    <tableColumn id="8" xr3:uid="{AC3D5320-AFEF-4808-BB16-D834190B4053}" uniqueName="8" name="TotalInvtQty"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K2" totalsRowShown="0" headerRowDxfId="92">
  <autoFilter ref="A1:K2" xr:uid="{41D726F2-778D-4B1C-A5EA-875FED73D050}"/>
  <tableColumns count="11">
    <tableColumn id="1" xr3:uid="{21867904-D69E-41E3-B5BE-D9B124B8D7E4}" name="No_Item"/>
    <tableColumn id="2" xr3:uid="{21867904-D69E-41E3-B5BE-D9B124B8D7E4}" name="Description_Item"/>
    <tableColumn id="9" xr3:uid="{75CD9E11-96B6-47F1-8A09-C504D96B3650}" name="InventoryPostingGroup_Item"/>
    <tableColumn id="10" xr3:uid="{8E5ADCA3-95B0-4774-9F1E-60D4F4D9F330}" name="StatisticsGroup_Item"/>
    <tableColumn id="11" xr3:uid="{EEA5D06E-1D99-4079-9B84-7BA9CCAAF680}" name="ItemTrackingCode_Item"/>
    <tableColumn id="3" xr3:uid="{21867904-D69E-41E3-B5BE-D9B124B8D7E4}" name="InvtQty1"/>
    <tableColumn id="4" xr3:uid="{21867904-D69E-41E3-B5BE-D9B124B8D7E4}" name="InvtQty2"/>
    <tableColumn id="5" xr3:uid="{21867904-D69E-41E3-B5BE-D9B124B8D7E4}" name="InvtQty3"/>
    <tableColumn id="6" xr3:uid="{21867904-D69E-41E3-B5BE-D9B124B8D7E4}" name="InvtQty4"/>
    <tableColumn id="7" xr3:uid="{21867904-D69E-41E3-B5BE-D9B124B8D7E4}" name="InvtQty5"/>
    <tableColumn id="8" xr3:uid="{21867904-D69E-41E3-B5BE-D9B124B8D7E4}" name="TotalInvtQty"/>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91">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90">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9">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8">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7043-CC1F-4B24-BAB4-1CBEAF730479}">
  <sheetPr>
    <pageSetUpPr fitToPage="1"/>
  </sheetPr>
  <dimension ref="A2:I8"/>
  <sheetViews>
    <sheetView showGridLines="0" tabSelected="1" zoomScaleNormal="100" workbookViewId="0"/>
  </sheetViews>
  <sheetFormatPr defaultRowHeight="20" customHeight="1" x14ac:dyDescent="0.55000000000000004"/>
  <cols>
    <col min="1" max="1" width="9.08203125" style="16" customWidth="1"/>
    <col min="2" max="2" width="13" bestFit="1" customWidth="1"/>
    <col min="3" max="3" width="39.58203125" customWidth="1"/>
    <col min="4" max="4" width="16.58203125" customWidth="1"/>
    <col min="5" max="7" width="17.83203125" customWidth="1"/>
    <col min="8" max="8" width="16.58203125" customWidth="1"/>
    <col min="9" max="9" width="25.58203125" customWidth="1"/>
  </cols>
  <sheetData>
    <row r="2" spans="2:9" ht="20" customHeight="1" thickBot="1" x14ac:dyDescent="0.6">
      <c r="B2" s="3" t="s">
        <v>73</v>
      </c>
      <c r="I2" s="4" t="str" cm="1">
        <f t="array" ref="I2">ReportRequest.CompanyName</f>
        <v>Company name Value</v>
      </c>
    </row>
    <row r="3" spans="2:9" ht="20" customHeight="1" thickTop="1" x14ac:dyDescent="0.55000000000000004"/>
    <row r="4" spans="2:9" ht="20" customHeight="1" x14ac:dyDescent="0.55000000000000004">
      <c r="B4" s="14" t="e" cm="1">
        <f t="array" ref="B4">IF(EndingDateFilter="", "", "Ending Date")</f>
        <v>#N/A</v>
      </c>
      <c r="C4" s="22" t="e" cm="1">
        <f t="array" ref="C4">EndingDateFilter</f>
        <v>#N/A</v>
      </c>
      <c r="H4" s="5" t="e" cm="1">
        <f t="array" ref="H4">Caption.DataRetrievedLbl</f>
        <v>#NAME?</v>
      </c>
      <c r="I4" s="6" t="str" cm="1">
        <f t="array" ref="I4">ReportRequest.DateLocal</f>
        <v>Date (Local) Value</v>
      </c>
    </row>
    <row r="5" spans="2:9" ht="20" customHeight="1" x14ac:dyDescent="0.55000000000000004">
      <c r="H5" s="5"/>
      <c r="I5" s="6"/>
    </row>
    <row r="6" spans="2:9" ht="20" customHeight="1" x14ac:dyDescent="0.55000000000000004">
      <c r="B6" s="7"/>
      <c r="C6" s="7"/>
      <c r="D6" s="7"/>
      <c r="E6" s="8" t="e" cm="1">
        <f t="array" ref="E6">Period1Text</f>
        <v>#N/A</v>
      </c>
      <c r="F6" s="8" t="e" cm="1">
        <f t="array" ref="F6">Period2Text</f>
        <v>#N/A</v>
      </c>
      <c r="G6" s="8" t="e" cm="1">
        <f t="array" ref="G6">Period3Text</f>
        <v>#N/A</v>
      </c>
      <c r="H6" s="7"/>
      <c r="I6" s="7"/>
    </row>
    <row r="7" spans="2:9" ht="20" customHeight="1" x14ac:dyDescent="0.55000000000000004">
      <c r="B7" s="11" t="s">
        <v>74</v>
      </c>
      <c r="C7" s="10" t="s">
        <v>75</v>
      </c>
      <c r="D7" s="12" t="s">
        <v>76</v>
      </c>
      <c r="E7" s="13" t="s">
        <v>77</v>
      </c>
      <c r="F7" s="13" t="s">
        <v>78</v>
      </c>
      <c r="G7" s="13" t="s">
        <v>79</v>
      </c>
      <c r="H7" s="13" t="s">
        <v>80</v>
      </c>
      <c r="I7" s="13" t="s">
        <v>81</v>
      </c>
    </row>
    <row r="8" spans="2:9" ht="20" customHeight="1" x14ac:dyDescent="0.55000000000000004">
      <c r="B8" s="9"/>
      <c r="C8" s="9"/>
      <c r="D8" s="23">
        <v>0</v>
      </c>
      <c r="E8" s="23">
        <v>0</v>
      </c>
      <c r="F8" s="23">
        <v>0</v>
      </c>
      <c r="G8" s="23">
        <v>0</v>
      </c>
      <c r="H8" s="23">
        <v>0</v>
      </c>
      <c r="I8" s="23">
        <v>0</v>
      </c>
    </row>
  </sheetData>
  <printOptions horizontalCentered="1"/>
  <pageMargins left="0.25" right="0.25" top="0.75" bottom="0.75" header="0.3" footer="0.3"/>
  <pageSetup paperSize="9" scale="54"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AA674-F6F5-4511-A4D2-F5277A382C60}">
  <dimension ref="A1:I3"/>
  <sheetViews>
    <sheetView showGridLines="0" zoomScaleNormal="100" workbookViewId="0"/>
  </sheetViews>
  <sheetFormatPr defaultRowHeight="21" x14ac:dyDescent="0.55000000000000004"/>
  <cols>
    <col min="1" max="1" width="25.58203125" style="16" customWidth="1"/>
    <col min="2" max="2" width="13" bestFit="1" customWidth="1"/>
    <col min="3" max="3" width="39.58203125" customWidth="1"/>
    <col min="4" max="4" width="16.58203125" customWidth="1"/>
    <col min="5" max="7" width="17.83203125" customWidth="1"/>
    <col min="8" max="8" width="16.58203125" customWidth="1"/>
    <col min="9" max="9" width="25.58203125" customWidth="1"/>
  </cols>
  <sheetData>
    <row r="1" spans="2:9" x14ac:dyDescent="0.55000000000000004">
      <c r="B1" s="7"/>
      <c r="C1" s="7"/>
      <c r="D1" s="7"/>
      <c r="E1" s="8" t="e" cm="1">
        <f t="array" ref="E1">Period1Text</f>
        <v>#N/A</v>
      </c>
      <c r="F1" s="8" t="e" cm="1">
        <f t="array" ref="F1">Period2Text</f>
        <v>#N/A</v>
      </c>
      <c r="G1" s="8" t="e" cm="1">
        <f t="array" ref="G1">Period3Text</f>
        <v>#N/A</v>
      </c>
      <c r="H1" s="7"/>
      <c r="I1" s="7"/>
    </row>
    <row r="2" spans="2:9" x14ac:dyDescent="0.55000000000000004">
      <c r="B2" s="11" t="s">
        <v>74</v>
      </c>
      <c r="C2" s="10" t="s">
        <v>75</v>
      </c>
      <c r="D2" s="12" t="s">
        <v>76</v>
      </c>
      <c r="E2" s="13" t="s">
        <v>77</v>
      </c>
      <c r="F2" s="13" t="s">
        <v>78</v>
      </c>
      <c r="G2" s="13" t="s">
        <v>79</v>
      </c>
      <c r="H2" s="13" t="s">
        <v>80</v>
      </c>
      <c r="I2" s="13" t="s">
        <v>81</v>
      </c>
    </row>
    <row r="3" spans="2:9" x14ac:dyDescent="0.55000000000000004">
      <c r="B3" s="9"/>
      <c r="C3" s="9"/>
      <c r="D3" s="23">
        <v>0</v>
      </c>
      <c r="E3" s="23">
        <v>0</v>
      </c>
      <c r="F3" s="23">
        <v>0</v>
      </c>
      <c r="G3" s="23">
        <v>0</v>
      </c>
      <c r="H3" s="23">
        <v>0</v>
      </c>
      <c r="I3" s="23">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74E7-AE87-43C6-8D69-9583C19DF3F1}">
  <sheetPr>
    <pageSetUpPr fitToPage="1"/>
  </sheetPr>
  <dimension ref="A1:C8"/>
  <sheetViews>
    <sheetView showGridLines="0" zoomScaleNormal="100" workbookViewId="0"/>
  </sheetViews>
  <sheetFormatPr defaultColWidth="8.58203125" defaultRowHeight="20" customHeight="1" x14ac:dyDescent="0.45"/>
  <cols>
    <col min="1" max="1" width="17.33203125" style="15" customWidth="1"/>
    <col min="2" max="2" width="25.58203125" style="15" customWidth="1"/>
    <col min="3" max="3" width="8.58203125" style="18"/>
    <col min="4" max="16384" width="8.58203125" style="15"/>
  </cols>
  <sheetData>
    <row r="1" spans="1:2" ht="20" customHeight="1" x14ac:dyDescent="0.45">
      <c r="A1" s="17" t="s">
        <v>85</v>
      </c>
      <c r="B1" s="14" t="str" cm="1">
        <f t="array" ref="B1">ReportRequest.EnvironmentName</f>
        <v>Environment name Value</v>
      </c>
    </row>
    <row r="2" spans="1:2" ht="20" customHeight="1" x14ac:dyDescent="0.45">
      <c r="A2" s="17" t="s">
        <v>86</v>
      </c>
      <c r="B2" s="14" t="str" cm="1">
        <f t="array" ref="B2">ReportRequest.CompanyName</f>
        <v>Company name Value</v>
      </c>
    </row>
    <row r="3" spans="1:2" ht="20" customHeight="1" x14ac:dyDescent="0.45">
      <c r="A3" s="17" t="s">
        <v>87</v>
      </c>
      <c r="B3" s="14" t="str" cm="1">
        <f t="array" ref="B3">ReportRequest.UserName</f>
        <v>User name Value</v>
      </c>
    </row>
    <row r="4" spans="1:2" ht="20" customHeight="1" x14ac:dyDescent="0.45">
      <c r="A4" s="17" t="s">
        <v>88</v>
      </c>
      <c r="B4" s="19" t="str" cm="1">
        <f t="array" ref="B4">ReportRequest.DateLocal</f>
        <v>Date (Local) Value</v>
      </c>
    </row>
    <row r="5" spans="1:2" ht="20" customHeight="1" x14ac:dyDescent="0.45">
      <c r="A5" s="17"/>
      <c r="B5" s="20" t="str" cm="1">
        <f t="array" ref="B5">ReportRequest.DateLocal</f>
        <v>Date (Local) Value</v>
      </c>
    </row>
    <row r="6" spans="1:2" ht="20" customHeight="1" x14ac:dyDescent="0.45">
      <c r="A6" s="17" t="s">
        <v>89</v>
      </c>
      <c r="B6" s="14" t="str" cm="1">
        <f t="array" ref="B6">ReportMetadata.ObjectCaption</f>
        <v>Object Caption Value</v>
      </c>
    </row>
    <row r="7" spans="1:2" ht="20" customHeight="1" x14ac:dyDescent="0.45">
      <c r="A7" s="17" t="s">
        <v>90</v>
      </c>
      <c r="B7" s="21" t="str">
        <f>HYPERLINK(_xlfn.CONCAT("https://learn.microsoft.com/dynamics365/business-central/reports/report-",ReportMetadata.ObjectID))</f>
        <v>https://learn.microsoft.com/dynamics365/business-central/reports/report-Object ID Value</v>
      </c>
    </row>
    <row r="8" spans="1:2" ht="20" customHeight="1" x14ac:dyDescent="0.45">
      <c r="A8" s="17"/>
      <c r="B8" s="9"/>
    </row>
  </sheetData>
  <printOptions horizontalCentered="1"/>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D845-C28E-4C1A-8D37-6B8AC876F76B}">
  <dimension ref="A1:K2"/>
  <sheetViews>
    <sheetView workbookViewId="0">
      <selection sqref="A1:K2"/>
    </sheetView>
  </sheetViews>
  <sheetFormatPr defaultRowHeight="16.5" x14ac:dyDescent="0.45"/>
  <cols>
    <col min="1" max="1" width="10.75" bestFit="1" customWidth="1"/>
    <col min="2" max="2" width="18.25" bestFit="1" customWidth="1"/>
    <col min="3" max="3" width="29.25" bestFit="1" customWidth="1"/>
    <col min="4" max="4" width="21.75" bestFit="1" customWidth="1"/>
    <col min="5" max="5" width="24.5" bestFit="1" customWidth="1"/>
    <col min="6" max="10" width="11" bestFit="1" customWidth="1"/>
    <col min="11" max="11" width="14.33203125" bestFit="1" customWidth="1"/>
  </cols>
  <sheetData>
    <row r="1" spans="1:11" x14ac:dyDescent="0.45">
      <c r="A1" t="s">
        <v>64</v>
      </c>
      <c r="B1" t="s">
        <v>65</v>
      </c>
      <c r="C1" t="s">
        <v>82</v>
      </c>
      <c r="D1" t="s">
        <v>83</v>
      </c>
      <c r="E1" t="s">
        <v>84</v>
      </c>
      <c r="F1" t="s">
        <v>66</v>
      </c>
      <c r="G1" t="s">
        <v>67</v>
      </c>
      <c r="H1" t="s">
        <v>68</v>
      </c>
      <c r="I1" t="s">
        <v>69</v>
      </c>
      <c r="J1" t="s">
        <v>70</v>
      </c>
      <c r="K1" t="s">
        <v>71</v>
      </c>
    </row>
    <row r="2" spans="1:11" x14ac:dyDescent="0.45">
      <c r="A2" t="s">
        <v>72</v>
      </c>
      <c r="B2" t="s">
        <v>72</v>
      </c>
      <c r="F2">
        <v>0</v>
      </c>
      <c r="G2">
        <v>0</v>
      </c>
      <c r="H2">
        <v>0</v>
      </c>
      <c r="I2">
        <v>0</v>
      </c>
      <c r="J2">
        <v>0</v>
      </c>
      <c r="K2">
        <v>0</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pane ySplit="1" topLeftCell="A2" activePane="bottomLeft" state="frozen"/>
      <selection pane="bottomLeft"/>
    </sheetView>
  </sheetViews>
  <sheetFormatPr defaultRowHeight="16.5" x14ac:dyDescent="0.45"/>
  <cols>
    <col min="1" max="1" width="18.33203125" customWidth="1"/>
  </cols>
  <sheetData>
    <row r="1" spans="1:11" x14ac:dyDescent="0.45">
      <c r="A1" t="s">
        <v>64</v>
      </c>
      <c r="B1" t="s">
        <v>65</v>
      </c>
      <c r="C1" t="s">
        <v>82</v>
      </c>
      <c r="D1" t="s">
        <v>83</v>
      </c>
      <c r="E1" t="s">
        <v>84</v>
      </c>
      <c r="F1" t="s">
        <v>66</v>
      </c>
      <c r="G1" t="s">
        <v>67</v>
      </c>
      <c r="H1" t="s">
        <v>68</v>
      </c>
      <c r="I1" t="s">
        <v>69</v>
      </c>
      <c r="J1" t="s">
        <v>70</v>
      </c>
      <c r="K1" t="s">
        <v>71</v>
      </c>
    </row>
    <row r="2" spans="1:11" x14ac:dyDescent="0.45">
      <c r="A2" t="s">
        <v>72</v>
      </c>
      <c r="B2" t="s">
        <v>72</v>
      </c>
      <c r="F2" s="2">
        <v>0</v>
      </c>
      <c r="G2" s="2">
        <v>0</v>
      </c>
      <c r="H2" s="2">
        <v>0</v>
      </c>
      <c r="I2" s="2">
        <v>0</v>
      </c>
      <c r="J2" s="2">
        <v>0</v>
      </c>
      <c r="K2" s="2">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83203125" customWidth="1"/>
    <col min="2" max="2" width="11.332031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5" x14ac:dyDescent="0.45"/>
  <cols>
    <col min="1" max="1" width="10" customWidth="1"/>
    <col min="2" max="2" width="17.332031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58203125" customWidth="1"/>
    <col min="2" max="2" width="40.58203125" customWidth="1"/>
    <col min="3" max="3" width="5.58203125" customWidth="1"/>
    <col min="4" max="4" width="25.58203125" customWidth="1"/>
    <col min="5" max="5" width="40.58203125" customWidth="1"/>
    <col min="6" max="6" width="5.58203125" customWidth="1"/>
    <col min="7" max="7" width="25.58203125" customWidth="1"/>
    <col min="8" max="8" width="40.58203125" customWidth="1"/>
    <col min="9" max="9" width="5.58203125" customWidth="1"/>
    <col min="10" max="10" width="40.58203125" customWidth="1"/>
    <col min="11" max="11" width="25.582031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CBA656-05BB-4643-8E65-A399084C7D3F}">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$ItemExpQuantityPrintLbl$</vt:lpstr>
      <vt:lpstr>$ItemExpQuantityAnalysisLbl$</vt:lpstr>
      <vt:lpstr>$AboutTheReportLbl$</vt:lpstr>
      <vt:lpstr>ItemExpirationQuantity_Query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Rebecca Chen</cp:lastModifiedBy>
  <cp:lastPrinted>2025-12-01T00:18:21Z</cp:lastPrinted>
  <dcterms:modified xsi:type="dcterms:W3CDTF">2025-12-04T03:08:25Z</dcterms:modified>
</cp:coreProperties>
</file>
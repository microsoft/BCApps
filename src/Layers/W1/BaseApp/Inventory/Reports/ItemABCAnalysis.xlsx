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niel.williams\Source\Gold\Yellowstone.Dan\app\Inventory\Reports\"/>
    </mc:Choice>
  </mc:AlternateContent>
  <xr:revisionPtr revIDLastSave="0" documentId="13_ncr:1_{ECB5260B-AF9D-4145-803E-2C06BDFFCBE5}" xr6:coauthVersionLast="47" xr6:coauthVersionMax="47" xr10:uidLastSave="{00000000-0000-0000-0000-000000000000}"/>
  <bookViews>
    <workbookView xWindow="11928" yWindow="-17388" windowWidth="30936" windowHeight="16776" xr2:uid="{00000000-000D-0000-FFFF-FFFF00000000}"/>
  </bookViews>
  <sheets>
    <sheet name="$ItemABCAnalysisPrintLbl$" sheetId="7" r:id="rId1"/>
    <sheet name="$ItemABCAnalysisStructureLbl$" sheetId="10" r:id="rId2"/>
    <sheet name="$ItemABCAnalysisLbl$" sheetId="9" r:id="rId3"/>
    <sheet name="$AboutTheReportLbl$" sheetId="5" r:id="rId4"/>
    <sheet name="ItemABCAnalysis_Query" sheetId="8" state="hidden" r:id="rId5"/>
    <sheet name="Data" sheetId="1" state="hidden" r:id="rId6"/>
    <sheet name="TranslationData" sheetId="2" state="hidden" r:id="rId7"/>
    <sheet name="CaptionData" sheetId="3" state="hidden" r:id="rId8"/>
    <sheet name="Aggregated Metadata" sheetId="4" state="hidden" r:id="rId9"/>
  </sheets>
  <definedNames>
    <definedName name="Apct" localSheetId="2">_xlfn.XLOOKUP("Apct", ReportRequestPageValues[Request Page Option], ReportRequestPageValues[Request Page Option Value])</definedName>
    <definedName name="Apct">_xlfn.XLOOKUP("Apct", ReportRequestPageValues[Request Page Option], ReportRequestPageValues[Request Page Option Value])</definedName>
    <definedName name="Bpct" localSheetId="2">_xlfn.XLOOKUP("Bpct", ReportRequestPageValues[Request Page Option], ReportRequestPageValues[Request Page Option Value])</definedName>
    <definedName name="Bpct">_xlfn.XLOOKUP("Bpct", ReportRequestPageValues[Request Page Option], ReportRequestPageValues[Request Page Option Value])</definedName>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Cpct" localSheetId="2">_xlfn.XLOOKUP("Cpct", ReportRequestPageValues[Request Page Option], ReportRequestPageValues[Request Page Option Value])</definedName>
    <definedName name="Cpct">_xlfn.XLOOKUP("Cpct", ReportRequestPageValues[Request Page Option], ReportRequestPageValues[Request Page Option Value])</definedName>
    <definedName name="CustFilterHeading" xml:space="preserve"> _xlfn.XLOOKUP("CustFilterHeading",#REF!,#REF!)</definedName>
    <definedName name="DataRetrieved">#REF!</definedName>
    <definedName name="DateFilter" xml:space="preserve"> _xlfn.XLOOKUP("DateFilter",#REF!,#REF!)</definedName>
    <definedName name="DatePeriod" xml:space="preserve"> _xlfn.XLOOKUP("PeriodText",#REF!,#REF!)</definedName>
    <definedName name="DuplicateEndDateFilter" xml:space="preserve"> _xlfn.XLOOKUP("BalanceAsOfDateFilter",#REF!,#REF!)</definedName>
    <definedName name="EndDateFilter" xml:space="preserve"> _xlfn.XLOOKUP("BalanceAsOfDateFilter",#REF!,#REF!)</definedName>
    <definedName name="ExternalData_1" localSheetId="4" hidden="1">ItemABCAnalysis_Query!$A$1:$O$2</definedName>
    <definedName name="ItemFilter" xml:space="preserve"> _xlfn.XLOOKUP("ItemFilter",#REF!,#REF!)</definedName>
    <definedName name="ItemFilterHeading" localSheetId="2">_xlfn.XLOOKUP("ItemFilterHeading", ReportRequestPageValues[Request Page Option], ReportRequestPageValues[Request Page Option Value])</definedName>
    <definedName name="ItemFilterHeading">_xlfn.XLOOKUP("ItemFilterHeading", ReportRequestPageValues[Request Page Option], ReportRequestPageValues[Request Page Option Value])</definedName>
    <definedName name="ItemLedgEntryFilter" xml:space="preserve"> _xlfn.XLOOKUP("ItemLedgEntryFilter",#REF!,#REF!)</definedName>
    <definedName name="PurchLineFilterHeading" xml:space="preserve"> _xlfn.XLOOKUP("PurchLineFilterHeading",#REF!,#REF!)</definedName>
    <definedName name="ReportMetadata.AboutThisReportText" comment="Use this function to get the About This Report Text from the ReportMetadataValues table in the Aggregated Metadata worksheet" localSheetId="2">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2">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2">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2">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2">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2">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2">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2">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2">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2">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2">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2">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2">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2">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2">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2">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2">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2">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2">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2">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2">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2">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2">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2">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2">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2">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ABC">#N/A</definedName>
    <definedName name="Slicer_InventoryPostingGroup">#N/A</definedName>
    <definedName name="StartDate" xml:space="preserve"> _xlfn.XLOOKUP("StartDate",#REF!,#REF!)</definedName>
  </definedNames>
  <calcPr calcId="191029"/>
  <pivotCaches>
    <pivotCache cacheId="1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0" l="1"/>
  <c r="F4" i="10" a="1"/>
  <c r="F4" i="10" s="1"/>
  <c r="E4" i="10" a="1"/>
  <c r="E4" i="10" s="1"/>
  <c r="B4" i="10" a="1"/>
  <c r="B4" i="10" s="1"/>
  <c r="F2" i="10" a="1"/>
  <c r="F2" i="10" s="1"/>
  <c r="F9" i="10" l="1"/>
  <c r="F8" i="10"/>
  <c r="E8" i="10"/>
  <c r="E9" i="10"/>
  <c r="E11" i="10"/>
  <c r="D10" i="10" a="1"/>
  <c r="D10" i="10" s="1"/>
  <c r="D9" i="10" a="1"/>
  <c r="D9" i="10" s="1"/>
  <c r="D8" i="10" a="1"/>
  <c r="D8" i="10" s="1"/>
  <c r="C10" i="10" a="1"/>
  <c r="C10" i="10" s="1"/>
  <c r="C9" i="10" a="1"/>
  <c r="C9" i="10" s="1"/>
  <c r="C8" i="10" a="1"/>
  <c r="C8" i="10" s="1"/>
  <c r="C11" i="10" s="1"/>
  <c r="B4" i="7" a="1"/>
  <c r="B4" i="7" s="1"/>
  <c r="B5" i="7"/>
  <c r="G4" i="7" a="1"/>
  <c r="G4" i="7" s="1"/>
  <c r="H4" i="7" a="1"/>
  <c r="H4" i="7" s="1"/>
  <c r="H2" i="7" a="1"/>
  <c r="H2" i="7" s="1"/>
  <c r="B6" i="5" a="1"/>
  <c r="B6" i="5" s="1"/>
  <c r="B5" i="5" a="1"/>
  <c r="B5" i="5" s="1"/>
  <c r="B4" i="5" a="1"/>
  <c r="B4" i="5" s="1"/>
  <c r="B3" i="5" a="1"/>
  <c r="B3" i="5" s="1"/>
  <c r="B2" i="5" a="1"/>
  <c r="B2" i="5" s="1"/>
  <c r="B1" i="5" a="1"/>
  <c r="B1" i="5" s="1"/>
  <c r="B7" i="5"/>
  <c r="D11"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D48CA4-1121-46EA-8736-1511974464AE}" keepAlive="1" name="Query - ItemABCAnalysis_Query" description="Connection to the 'ItemABCAnalysis_Query' query in the workbook." type="5" refreshedVersion="8" refreshOnLoad="1" saveData="1">
    <dbPr connection="Provider=Microsoft.Mashup.OleDb.1;Data Source=$Workbook$;Location=ItemABCAnalysis_Query;Extended Properties=&quot;&quot;" command="SELECT * FROM [ItemABCAnalysi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<sst xmlns="http://schemas.openxmlformats.org/spreadsheetml/2006/main" count="142" uniqueCount="106">
  <si>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</si>
  <si>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</si>
  <si>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</si>
  <si>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</si>
  <si>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</si>
  <si>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</si>
  <si>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</si>
  <si>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</si>
  <si>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</si>
  <si>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</si>
  <si>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</si>
  <si>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</si>
  <si>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</si>
  <si>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</si>
  <si>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</si>
  <si>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</si>
  <si>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</si>
  <si>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</si>
  <si>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</si>
  <si>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</si>
  <si>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</si>
  <si>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</si>
  <si>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</si>
  <si>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</si>
  <si>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</si>
  <si>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</si>
  <si>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</si>
  <si>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</si>
  <si>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</si>
  <si>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</si>
  <si>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</si>
  <si>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</si>
  <si>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</si>
  <si>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</si>
  <si>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</si>
  <si>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</si>
  <si>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</si>
  <si>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</si>
  <si>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</si>
  <si>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</si>
  <si>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</si>
  <si>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</si>
  <si>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</si>
  <si>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</si>
  <si>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</si>
  <si>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</si>
  <si>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</si>
  <si>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</si>
  <si>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</si>
  <si>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</si>
  <si>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</si>
  <si>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</si>
  <si>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</si>
  <si>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</si>
  <si>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</si>
  <si>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</si>
  <si>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</si>
  <si>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</si>
  <si>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</si>
  <si>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</si>
  <si>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</si>
  <si>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</si>
  <si>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</si>
  <si>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</si>
  <si>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ABC</t>
  </si>
  <si>
    <t>Pct</t>
  </si>
  <si>
    <t/>
  </si>
  <si>
    <t>$EnvironmentLbl$</t>
  </si>
  <si>
    <t>$CompanyLbl$</t>
  </si>
  <si>
    <t>$UserLbl$</t>
  </si>
  <si>
    <t>$RunOnLbl$</t>
  </si>
  <si>
    <t>$ReportNameLbl$</t>
  </si>
  <si>
    <t>$DocumentationLbl$</t>
  </si>
  <si>
    <t>Grand Total</t>
  </si>
  <si>
    <t>$ItemABCAnalysisPrintHeadingLbl$</t>
  </si>
  <si>
    <t>$PercentageLbl$</t>
  </si>
  <si>
    <t>$ABCLbl$</t>
  </si>
  <si>
    <t>NoA</t>
  </si>
  <si>
    <t>NoB</t>
  </si>
  <si>
    <t>NoC</t>
  </si>
  <si>
    <t>ABlimit</t>
  </si>
  <si>
    <t>BClimit</t>
  </si>
  <si>
    <t>AminAmt</t>
  </si>
  <si>
    <t>BminAmt</t>
  </si>
  <si>
    <t>$BLbl$</t>
  </si>
  <si>
    <t>$CLbl$</t>
  </si>
  <si>
    <t>$TotalLbl$</t>
  </si>
  <si>
    <t>$RangeLbl$</t>
  </si>
  <si>
    <t>$ShareLbl$</t>
  </si>
  <si>
    <t>$NoLbl$</t>
  </si>
  <si>
    <t>$FromCumValueLbl$</t>
  </si>
  <si>
    <t>$FromSingleValueLbl$</t>
  </si>
  <si>
    <t>Col1TotalAllRec</t>
  </si>
  <si>
    <t>$ALbl$</t>
  </si>
  <si>
    <t>$ItemABCAnalysisStructureHeadingLbl$</t>
  </si>
  <si>
    <t>ItemNo</t>
  </si>
  <si>
    <t>Description</t>
  </si>
  <si>
    <t>InventoryPostingGroup</t>
  </si>
  <si>
    <t>$ItemNo$</t>
  </si>
  <si>
    <t>$Description$</t>
  </si>
  <si>
    <t>$InventoryPostingGroup$</t>
  </si>
  <si>
    <t>SalesLCY</t>
  </si>
  <si>
    <t>$SalesLCY$</t>
  </si>
  <si>
    <t xml:space="preserve"> Total</t>
  </si>
  <si>
    <t>NoOfItemsInClass</t>
  </si>
  <si>
    <t>$NoOfItemsInClassLbl$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</si>
</sst>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6"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sz val="14"/>
      <name val="Segoe UI"/>
      <family val="2"/>
      <scheme val="minor"/>
    </font>
    <font>
      <b/>
      <sz val="13"/>
      <color theme="1"/>
      <name val="Segoe UI"/>
      <family val="2"/>
      <scheme val="minor"/>
    </font>
    <font>
      <b/>
      <sz val="10"/>
      <color theme="1"/>
      <name val="Segoe UI Semibold"/>
      <family val="2"/>
      <scheme val="major"/>
    </font>
    <font>
      <sz val="10"/>
      <color rgb="FF212121"/>
      <name val="Segoe UI"/>
      <family val="2"/>
      <scheme val="minor"/>
    </font>
    <font>
      <b/>
      <sz val="18"/>
      <color rgb="FF212121"/>
      <name val="Segoe UI Semibold"/>
      <family val="2"/>
      <scheme val="major"/>
    </font>
    <font>
      <sz val="8"/>
      <name val="Segoe UI"/>
      <family val="2"/>
      <scheme val="minor"/>
    </font>
    <font>
      <b/>
      <sz val="10"/>
      <name val="Segoe UI"/>
      <family val="2"/>
      <scheme val="minor"/>
    </font>
    <font>
      <sz val="10"/>
      <name val="Segoe UI Semibold"/>
      <family val="2"/>
      <scheme val="major"/>
    </font>
    <font>
      <sz val="10"/>
      <name val="Segoe UI Semibold"/>
      <scheme val="maj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tint="0.499984740745262"/>
      </bottom>
      <diagonal/>
    </border>
    <border>
      <left/>
      <right/>
      <top style="thin">
        <color auto="1"/>
      </top>
      <bottom style="medium">
        <color indexed="64"/>
      </bottom>
      <diagonal/>
    </border>
  </borders>
  <cellStyleXfs count="4">
    <xf numFmtId="0" fontId="0" fillId="0" borderId="0"/>
    <xf numFmtId="0" fontId="5" fillId="0" borderId="0" applyNumberFormat="0" applyFill="0" applyBorder="0" applyAlignment="0" applyProtection="0"/>
    <xf numFmtId="0" fontId="8" fillId="0" borderId="1" applyNumberFormat="0" applyFill="0" applyAlignment="0" applyProtection="0"/>
    <xf numFmtId="0" fontId="1" fillId="0" borderId="0"/>
  </cellStyleXfs>
  <cellXfs count="27">
    <xf numFmtId="0" fontId="0" fillId="0" borderId="0" xfId="0"/>
    <xf numFmtId="49" fontId="2" fillId="2" borderId="0" xfId="0" applyNumberFormat="1" applyFont="1" applyFill="1"/>
    <xf numFmtId="4" fontId="0" fillId="0" borderId="0" xfId="0" applyNumberFormat="1"/>
    <xf numFmtId="0" fontId="3" fillId="0" borderId="0" xfId="0"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4" fillId="0" borderId="0" xfId="0" applyFont="1" applyAlignment="1">
      <alignment vertical="center"/>
    </xf>
    <xf numFmtId="0" fontId="6" fillId="0" borderId="0" xfId="1" applyFont="1" applyAlignment="1">
      <alignment vertical="center"/>
    </xf>
    <xf numFmtId="0" fontId="0" fillId="0" borderId="0" xfId="0" applyAlignment="1">
      <alignment vertical="center"/>
    </xf>
    <xf numFmtId="0" fontId="7" fillId="0" borderId="0" xfId="0" applyFont="1" applyAlignment="1">
      <alignment vertical="center"/>
    </xf>
    <xf numFmtId="0" fontId="9" fillId="0" borderId="1" xfId="2"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1" fillId="0" borderId="0" xfId="3" applyFont="1" applyAlignment="1">
      <alignment vertical="center"/>
    </xf>
    <xf numFmtId="1" fontId="0" fillId="0" borderId="0" xfId="0" applyNumberFormat="1"/>
    <xf numFmtId="0" fontId="14" fillId="0" borderId="0" xfId="0" applyFont="1" applyAlignment="1">
      <alignment horizontal="left" vertical="center"/>
    </xf>
    <xf numFmtId="0" fontId="14" fillId="0" borderId="0" xfId="0" applyFont="1" applyAlignment="1">
      <alignment horizontal="right" vertical="center"/>
    </xf>
    <xf numFmtId="0" fontId="13" fillId="0" borderId="0" xfId="0" applyFont="1" applyAlignment="1">
      <alignment vertical="center"/>
    </xf>
    <xf numFmtId="4" fontId="4" fillId="0" borderId="0" xfId="0" applyNumberFormat="1" applyFont="1" applyAlignment="1">
      <alignment vertical="center"/>
    </xf>
    <xf numFmtId="0" fontId="4" fillId="0" borderId="2" xfId="0" applyFont="1" applyBorder="1" applyAlignment="1">
      <alignment vertical="center"/>
    </xf>
    <xf numFmtId="4" fontId="4" fillId="0" borderId="2" xfId="0" applyNumberFormat="1" applyFont="1" applyBorder="1" applyAlignment="1">
      <alignment vertical="center"/>
    </xf>
    <xf numFmtId="0" fontId="14" fillId="0" borderId="0" xfId="0" pivotButton="1" applyFont="1" applyAlignment="1">
      <alignment vertical="center"/>
    </xf>
    <xf numFmtId="0" fontId="14" fillId="0" borderId="0" xfId="0" pivotButton="1" applyFont="1" applyAlignment="1">
      <alignment horizontal="left" vertical="center"/>
    </xf>
    <xf numFmtId="0" fontId="15" fillId="0" borderId="0" xfId="0" applyFont="1" applyAlignment="1">
      <alignment horizontal="right" vertical="center"/>
    </xf>
    <xf numFmtId="4" fontId="14" fillId="0" borderId="0" xfId="0" applyNumberFormat="1" applyFont="1" applyAlignment="1">
      <alignment horizontal="right" vertical="center"/>
    </xf>
    <xf numFmtId="0" fontId="4" fillId="0" borderId="0" xfId="0" applyNumberFormat="1" applyFont="1" applyAlignment="1">
      <alignment vertical="center"/>
    </xf>
  </cellXfs>
  <cellStyles count="4">
    <cellStyle name="Heading 2 2" xfId="2" xr:uid="{61EF4CE8-54CF-483F-A4FE-E3600BE3A9A6}"/>
    <cellStyle name="Hyperlink" xfId="1" builtinId="8"/>
    <cellStyle name="Normal" xfId="0" builtinId="0"/>
    <cellStyle name="Normal 2" xfId="3" xr:uid="{01FC3487-5E34-40DD-B5D4-2C69A0D2A714}"/>
  </cellStyles>
  <dxfs count="211">
    <dxf>
      <font>
        <name val="Segoe UI"/>
        <scheme val="minor"/>
      </font>
    </dxf>
    <dxf>
      <font>
        <name val="Segoe UI Semibold"/>
        <scheme val="major"/>
      </font>
    </dxf>
    <dxf>
      <font>
        <name val="Segoe UI"/>
        <scheme val="minor"/>
      </font>
    </dxf>
    <dxf>
      <font>
        <name val="Segoe UI Semibold"/>
        <scheme val="major"/>
      </font>
    </dxf>
    <dxf>
      <font>
        <name val="Segoe UI"/>
        <scheme val="minor"/>
      </font>
    </dxf>
    <dxf>
      <font>
        <name val="Segoe UI Semibold"/>
        <scheme val="major"/>
      </font>
    </dxf>
    <dxf>
      <font>
        <name val="Segoe UI"/>
        <scheme val="minor"/>
      </font>
    </dxf>
    <dxf>
      <font>
        <name val="Segoe UI Semibold"/>
        <scheme val="major"/>
      </font>
    </dxf>
    <dxf>
      <font>
        <name val="Segoe UI"/>
        <scheme val="minor"/>
      </font>
    </dxf>
    <dxf>
      <font>
        <name val="Segoe UI Semibold"/>
        <scheme val="major"/>
      </font>
    </dxf>
    <dxf>
      <font>
        <b val="0"/>
        <i val="0"/>
        <strike val="0"/>
        <condense val="0"/>
        <extend val="0"/>
        <outline val="0"/>
        <shadow val="0"/>
        <u val="none"/>
        <vertAlign val="baseline"/>
        <sz val="10"/>
        <color auto="1"/>
        <name val="Segoe UI Semibold"/>
        <family val="2"/>
        <scheme val="major"/>
      </font>
      <alignment horizontal="right" vertical="center" textRotation="0" wrapText="0" indent="0" justifyLastLine="0" shrinkToFit="0" readingOrder="0"/>
    </dxf>
    <dxf>
      <font>
        <sz val="10"/>
      </font>
    </dxf>
    <dxf>
      <font>
        <name val="Segoe UI Semibold"/>
        <scheme val="major"/>
      </font>
    </dxf>
    <dxf>
      <alignment vertical="center"/>
    </dxf>
    <dxf>
      <alignment vertical="center"/>
    </dxf>
    <dxf>
      <alignment horizontal="left"/>
    </dxf>
    <dxf>
      <alignment horizontal="right"/>
    </dxf>
    <dxf>
      <alignment horizontal="right"/>
    </dxf>
    <dxf>
      <font>
        <sz val="10"/>
      </font>
    </dxf>
    <dxf>
      <font>
        <sz val="10"/>
      </font>
    </dxf>
    <dxf>
      <font>
        <sz val="10"/>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horizontal="right"/>
    </dxf>
    <dxf>
      <font>
        <sz val="10"/>
      </font>
    </dxf>
    <dxf>
      <font>
        <sz val="10"/>
      </font>
    </dxf>
    <dxf>
      <font>
        <sz val="10"/>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horizontal="right"/>
    </dxf>
    <dxf>
      <font>
        <sz val="10"/>
      </font>
    </dxf>
    <dxf>
      <font>
        <name val="Segoe UI Semibold"/>
        <scheme val="major"/>
      </font>
    </dxf>
    <dxf>
      <alignment vertical="center"/>
    </dxf>
    <dxf>
      <alignment vertical="center"/>
    </dxf>
    <dxf>
      <alignment horizontal="left"/>
    </dxf>
    <dxf>
      <alignment horizontal="right"/>
    </dxf>
    <dxf>
      <alignment horizontal="right"/>
    </dxf>
    <dxf>
      <font>
        <sz val="10"/>
      </font>
    </dxf>
    <dxf>
      <font>
        <sz val="10"/>
      </font>
    </dxf>
    <dxf>
      <font>
        <sz val="10"/>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horizontal="right"/>
    </dxf>
    <dxf>
      <font>
        <sz val="10"/>
      </font>
    </dxf>
    <dxf>
      <font>
        <sz val="10"/>
      </font>
    </dxf>
    <dxf>
      <font>
        <sz val="10"/>
      </font>
    </dxf>
    <dxf>
      <font>
        <sz val="10"/>
      </font>
    </dxf>
    <dxf>
      <font>
        <sz val="10"/>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sz val="10"/>
      </font>
    </dxf>
    <dxf>
      <font>
        <sz val="10"/>
      </font>
    </dxf>
    <dxf>
      <font>
        <sz val="10"/>
      </font>
    </dxf>
    <dxf>
      <font>
        <sz val="10"/>
      </font>
    </dxf>
    <dxf>
      <font>
        <sz val="10"/>
      </font>
    </dxf>
    <dxf>
      <alignment horizontal="right"/>
    </dxf>
    <dxf>
      <font>
        <name val="Segoe UI Semibold"/>
        <scheme val="major"/>
      </font>
      <alignment horizontal="right"/>
    </dxf>
    <dxf>
      <numFmt numFmtId="4" formatCode="#,##0.00"/>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4" formatCode="#,##0.00"/>
    </dxf>
    <dxf>
      <numFmt numFmtId="4" formatCode="#,##0.00"/>
    </dxf>
    <dxf>
      <numFmt numFmtId="4" formatCode="#,##0.00"/>
    </dxf>
    <dxf>
      <numFmt numFmtId="4" formatCode="#,##0.00"/>
    </dxf>
    <dxf>
      <numFmt numFmtId="4" formatCode="#,##0.00"/>
    </dxf>
    <dxf>
      <numFmt numFmtId="4" formatCode="#,##0.00"/>
    </dxf>
    <dxf>
      <numFmt numFmtId="1" formatCode="0"/>
    </dxf>
    <dxf>
      <numFmt numFmtId="1" formatCode="0"/>
    </dxf>
    <dxf>
      <numFmt numFmtId="1" formatCode="0"/>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alignment horizontal="right"/>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sz val="10"/>
      </font>
    </dxf>
    <dxf>
      <font>
        <sz val="10"/>
      </font>
    </dxf>
    <dxf>
      <font>
        <sz val="10"/>
      </font>
    </dxf>
    <dxf>
      <alignment horizontal="right"/>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sz val="10"/>
      </font>
    </dxf>
    <dxf>
      <font>
        <sz val="10"/>
      </font>
    </dxf>
    <dxf>
      <font>
        <sz val="10"/>
      </font>
    </dxf>
    <dxf>
      <alignment horizontal="right"/>
    </dxf>
    <dxf>
      <alignment horizontal="right"/>
    </dxf>
    <dxf>
      <alignment horizontal="left"/>
    </dxf>
    <dxf>
      <alignment vertical="center"/>
    </dxf>
    <dxf>
      <alignment vertical="center"/>
    </dxf>
    <dxf>
      <font>
        <name val="Segoe UI Semibold"/>
        <scheme val="major"/>
      </font>
    </dxf>
    <dxf>
      <font>
        <sz val="10"/>
      </font>
    </dxf>
    <dxf>
      <font>
        <strike val="0"/>
        <outline val="0"/>
        <shadow val="0"/>
        <u val="none"/>
        <vertAlign val="baseline"/>
        <sz val="10"/>
        <color auto="1"/>
      </font>
      <alignment vertical="center" textRotation="0" wrapText="0" indent="0" justifyLastLine="0" shrinkToFit="0" readingOrder="0"/>
    </dxf>
    <dxf>
      <font>
        <strike val="0"/>
        <outline val="0"/>
        <shadow val="0"/>
        <u val="none"/>
        <vertAlign val="baseline"/>
        <sz val="10"/>
        <color auto="1"/>
      </font>
      <alignment vertical="center" textRotation="0" wrapText="0" indent="0" justifyLastLine="0" shrinkToFit="0" readingOrder="0"/>
    </dxf>
    <dxf>
      <font>
        <strike val="0"/>
        <outline val="0"/>
        <shadow val="0"/>
        <u val="none"/>
        <vertAlign val="baseline"/>
        <sz val="10"/>
        <color auto="1"/>
      </font>
      <alignment vertical="center" textRotation="0" wrapText="0" indent="0" justifyLastLine="0" shrinkToFit="0" readingOrder="0"/>
    </dxf>
    <dxf>
      <font>
        <strike val="0"/>
        <outline val="0"/>
        <shadow val="0"/>
        <u val="none"/>
        <vertAlign val="baseline"/>
        <sz val="10"/>
        <color auto="1"/>
      </font>
      <alignment vertical="center" textRotation="0" wrapText="0" indent="0" justifyLastLine="0" shrinkToFit="0" readingOrder="0"/>
    </dxf>
    <dxf>
      <font>
        <strike val="0"/>
        <outline val="0"/>
        <shadow val="0"/>
        <u val="none"/>
        <vertAlign val="baseline"/>
        <sz val="10"/>
        <color auto="1"/>
      </font>
      <alignment vertical="center" textRotation="0" wrapText="0" indent="0" justifyLastLine="0" shrinkToFit="0" readingOrder="0"/>
    </dxf>
    <dxf>
      <font>
        <strike val="0"/>
        <outline val="0"/>
        <shadow val="0"/>
        <u val="none"/>
        <vertAlign val="baseline"/>
        <sz val="10"/>
        <color auto="1"/>
        <family val="2"/>
      </font>
      <alignment vertical="center" textRotation="0" wrapText="0" indent="0" justifyLastLine="0" shrinkToFit="0" readingOrder="0"/>
    </dxf>
    <dxf>
      <numFmt numFmtId="4" formatCode="#,##0.00"/>
    </dxf>
    <dxf>
      <font>
        <name val="Segoe UI Semibold"/>
        <scheme val="major"/>
      </font>
      <alignment horizontal="right"/>
    </dxf>
    <dxf>
      <alignment horizontal="right"/>
    </dxf>
    <dxf>
      <font>
        <sz val="10"/>
      </font>
    </dxf>
    <dxf>
      <font>
        <sz val="10"/>
      </font>
    </dxf>
    <dxf>
      <font>
        <sz val="10"/>
      </font>
    </dxf>
    <dxf>
      <font>
        <sz val="10"/>
      </font>
    </dxf>
    <dxf>
      <font>
        <sz val="10"/>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sz val="10"/>
      </font>
    </dxf>
    <dxf>
      <font>
        <sz val="10"/>
      </font>
    </dxf>
    <dxf>
      <font>
        <sz val="10"/>
      </font>
    </dxf>
    <dxf>
      <font>
        <sz val="10"/>
      </font>
    </dxf>
    <dxf>
      <font>
        <sz val="10"/>
      </font>
    </dxf>
    <dxf>
      <alignment horizontal="right"/>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sz val="10"/>
      </font>
    </dxf>
    <dxf>
      <font>
        <sz val="10"/>
      </font>
    </dxf>
    <dxf>
      <font>
        <sz val="10"/>
      </font>
    </dxf>
    <dxf>
      <alignment horizontal="right"/>
    </dxf>
    <dxf>
      <alignment horizontal="right"/>
    </dxf>
    <dxf>
      <alignment horizontal="left"/>
    </dxf>
    <dxf>
      <alignment vertical="center"/>
    </dxf>
    <dxf>
      <alignment vertical="center"/>
    </dxf>
    <dxf>
      <font>
        <name val="Segoe UI Semibold"/>
        <scheme val="major"/>
      </font>
    </dxf>
    <dxf>
      <font>
        <sz val="10"/>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
      <fill>
        <patternFill>
          <bgColor theme="5"/>
        </patternFill>
      </fill>
      <border>
        <top style="thin">
          <color theme="4"/>
        </top>
        <bottom style="thin">
          <color theme="4"/>
        </bottom>
      </border>
    </dxf>
    <dxf>
      <border>
        <horizontal style="thin">
          <color theme="4"/>
        </horizontal>
      </border>
    </dxf>
  </dxfs>
  <tableStyles count="3" defaultTableStyle="TableStyleMedium2" defaultPivotStyle="PivotStyleLight16">
    <tableStyle name="Business Central (Templatezz)" pivot="0" count="2" xr9:uid="{01450FA5-193D-4B88-94A6-AA2068CB9C04}">
      <tableStyleElement type="wholeTable" dxfId="210"/>
      <tableStyleElement type="headerRow" dxfId="209"/>
    </tableStyle>
    <tableStyle name="Business Central PivotTable Style (Template)" table="0" count="4" xr9:uid="{457C2E20-769C-4347-87C1-BC62A7B572DA}">
      <tableStyleElement type="wholeTable" dxfId="208"/>
      <tableStyleElement type="headerRow" dxfId="207"/>
      <tableStyleElement type="totalRow" dxfId="206"/>
      <tableStyleElement type="secondRowStripe" dxfId="205"/>
    </tableStyle>
    <tableStyle name="Business Central Reports Slicer Style (Template)" pivot="0" table="0" count="10" xr9:uid="{30C222D6-522B-413C-8590-A74BAF73F1DD}">
      <tableStyleElement type="wholeTable" dxfId="204"/>
      <tableStyleElement type="headerRow" dxfId="203"/>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2476500</xdr:colOff>
      <xdr:row>9</xdr:row>
      <xdr:rowOff>210970</xdr:rowOff>
    </xdr:to>
    <mc:AlternateContent xmlns:mc="http://schemas.openxmlformats.org/markup-compatibility/2006" xmlns:a14="http://schemas.microsoft.com/office/drawing/2010/main">
      <mc:Choice Requires="a14">
        <xdr:graphicFrame macro="">
          <xdr:nvGraphicFramePr>
            <xdr:cNvPr id="3" name="$ABCLbl$">
              <a:extLst>
                <a:ext uri="{FF2B5EF4-FFF2-40B4-BE49-F238E27FC236}">
                  <a16:creationId xmlns:a16="http://schemas.microsoft.com/office/drawing/2014/main" id="{26657185-7A5C-D3F1-C25C-6FB40543EE0F}"/>
                </a:ext>
              </a:extLst>
            </xdr:cNvPr>
            <xdr:cNvGraphicFramePr/>
          </xdr:nvGraphicFramePr>
          <xdr:xfrm>
            <a:off x="0" y="0"/>
            <a:ext cx="0" cy="0"/>
          </xdr:xfrm>
          <a:graphic>
            <a:graphicData uri="http://schemas.microsoft.com/office/drawing/2010/slicer">
              <sle:slicer xmlns:sle="http://schemas.microsoft.com/office/drawing/2010/slicer" name="$ABCLbl$"/>
            </a:graphicData>
          </a:graphic>
        </xdr:graphicFrame>
      </mc:Choice>
      <mc:Fallback xmlns="">
        <xdr:sp macro="" textlink="">
          <xdr:nvSpPr>
            <xdr:cNvPr id="0" name=""/>
            <xdr:cNvSpPr>
              <a:spLocks noTextEdit="1"/>
            </xdr:cNvSpPr>
          </xdr:nvSpPr>
          <xdr:spPr>
            <a:xfrm>
              <a:off x="0" y="0"/>
              <a:ext cx="1816730" cy="261254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9</xdr:row>
      <xdr:rowOff>248919</xdr:rowOff>
    </xdr:from>
    <xdr:to>
      <xdr:col>0</xdr:col>
      <xdr:colOff>2476800</xdr:colOff>
      <xdr:row>22</xdr:row>
      <xdr:rowOff>76199</xdr:rowOff>
    </xdr:to>
    <mc:AlternateContent xmlns:mc="http://schemas.openxmlformats.org/markup-compatibility/2006" xmlns:a14="http://schemas.microsoft.com/office/drawing/2010/main">
      <mc:Choice Requires="a14">
        <xdr:graphicFrame macro="">
          <xdr:nvGraphicFramePr>
            <xdr:cNvPr id="4" name="$InventoryPostingGroup$">
              <a:extLst>
                <a:ext uri="{FF2B5EF4-FFF2-40B4-BE49-F238E27FC236}">
                  <a16:creationId xmlns:a16="http://schemas.microsoft.com/office/drawing/2014/main" id="{3BE301D5-6316-E721-B46F-456CA4996B6A}"/>
                </a:ext>
              </a:extLst>
            </xdr:cNvPr>
            <xdr:cNvGraphicFramePr/>
          </xdr:nvGraphicFramePr>
          <xdr:xfrm>
            <a:off x="0" y="0"/>
            <a:ext cx="0" cy="0"/>
          </xdr:xfrm>
          <a:graphic>
            <a:graphicData uri="http://schemas.microsoft.com/office/drawing/2010/slicer">
              <sle:slicer xmlns:sle="http://schemas.microsoft.com/office/drawing/2010/slicer" name="$InventoryPostingGroup$"/>
            </a:graphicData>
          </a:graphic>
        </xdr:graphicFrame>
      </mc:Choice>
      <mc:Fallback xmlns="">
        <xdr:sp macro="" textlink="">
          <xdr:nvSpPr>
            <xdr:cNvPr id="0" name=""/>
            <xdr:cNvSpPr>
              <a:spLocks noTextEdit="1"/>
            </xdr:cNvSpPr>
          </xdr:nvSpPr>
          <xdr:spPr>
            <a:xfrm>
              <a:off x="0" y="2568574"/>
              <a:ext cx="2476800" cy="31654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6133.449816319444" createdVersion="8" refreshedVersion="8" minRefreshableVersion="3" recordCount="1" xr:uid="{9A4D2436-52A6-4E3D-B7A6-ADAA05295B9B}">
  <cacheSource type="worksheet">
    <worksheetSource name="ItemABCAnalysis_Query"/>
  </cacheSource>
  <cacheFields count="15">
    <cacheField name="ItemNo" numFmtId="0">
      <sharedItems count="1">
        <s v=""/>
      </sharedItems>
    </cacheField>
    <cacheField name="Description" numFmtId="0">
      <sharedItems count="1">
        <s v=""/>
      </sharedItems>
    </cacheField>
    <cacheField name="InventoryPostingGroup" numFmtId="0">
      <sharedItems count="1">
        <s v=""/>
      </sharedItems>
    </cacheField>
    <cacheField name="SalesLCY" numFmtId="0">
      <sharedItems containsSemiMixedTypes="0" containsString="0" containsNumber="1" containsInteger="1" minValue="0" maxValue="0"/>
    </cacheField>
    <cacheField name="ABC" numFmtId="0">
      <sharedItems count="1">
        <s v=""/>
      </sharedItems>
    </cacheField>
    <cacheField name="Pct" numFmtId="0">
      <sharedItems containsSemiMixedTypes="0" containsString="0" containsNumber="1" containsInteger="1" minValue="0" maxValue="0" count="1">
        <n v="0"/>
      </sharedItems>
    </cacheField>
    <cacheField name="NoA" numFmtId="0">
      <sharedItems containsSemiMixedTypes="0" containsString="0" containsNumber="1" containsInteger="1" minValue="0" maxValue="0"/>
    </cacheField>
    <cacheField name="NoB" numFmtId="0">
      <sharedItems containsSemiMixedTypes="0" containsString="0" containsNumber="1" containsInteger="1" minValue="0" maxValue="0"/>
    </cacheField>
    <cacheField name="NoC" numFmtId="0">
      <sharedItems containsSemiMixedTypes="0" containsString="0" containsNumber="1" containsInteger="1" minValue="0" maxValue="0"/>
    </cacheField>
    <cacheField name="ABlimit" numFmtId="0">
      <sharedItems containsSemiMixedTypes="0" containsString="0" containsNumber="1" containsInteger="1" minValue="0" maxValue="0"/>
    </cacheField>
    <cacheField name="BClimit" numFmtId="0">
      <sharedItems containsSemiMixedTypes="0" containsString="0" containsNumber="1" containsInteger="1" minValue="0" maxValue="0"/>
    </cacheField>
    <cacheField name="AminAmt" numFmtId="0">
      <sharedItems containsSemiMixedTypes="0" containsString="0" containsNumber="1" containsInteger="1" minValue="0" maxValue="0"/>
    </cacheField>
    <cacheField name="BminAmt" numFmtId="0">
      <sharedItems containsSemiMixedTypes="0" containsString="0" containsNumber="1" containsInteger="1" minValue="0" maxValue="0"/>
    </cacheField>
    <cacheField name="Col1TotalAllRec" numFmtId="0">
      <sharedItems containsSemiMixedTypes="0" containsString="0" containsNumber="1" containsInteger="1" minValue="0" maxValue="0"/>
    </cacheField>
    <cacheField name="NoOfItemsInClass"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1202464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n v="0"/>
    <x v="0"/>
    <x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1C80E9-1548-4C64-9298-E491C4340E12}" name="PivotTable1" cacheId="17"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customListSort="0">
  <location ref="B7:H10" firstHeaderRow="0" firstDataRow="1" firstDataCol="4"/>
  <pivotFields count="15">
    <pivotField name="$ItemNo$" axis="axisRow" compact="0" outline="0" subtotalTop="0" showAll="0" defaultSubtotal="0">
      <items count="1">
        <item x="0"/>
      </items>
    </pivotField>
    <pivotField name="$Description$" axis="axisRow" compact="0" outline="0" subtotalTop="0" showAll="0" defaultSubtotal="0">
      <items count="1">
        <item x="0"/>
      </items>
    </pivotField>
    <pivotField name="$InventoryPostingGroup$" axis="axisRow" compact="0" outline="0" subtotalTop="0" showAll="0" defaultSubtotal="0">
      <items count="1">
        <item x="0"/>
      </items>
    </pivotField>
    <pivotField dataField="1" compact="0" outline="0" subtotalTop="0" showAll="0" defaultSubtotal="0"/>
    <pivotField name="$ABCLbl$" axis="axisRow" compact="0" outline="0" showAll="0">
      <items count="2">
        <item x="0"/>
        <item t="default"/>
      </items>
    </pivotField>
    <pivotField name="Pct" dataField="1" compact="0" outline="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s>
  <rowFields count="4">
    <field x="4"/>
    <field x="0"/>
    <field x="1"/>
    <field x="2"/>
  </rowFields>
  <rowItems count="3">
    <i>
      <x/>
      <x/>
      <x/>
      <x/>
    </i>
    <i t="default">
      <x/>
    </i>
    <i t="grand">
      <x/>
    </i>
  </rowItems>
  <colFields count="1">
    <field x="-2"/>
  </colFields>
  <colItems count="3">
    <i>
      <x/>
    </i>
    <i i="1">
      <x v="1"/>
    </i>
    <i i="2">
      <x v="2"/>
    </i>
  </colItems>
  <dataFields count="3">
    <dataField name="$NoOfItemsInClassLbl$" fld="14" baseField="2" baseItem="0"/>
    <dataField name="$PercentageLbl$" fld="5" baseField="0" baseItem="0"/>
    <dataField name="$SalesLCY$" fld="3" baseField="0" baseItem="0"/>
  </dataFields>
  <formats count="45">
    <format dxfId="202">
      <pivotArea field="4" type="button" dataOnly="0" labelOnly="1" outline="0" axis="axisRow" fieldPosition="0"/>
    </format>
    <format dxfId="201">
      <pivotArea field="4" type="button" dataOnly="0" labelOnly="1" outline="0" axis="axisRow" fieldPosition="0"/>
    </format>
    <format dxfId="200">
      <pivotArea type="all" dataOnly="0" outline="0" fieldPosition="0"/>
    </format>
    <format dxfId="199">
      <pivotArea field="4" type="button" dataOnly="0" labelOnly="1" outline="0" axis="axisRow" fieldPosition="0"/>
    </format>
    <format dxfId="198">
      <pivotArea field="4" type="button" dataOnly="0" labelOnly="1" outline="0" axis="axisRow" fieldPosition="0"/>
    </format>
    <format dxfId="197">
      <pivotArea field="5" type="button" dataOnly="0" labelOnly="1" outline="0"/>
    </format>
    <format dxfId="196">
      <pivotArea dataOnly="0" labelOnly="1" outline="0" axis="axisValues" fieldPosition="0"/>
    </format>
    <format dxfId="195">
      <pivotArea field="4" type="button" dataOnly="0" labelOnly="1" outline="0" axis="axisRow" fieldPosition="0"/>
    </format>
    <format dxfId="194">
      <pivotArea field="5" type="button" dataOnly="0" labelOnly="1" outline="0"/>
    </format>
    <format dxfId="193">
      <pivotArea dataOnly="0" labelOnly="1" outline="0" axis="axisValues" fieldPosition="0"/>
    </format>
    <format dxfId="192">
      <pivotArea field="4" type="button" dataOnly="0" labelOnly="1" outline="0" axis="axisRow" fieldPosition="0"/>
    </format>
    <format dxfId="191">
      <pivotArea field="5" type="button" dataOnly="0" labelOnly="1" outline="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4" type="button" dataOnly="0" labelOnly="1" outline="0" axis="axisRow" fieldPosition="0"/>
    </format>
    <format dxfId="186">
      <pivotArea field="5" type="button" dataOnly="0" labelOnly="1" outline="0"/>
    </format>
    <format dxfId="185">
      <pivotArea dataOnly="0" labelOnly="1" grandRow="1" outline="0" fieldPosition="0"/>
    </format>
    <format dxfId="184">
      <pivotArea dataOnly="0" labelOnly="1" outline="0" axis="axisValues" fieldPosition="0"/>
    </format>
    <format dxfId="183">
      <pivotArea dataOnly="0" labelOnly="1" outline="0" fieldPosition="0">
        <references count="1">
          <reference field="4294967294" count="1">
            <x v="1"/>
          </reference>
        </references>
      </pivotArea>
    </format>
    <format dxfId="182">
      <pivotArea type="all" dataOnly="0" outline="0" fieldPosition="0"/>
    </format>
    <format dxfId="181">
      <pivotArea outline="0" collapsedLevelsAreSubtotals="1" fieldPosition="0"/>
    </format>
    <format dxfId="180">
      <pivotArea field="4" type="button" dataOnly="0" labelOnly="1" outline="0" axis="axisRow" fieldPosition="0"/>
    </format>
    <format dxfId="179">
      <pivotArea dataOnly="0" labelOnly="1" grandRow="1" outline="0" fieldPosition="0"/>
    </format>
    <format dxfId="178">
      <pivotArea dataOnly="0" labelOnly="1" outline="0" fieldPosition="0">
        <references count="1">
          <reference field="4294967294" count="1">
            <x v="1"/>
          </reference>
        </references>
      </pivotArea>
    </format>
    <format dxfId="177">
      <pivotArea field="4" type="button" dataOnly="0" labelOnly="1" outline="0" axis="axisRow" fieldPosition="0"/>
    </format>
    <format dxfId="176">
      <pivotArea dataOnly="0" labelOnly="1" outline="0" fieldPosition="0">
        <references count="1">
          <reference field="4294967294" count="1">
            <x v="1"/>
          </reference>
        </references>
      </pivotArea>
    </format>
    <format dxfId="175">
      <pivotArea field="0" type="button" dataOnly="0" labelOnly="1" outline="0" axis="axisRow" fieldPosition="1"/>
    </format>
    <format dxfId="174">
      <pivotArea field="1" type="button" dataOnly="0" labelOnly="1" outline="0" axis="axisRow" fieldPosition="2"/>
    </format>
    <format dxfId="173">
      <pivotArea field="2" type="button" dataOnly="0" labelOnly="1" outline="0" axis="axisRow" fieldPosition="3"/>
    </format>
    <format dxfId="172">
      <pivotArea field="4" type="button" dataOnly="0" labelOnly="1" outline="0" axis="axisRow" fieldPosition="0"/>
    </format>
    <format dxfId="171">
      <pivotArea dataOnly="0" labelOnly="1" outline="0" fieldPosition="0">
        <references count="1">
          <reference field="4294967294" count="2">
            <x v="1"/>
            <x v="2"/>
          </reference>
        </references>
      </pivotArea>
    </format>
    <format dxfId="170">
      <pivotArea field="0" type="button" dataOnly="0" labelOnly="1" outline="0" axis="axisRow" fieldPosition="1"/>
    </format>
    <format dxfId="169">
      <pivotArea field="1" type="button" dataOnly="0" labelOnly="1" outline="0" axis="axisRow" fieldPosition="2"/>
    </format>
    <format dxfId="168">
      <pivotArea field="2" type="button" dataOnly="0" labelOnly="1" outline="0" axis="axisRow" fieldPosition="3"/>
    </format>
    <format dxfId="167">
      <pivotArea field="4" type="button" dataOnly="0" labelOnly="1" outline="0" axis="axisRow" fieldPosition="0"/>
    </format>
    <format dxfId="166">
      <pivotArea dataOnly="0" labelOnly="1" outline="0" fieldPosition="0">
        <references count="1">
          <reference field="4294967294" count="2">
            <x v="1"/>
            <x v="2"/>
          </reference>
        </references>
      </pivotArea>
    </format>
    <format dxfId="165">
      <pivotArea field="0" type="button" dataOnly="0" labelOnly="1" outline="0" axis="axisRow" fieldPosition="1"/>
    </format>
    <format dxfId="164">
      <pivotArea field="1" type="button" dataOnly="0" labelOnly="1" outline="0" axis="axisRow" fieldPosition="2"/>
    </format>
    <format dxfId="163">
      <pivotArea field="2" type="button" dataOnly="0" labelOnly="1" outline="0" axis="axisRow" fieldPosition="3"/>
    </format>
    <format dxfId="162">
      <pivotArea field="4" type="button" dataOnly="0" labelOnly="1" outline="0" axis="axisRow" fieldPosition="0"/>
    </format>
    <format dxfId="161">
      <pivotArea dataOnly="0" labelOnly="1" outline="0" fieldPosition="0">
        <references count="1">
          <reference field="4294967294" count="2">
            <x v="1"/>
            <x v="2"/>
          </reference>
        </references>
      </pivotArea>
    </format>
    <format dxfId="160">
      <pivotArea dataOnly="0" labelOnly="1" outline="0" fieldPosition="0">
        <references count="1">
          <reference field="4294967294" count="1">
            <x v="2"/>
          </reference>
        </references>
      </pivotArea>
    </format>
    <format dxfId="159">
      <pivotArea dataOnly="0" labelOnly="1" outline="0" fieldPosition="0">
        <references count="1">
          <reference field="4294967294" count="1">
            <x v="0"/>
          </reference>
        </references>
      </pivotArea>
    </format>
    <format dxfId="158">
      <pivotArea dataOnly="0" outline="0" fieldPosition="0">
        <references count="1">
          <reference field="4294967294" count="1">
            <x v="2"/>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4EA4F-CE10-46C9-A815-E2367FF2ABCC}" name="PivotTable1" cacheId="17"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G3" firstHeaderRow="0" firstDataRow="1" firstDataCol="4"/>
  <pivotFields count="15">
    <pivotField name="$ItemNo$" axis="axisRow" compact="0" outline="0" subtotalTop="0" showAll="0" defaultSubtotal="0">
      <items count="1">
        <item x="0"/>
      </items>
    </pivotField>
    <pivotField name="$Description$" axis="axisRow" compact="0" outline="0" subtotalTop="0" showAll="0" defaultSubtotal="0">
      <items count="1">
        <item x="0"/>
      </items>
    </pivotField>
    <pivotField name="$InventoryPostingGroup$" axis="axisRow" compact="0" outline="0" subtotalTop="0" showAll="0" defaultSubtotal="0">
      <items count="1">
        <item x="0"/>
      </items>
    </pivotField>
    <pivotField dataField="1" compact="0" outline="0" subtotalTop="0" showAll="0" defaultSubtotal="0"/>
    <pivotField name="$ABCLbl$" axis="axisRow" compact="0" outline="0" showAll="0" defaultSubtotal="0">
      <items count="1">
        <item x="0"/>
      </items>
    </pivotField>
    <pivotField name="Pct" dataField="1" compact="0" outline="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0"/>
    <field x="1"/>
    <field x="2"/>
    <field x="4"/>
  </rowFields>
  <rowItems count="2">
    <i>
      <x/>
      <x/>
      <x/>
      <x/>
    </i>
    <i t="grand">
      <x/>
    </i>
  </rowItems>
  <colFields count="1">
    <field x="-2"/>
  </colFields>
  <colItems count="2">
    <i>
      <x/>
    </i>
    <i i="1">
      <x v="1"/>
    </i>
  </colItems>
  <dataFields count="2">
    <dataField name="$PercentageLbl$" fld="5" baseField="0" baseItem="0"/>
    <dataField name="$SalesLCY$" fld="3" baseField="0" baseItem="0"/>
  </dataFields>
  <formats count="44">
    <format dxfId="151">
      <pivotArea field="4" type="button" dataOnly="0" labelOnly="1" outline="0" axis="axisRow" fieldPosition="3"/>
    </format>
    <format dxfId="150">
      <pivotArea field="4" type="button" dataOnly="0" labelOnly="1" outline="0" axis="axisRow" fieldPosition="3"/>
    </format>
    <format dxfId="149">
      <pivotArea type="all" dataOnly="0" outline="0" fieldPosition="0"/>
    </format>
    <format dxfId="148">
      <pivotArea field="4" type="button" dataOnly="0" labelOnly="1" outline="0" axis="axisRow" fieldPosition="3"/>
    </format>
    <format dxfId="147">
      <pivotArea field="4" type="button" dataOnly="0" labelOnly="1" outline="0" axis="axisRow" fieldPosition="3"/>
    </format>
    <format dxfId="146">
      <pivotArea field="5" type="button" dataOnly="0" labelOnly="1" outline="0"/>
    </format>
    <format dxfId="145">
      <pivotArea dataOnly="0" labelOnly="1" outline="0" axis="axisValues" fieldPosition="0"/>
    </format>
    <format dxfId="144">
      <pivotArea field="4" type="button" dataOnly="0" labelOnly="1" outline="0" axis="axisRow" fieldPosition="3"/>
    </format>
    <format dxfId="143">
      <pivotArea field="5" type="button" dataOnly="0" labelOnly="1" outline="0"/>
    </format>
    <format dxfId="142">
      <pivotArea dataOnly="0" labelOnly="1" outline="0" axis="axisValues" fieldPosition="0"/>
    </format>
    <format dxfId="141">
      <pivotArea field="4" type="button" dataOnly="0" labelOnly="1" outline="0" axis="axisRow" fieldPosition="3"/>
    </format>
    <format dxfId="140">
      <pivotArea field="5" type="button" dataOnly="0" labelOnly="1" outline="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4" type="button" dataOnly="0" labelOnly="1" outline="0" axis="axisRow" fieldPosition="3"/>
    </format>
    <format dxfId="135">
      <pivotArea field="5" type="button" dataOnly="0" labelOnly="1" outline="0"/>
    </format>
    <format dxfId="134">
      <pivotArea dataOnly="0" labelOnly="1" grandRow="1" outline="0" fieldPosition="0"/>
    </format>
    <format dxfId="133">
      <pivotArea dataOnly="0" labelOnly="1" outline="0" axis="axisValues" fieldPosition="0"/>
    </format>
    <format dxfId="132">
      <pivotArea dataOnly="0" labelOnly="1" outline="0" fieldPosition="0">
        <references count="1">
          <reference field="4294967294" count="1">
            <x v="0"/>
          </reference>
        </references>
      </pivotArea>
    </format>
    <format dxfId="131">
      <pivotArea type="all" dataOnly="0" outline="0" fieldPosition="0"/>
    </format>
    <format dxfId="130">
      <pivotArea outline="0" collapsedLevelsAreSubtotals="1" fieldPosition="0"/>
    </format>
    <format dxfId="129">
      <pivotArea dataOnly="0" labelOnly="1" grandRow="1" outline="0" fieldPosition="0"/>
    </format>
    <format dxfId="128">
      <pivotArea field="0" type="button" dataOnly="0" labelOnly="1" outline="0" axis="axisRow" fieldPosition="0"/>
    </format>
    <format dxfId="127">
      <pivotArea field="1" type="button" dataOnly="0" labelOnly="1" outline="0" axis="axisRow" fieldPosition="1"/>
    </format>
    <format dxfId="126">
      <pivotArea field="2" type="button" dataOnly="0" labelOnly="1" outline="0" axis="axisRow" fieldPosition="2"/>
    </format>
    <format dxfId="125">
      <pivotArea field="4" type="button" dataOnly="0" labelOnly="1" outline="0" axis="axisRow" fieldPosition="3"/>
    </format>
    <format dxfId="124">
      <pivotArea dataOnly="0" labelOnly="1" outline="0" fieldPosition="0">
        <references count="1">
          <reference field="4294967294" count="2">
            <x v="0"/>
            <x v="1"/>
          </reference>
        </references>
      </pivotArea>
    </format>
    <format dxfId="123">
      <pivotArea field="0" type="button" dataOnly="0" labelOnly="1" outline="0" axis="axisRow" fieldPosition="0"/>
    </format>
    <format dxfId="122">
      <pivotArea field="1" type="button" dataOnly="0" labelOnly="1" outline="0" axis="axisRow" fieldPosition="1"/>
    </format>
    <format dxfId="121">
      <pivotArea field="2" type="button" dataOnly="0" labelOnly="1" outline="0" axis="axisRow" fieldPosition="2"/>
    </format>
    <format dxfId="120">
      <pivotArea field="4" type="button" dataOnly="0" labelOnly="1" outline="0" axis="axisRow" fieldPosition="3"/>
    </format>
    <format dxfId="119">
      <pivotArea dataOnly="0" labelOnly="1" outline="0" fieldPosition="0">
        <references count="1">
          <reference field="4294967294" count="2">
            <x v="0"/>
            <x v="1"/>
          </reference>
        </references>
      </pivotArea>
    </format>
    <format dxfId="118">
      <pivotArea field="0" type="button" dataOnly="0" labelOnly="1" outline="0" axis="axisRow" fieldPosition="0"/>
    </format>
    <format dxfId="117">
      <pivotArea field="1" type="button" dataOnly="0" labelOnly="1" outline="0" axis="axisRow" fieldPosition="1"/>
    </format>
    <format dxfId="116">
      <pivotArea field="2" type="button" dataOnly="0" labelOnly="1" outline="0" axis="axisRow" fieldPosition="2"/>
    </format>
    <format dxfId="115">
      <pivotArea field="4" type="button" dataOnly="0" labelOnly="1" outline="0" axis="axisRow" fieldPosition="3"/>
    </format>
    <format dxfId="114">
      <pivotArea dataOnly="0" labelOnly="1" outline="0" fieldPosition="0">
        <references count="1">
          <reference field="4294967294" count="2">
            <x v="0"/>
            <x v="1"/>
          </reference>
        </references>
      </pivotArea>
    </format>
    <format dxfId="113">
      <pivotArea dataOnly="0" labelOnly="1" outline="0" fieldPosition="0">
        <references count="1">
          <reference field="4294967294" count="1">
            <x v="1"/>
          </reference>
        </references>
      </pivotArea>
    </format>
    <format dxfId="9">
      <pivotArea field="0" type="button" dataOnly="0" labelOnly="1" outline="0" axis="axisRow" fieldPosition="0"/>
    </format>
    <format dxfId="7">
      <pivotArea field="1" type="button" dataOnly="0" labelOnly="1" outline="0" axis="axisRow" fieldPosition="1"/>
    </format>
    <format dxfId="5">
      <pivotArea field="2" type="button" dataOnly="0" labelOnly="1" outline="0" axis="axisRow" fieldPosition="2"/>
    </format>
    <format dxfId="3">
      <pivotArea field="4" type="button" dataOnly="0" labelOnly="1" outline="0" axis="axisRow" fieldPosition="3"/>
    </format>
    <format dxfId="1">
      <pivotArea dataOnly="0" labelOnly="1" outline="0" fieldPosition="0">
        <references count="1">
          <reference field="4294967294" count="2">
            <x v="0"/>
            <x v="1"/>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6502ED75-631D-4B33-8EEB-C223373596DF}" autoFormatId="16" applyNumberFormats="0" applyBorderFormats="0" applyFontFormats="0" applyPatternFormats="0" applyAlignmentFormats="0" applyWidthHeightFormats="0">
  <queryTableRefresh nextId="28">
    <queryTableFields count="15">
      <queryTableField id="17" name="ItemNo" tableColumnId="3"/>
      <queryTableField id="18" name="Description" tableColumnId="4"/>
      <queryTableField id="19" name="InventoryPostingGroup" tableColumnId="5"/>
      <queryTableField id="25" name="SalesLCY" tableColumnId="15"/>
      <queryTableField id="7" name="ABC" tableColumnId="7"/>
      <queryTableField id="8" name="Pct" tableColumnId="8"/>
      <queryTableField id="9" name="NoA" tableColumnId="1"/>
      <queryTableField id="10" name="NoB" tableColumnId="2"/>
      <queryTableField id="11" name="NoC" tableColumnId="9"/>
      <queryTableField id="12" name="ABlimit" tableColumnId="10"/>
      <queryTableField id="13" name="BClimit" tableColumnId="11"/>
      <queryTableField id="14" name="AminAmt" tableColumnId="12"/>
      <queryTableField id="15" name="BminAmt" tableColumnId="13"/>
      <queryTableField id="16" name="Col1TotalAllRec" tableColumnId="14"/>
      <queryTableField id="27" name="NoOfItemsInClas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C" xr10:uid="{4D39BE7C-4D71-4012-BAFE-627495EC29E0}" sourceName="ABC">
  <pivotTables>
    <pivotTable tabId="9" name="PivotTable1"/>
  </pivotTables>
  <data>
    <tabular pivotCacheId="1202464309"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PostingGroup" xr10:uid="{1FE6CF77-2B6A-4FF2-982C-B10296C80197}" sourceName="InventoryPostingGroup">
  <pivotTables>
    <pivotTable tabId="9" name="PivotTable1"/>
  </pivotTables>
  <data>
    <tabular pivotCacheId="1202464309"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CLbl$" xr10:uid="{484A2CA2-4B25-4080-821C-399778D69778}" cache="Slicer_ABC" caption="$ABCLbl$" style="Business Central Reports Slicer Style (Template)" rowHeight="273050"/>
  <slicer name="$InventoryPostingGroup$" xr10:uid="{5BBEE40C-55B9-490B-B883-10AF3DCCB852}" cache="Slicer_InventoryPostingGroup" caption="$InventoryPostingGroup$" style="Business Central Reports Slicer Style (Template)" rowHeight="2730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977B06F-7202-407C-BF67-2946EA105DCA}" name="Table9" displayName="Table9" ref="B7:F11" totalsRowShown="0" headerRowDxfId="10" dataDxfId="157">
  <autoFilter ref="B7:F11" xr:uid="{F977B06F-7202-407C-BF67-2946EA105DCA}">
    <filterColumn colId="0" hiddenButton="1"/>
    <filterColumn colId="1" hiddenButton="1"/>
    <filterColumn colId="2" hiddenButton="1"/>
    <filterColumn colId="3" hiddenButton="1"/>
    <filterColumn colId="4" hiddenButton="1"/>
  </autoFilter>
  <tableColumns count="5">
    <tableColumn id="1" xr3:uid="{8FFD01A2-A399-4B5B-9036-40A9A8F66A7C}" name="$RangeLbl$" dataDxfId="156"/>
    <tableColumn id="2" xr3:uid="{87EDA929-63F8-49BC-88C8-00B98533C13A}" name="$ShareLbl$" dataDxfId="155"/>
    <tableColumn id="3" xr3:uid="{DF583517-CAB1-4845-B38E-CA0B6CDB6C61}" name="$NoLbl$" dataDxfId="154"/>
    <tableColumn id="4" xr3:uid="{8EA36430-4090-41DE-8628-F4590A11681F}" name="$FromCumValueLbl$" dataDxfId="153"/>
    <tableColumn id="5" xr3:uid="{D056546C-A313-49BB-BD20-9C692C33204C}" name="$FromSingleValueLbl$" dataDxfId="152"/>
  </tableColumns>
  <tableStyleInfo name="Business Central (Templatezz)"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AF2C6E-45AC-4137-84F1-DB63E8BE2EE9}" name="ItemABCAnalysis_Query" displayName="ItemABCAnalysis_Query" ref="A1:O2" tableType="queryTable" totalsRowShown="0">
  <autoFilter ref="A1:O2" xr:uid="{F8AF2C6E-45AC-4137-84F1-DB63E8BE2EE9}"/>
  <tableColumns count="15">
    <tableColumn id="3" xr3:uid="{4115F4B0-4BBF-4608-935C-90153305A311}" uniqueName="3" name="ItemNo" queryTableFieldId="17" dataDxfId="112"/>
    <tableColumn id="4" xr3:uid="{11D941A8-FF1B-4953-9ABD-89A3F69B40E4}" uniqueName="4" name="Description" queryTableFieldId="18" dataDxfId="111"/>
    <tableColumn id="5" xr3:uid="{2E61BF7E-C489-4D48-B7CF-13E844085331}" uniqueName="5" name="InventoryPostingGroup" queryTableFieldId="19" dataDxfId="110"/>
    <tableColumn id="15" xr3:uid="{02BCEE83-6513-4350-B478-5B31A63594F3}" uniqueName="15" name="SalesLCY" queryTableFieldId="25"/>
    <tableColumn id="7" xr3:uid="{89A9C609-5706-40B9-B310-D215A81DAF98}" uniqueName="7" name="ABC" queryTableFieldId="7" dataDxfId="109"/>
    <tableColumn id="8" xr3:uid="{D9060F8A-52BB-4A48-93EB-44D27E5825BF}" uniqueName="8" name="Pct" queryTableFieldId="8"/>
    <tableColumn id="1" xr3:uid="{CEBDAEAE-6687-46C2-A949-BE17C7E979AF}" uniqueName="1" name="NoA" queryTableFieldId="9"/>
    <tableColumn id="2" xr3:uid="{6276DF16-2D4D-4BAB-A88D-9D590B380D1D}" uniqueName="2" name="NoB" queryTableFieldId="10"/>
    <tableColumn id="9" xr3:uid="{81277F66-5551-420A-AE28-FDCED756EA25}" uniqueName="9" name="NoC" queryTableFieldId="11"/>
    <tableColumn id="10" xr3:uid="{BD965A30-1247-43DF-94CE-6BF538ED6AC1}" uniqueName="10" name="ABlimit" queryTableFieldId="12"/>
    <tableColumn id="11" xr3:uid="{F6298751-FC9B-4240-BE03-3CCC7B2C5573}" uniqueName="11" name="BClimit" queryTableFieldId="13"/>
    <tableColumn id="12" xr3:uid="{85ACA582-E6AA-42FF-92A0-84AE80D77E1A}" uniqueName="12" name="AminAmt" queryTableFieldId="14"/>
    <tableColumn id="13" xr3:uid="{0FAC2BED-D566-4BB4-A67B-3E0A79168EB5}" uniqueName="13" name="BminAmt" queryTableFieldId="15"/>
    <tableColumn id="14" xr3:uid="{A999BA35-C5CF-4655-A58C-781CA8381164}" uniqueName="14" name="Col1TotalAllRec" queryTableFieldId="16"/>
    <tableColumn id="6" xr3:uid="{27D50C4E-0A0D-48A1-BF08-DFA81C5760DD}" uniqueName="6" name="NoOfItemsInClass" queryTableField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O2" totalsRowShown="0" headerRowDxfId="108">
  <autoFilter ref="A1:O2" xr:uid="{41D726F2-778D-4B1C-A5EA-875FED73D050}"/>
  <tableColumns count="15">
    <tableColumn id="3" xr3:uid="{21867904-D69E-41E3-B5BE-D9B124B8D7E4}" name="ItemNo"/>
    <tableColumn id="4" xr3:uid="{21867904-D69E-41E3-B5BE-D9B124B8D7E4}" name="Description"/>
    <tableColumn id="5" xr3:uid="{21867904-D69E-41E3-B5BE-D9B124B8D7E4}" name="InventoryPostingGroup"/>
    <tableColumn id="6" xr3:uid="{21867904-D69E-41E3-B5BE-D9B124B8D7E4}" name="SalesLCY"/>
    <tableColumn id="7" xr3:uid="{21867904-D69E-41E3-B5BE-D9B124B8D7E4}" name="ABC"/>
    <tableColumn id="8" xr3:uid="{21867904-D69E-41E3-B5BE-D9B124B8D7E4}" name="Pct"/>
    <tableColumn id="1" xr3:uid="{ADC784FD-D51B-4372-A14D-554B70A5BA33}" name="NoA" dataDxfId="107"/>
    <tableColumn id="2" xr3:uid="{BEB7C4B4-3EFB-4A15-BE1B-26278F6ACC44}" name="NoB" dataDxfId="106"/>
    <tableColumn id="9" xr3:uid="{050B805D-9E78-4D52-85E5-D033ED6BBD73}" name="NoC" dataDxfId="105"/>
    <tableColumn id="10" xr3:uid="{EE4E6036-A2C6-49A7-AEEB-6218CEF20A70}" name="ABlimit" dataDxfId="104"/>
    <tableColumn id="11" xr3:uid="{668E51A8-31A9-41D9-A8C7-1D69FCE4DA74}" name="BClimit" dataDxfId="103"/>
    <tableColumn id="12" xr3:uid="{B4583A56-BF30-47F4-B7C8-A44762BD613B}" name="AminAmt" dataDxfId="102"/>
    <tableColumn id="13" xr3:uid="{E85A136C-2091-4E40-8116-7464F2B91435}" name="BminAmt" dataDxfId="101"/>
    <tableColumn id="14" xr3:uid="{F47A2AB4-E7ED-4F3F-96C1-88DCFFFBADB8}" name="Col1TotalAllRec" dataDxfId="100"/>
    <tableColumn id="16" xr3:uid="{3A12B8A8-9ADB-4A83-BD90-6DA4C3836CDC}" name="NoOfItemsInClass" dataDxfId="9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98">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97">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96">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95">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44B6D-30BC-4F93-A342-77FB0C8983FD}">
  <sheetPr>
    <pageSetUpPr fitToPage="1"/>
  </sheetPr>
  <dimension ref="A2:H10"/>
  <sheetViews>
    <sheetView showGridLines="0" tabSelected="1" workbookViewId="0"/>
  </sheetViews>
  <sheetFormatPr defaultColWidth="8.58203125" defaultRowHeight="21" x14ac:dyDescent="0.45"/>
  <cols>
    <col min="1" max="1" width="8.58203125" style="10"/>
    <col min="2" max="2" width="12.58203125" style="9" bestFit="1" customWidth="1"/>
    <col min="3" max="3" width="23.5" style="9" customWidth="1"/>
    <col min="4" max="4" width="33.08203125" style="9" customWidth="1"/>
    <col min="5" max="5" width="22.08203125" style="9" bestFit="1" customWidth="1"/>
    <col min="6" max="7" width="18.58203125" style="9" customWidth="1"/>
    <col min="8" max="8" width="25.58203125" style="9" customWidth="1"/>
    <col min="9" max="16384" width="8.58203125" style="9"/>
  </cols>
  <sheetData>
    <row r="2" spans="2:8" ht="26.5" thickBot="1" x14ac:dyDescent="0.5">
      <c r="B2" s="14" t="s">
        <v>74</v>
      </c>
      <c r="H2" s="11" t="str" cm="1">
        <f t="array" ref="H2">ReportRequest.CompanyName</f>
        <v>Company name Value</v>
      </c>
    </row>
    <row r="3" spans="2:8" ht="21.5" thickTop="1" x14ac:dyDescent="0.45"/>
    <row r="4" spans="2:8" x14ac:dyDescent="0.45">
      <c r="B4" s="4" t="e" cm="1">
        <f t="array" ref="B4">ItemFilterHeading</f>
        <v>#N/A</v>
      </c>
      <c r="G4" s="12" t="e" cm="1">
        <f t="array" ref="G4">Caption.DataRetrievedLbl</f>
        <v>#NAME?</v>
      </c>
      <c r="H4" s="13" t="str" cm="1">
        <f t="array" ref="H4">ReportRequest.DateLocal</f>
        <v>Date (Local) Value</v>
      </c>
    </row>
    <row r="5" spans="2:8" x14ac:dyDescent="0.45">
      <c r="B5" s="4" t="e">
        <f>_xlfn.CONCAT(Caption.PercentageABCLbl, " ", Apct, "/", Bpct, "/", Cpct)</f>
        <v>#NAME?</v>
      </c>
    </row>
    <row r="7" spans="2:8" x14ac:dyDescent="0.45">
      <c r="B7" s="23" t="s">
        <v>76</v>
      </c>
      <c r="C7" s="22" t="s">
        <v>98</v>
      </c>
      <c r="D7" s="22" t="s">
        <v>99</v>
      </c>
      <c r="E7" s="22" t="s">
        <v>100</v>
      </c>
      <c r="F7" s="24" t="s">
        <v>105</v>
      </c>
      <c r="G7" s="17" t="s">
        <v>75</v>
      </c>
      <c r="H7" s="25" t="s">
        <v>102</v>
      </c>
    </row>
    <row r="8" spans="2:8" x14ac:dyDescent="0.45">
      <c r="B8" s="7"/>
      <c r="C8" s="7"/>
      <c r="D8" s="7"/>
      <c r="E8" s="7"/>
      <c r="F8" s="26">
        <v>0</v>
      </c>
      <c r="G8" s="26">
        <v>0</v>
      </c>
      <c r="H8" s="19">
        <v>0</v>
      </c>
    </row>
    <row r="9" spans="2:8" x14ac:dyDescent="0.45">
      <c r="B9" s="7" t="s">
        <v>103</v>
      </c>
      <c r="C9" s="7"/>
      <c r="D9" s="7"/>
      <c r="E9" s="7"/>
      <c r="F9" s="26">
        <v>0</v>
      </c>
      <c r="G9" s="26">
        <v>0</v>
      </c>
      <c r="H9" s="19">
        <v>0</v>
      </c>
    </row>
    <row r="10" spans="2:8" x14ac:dyDescent="0.45">
      <c r="B10" s="7" t="s">
        <v>73</v>
      </c>
      <c r="C10" s="7"/>
      <c r="D10" s="7"/>
      <c r="E10" s="7"/>
      <c r="F10" s="26">
        <v>0</v>
      </c>
      <c r="G10" s="26">
        <v>0</v>
      </c>
      <c r="H10" s="19">
        <v>0</v>
      </c>
    </row>
  </sheetData>
  <pageMargins left="0.25" right="0.25" top="0.75" bottom="0.75" header="0.3" footer="0.3"/>
  <pageSetup paperSize="9" scale="70"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B880-52DD-4DFD-81A4-DE9625E07461}">
  <sheetPr>
    <pageSetUpPr fitToPage="1"/>
  </sheetPr>
  <dimension ref="A2:L12"/>
  <sheetViews>
    <sheetView showGridLines="0" workbookViewId="0"/>
  </sheetViews>
  <sheetFormatPr defaultColWidth="8.58203125" defaultRowHeight="21" x14ac:dyDescent="0.45"/>
  <cols>
    <col min="1" max="1" width="8.58203125" style="10"/>
    <col min="2" max="2" width="13" style="7" customWidth="1"/>
    <col min="3" max="3" width="12.33203125" style="7" customWidth="1"/>
    <col min="4" max="4" width="10.08203125" style="7" customWidth="1"/>
    <col min="5" max="5" width="21" style="7" customWidth="1"/>
    <col min="6" max="6" width="25.58203125" style="7" customWidth="1"/>
    <col min="7" max="10" width="8.58203125" style="7"/>
    <col min="11" max="11" width="17.58203125" style="7" customWidth="1"/>
    <col min="12" max="12" width="18.33203125" style="7" customWidth="1"/>
    <col min="13" max="16384" width="8.58203125" style="7"/>
  </cols>
  <sheetData>
    <row r="2" spans="2:12" ht="26.5" thickBot="1" x14ac:dyDescent="0.5">
      <c r="B2" s="14" t="s">
        <v>94</v>
      </c>
      <c r="C2" s="9"/>
      <c r="D2" s="9"/>
      <c r="E2" s="9"/>
      <c r="F2" s="11" t="str" cm="1">
        <f t="array" ref="F2">ReportRequest.CompanyName</f>
        <v>Company name Value</v>
      </c>
    </row>
    <row r="3" spans="2:12" ht="21.5" thickTop="1" x14ac:dyDescent="0.45">
      <c r="B3" s="9"/>
      <c r="C3" s="9"/>
      <c r="D3" s="9"/>
      <c r="E3" s="9"/>
      <c r="F3" s="9"/>
    </row>
    <row r="4" spans="2:12" x14ac:dyDescent="0.45">
      <c r="B4" s="4" t="e" cm="1">
        <f t="array" ref="B4">ItemFilterHeading</f>
        <v>#N/A</v>
      </c>
      <c r="C4" s="9"/>
      <c r="D4" s="9"/>
      <c r="E4" s="12" t="e" cm="1">
        <f t="array" ref="E4">Caption.DataRetrievedLbl</f>
        <v>#NAME?</v>
      </c>
      <c r="F4" s="13" t="str" cm="1">
        <f t="array" ref="F4">ReportRequest.DateLocal</f>
        <v>Date (Local) Value</v>
      </c>
    </row>
    <row r="5" spans="2:12" x14ac:dyDescent="0.45">
      <c r="B5" s="4" t="e">
        <f>_xlfn.CONCAT(Caption.PercentageABCLbl, " ", Apct, "/", Bpct, "/", Cpct)</f>
        <v>#NAME?</v>
      </c>
      <c r="C5" s="9"/>
      <c r="D5" s="9"/>
      <c r="E5" s="9"/>
      <c r="F5" s="9"/>
      <c r="G5" s="9"/>
    </row>
    <row r="7" spans="2:12" x14ac:dyDescent="0.45">
      <c r="B7" s="16" t="s">
        <v>87</v>
      </c>
      <c r="C7" s="17" t="s">
        <v>88</v>
      </c>
      <c r="D7" s="17" t="s">
        <v>89</v>
      </c>
      <c r="E7" s="17" t="s">
        <v>90</v>
      </c>
      <c r="F7" s="17" t="s">
        <v>91</v>
      </c>
      <c r="H7" s="18"/>
      <c r="I7" s="18"/>
      <c r="J7" s="18"/>
      <c r="K7" s="18"/>
      <c r="L7" s="18"/>
    </row>
    <row r="8" spans="2:12" x14ac:dyDescent="0.45">
      <c r="B8" s="7" t="s">
        <v>93</v>
      </c>
      <c r="C8" s="7" t="e" cm="1">
        <f t="array" ref="C8">Apct</f>
        <v>#N/A</v>
      </c>
      <c r="D8" s="7" cm="1">
        <f t="array" ref="D8">_xlfn.XLOOKUP(TRUE, Data!G:G&lt;&gt;"", Data!G:G, , 0, -1)</f>
        <v>0</v>
      </c>
      <c r="E8" s="19">
        <f>Data!J2</f>
        <v>0</v>
      </c>
      <c r="F8" s="19">
        <f>Data!L2</f>
        <v>0</v>
      </c>
      <c r="K8" s="19"/>
      <c r="L8" s="19"/>
    </row>
    <row r="9" spans="2:12" x14ac:dyDescent="0.45">
      <c r="B9" s="7" t="s">
        <v>84</v>
      </c>
      <c r="C9" s="7" t="e" cm="1">
        <f t="array" ref="C9">Bpct</f>
        <v>#N/A</v>
      </c>
      <c r="D9" s="7" cm="1">
        <f t="array" ref="D9">_xlfn.XLOOKUP(TRUE, Data!H:H&lt;&gt;"", Data!H:H, , 0, -1)</f>
        <v>0</v>
      </c>
      <c r="E9" s="19">
        <f>Data!K2</f>
        <v>0</v>
      </c>
      <c r="F9" s="19">
        <f>Data!M2</f>
        <v>0</v>
      </c>
      <c r="K9" s="19"/>
      <c r="L9" s="19"/>
    </row>
    <row r="10" spans="2:12" x14ac:dyDescent="0.45">
      <c r="B10" s="7" t="s">
        <v>85</v>
      </c>
      <c r="C10" s="7" t="e" cm="1">
        <f t="array" ref="C10">Cpct</f>
        <v>#N/A</v>
      </c>
      <c r="D10" s="7" cm="1">
        <f t="array" ref="D10">_xlfn.XLOOKUP(TRUE, Data!I:I&lt;&gt;"", Data!I:I, , 0, -1)</f>
        <v>0</v>
      </c>
      <c r="E10" s="7">
        <v>0</v>
      </c>
      <c r="F10" s="7">
        <v>0</v>
      </c>
    </row>
    <row r="11" spans="2:12" ht="21.5" thickBot="1" x14ac:dyDescent="0.5">
      <c r="B11" s="20" t="s">
        <v>86</v>
      </c>
      <c r="C11" s="20" t="e">
        <f>SUM(C8:C10)</f>
        <v>#N/A</v>
      </c>
      <c r="D11" s="20">
        <f>SUM(D8:D10)</f>
        <v>0</v>
      </c>
      <c r="E11" s="21">
        <f>Data!N2</f>
        <v>0</v>
      </c>
      <c r="F11" s="20"/>
      <c r="K11" s="19"/>
      <c r="L11" s="19"/>
    </row>
    <row r="12" spans="2:12" x14ac:dyDescent="0.45">
      <c r="K12" s="19"/>
    </row>
  </sheetData>
  <pageMargins left="0.25" right="0.25" top="0.75" bottom="0.75" header="0.3" footer="0.3"/>
  <pageSetup paperSize="9"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7DB60-D928-498C-BC6E-C54D611558FF}">
  <dimension ref="A1:G3"/>
  <sheetViews>
    <sheetView showGridLines="0" workbookViewId="0"/>
  </sheetViews>
  <sheetFormatPr defaultColWidth="8.58203125" defaultRowHeight="21" x14ac:dyDescent="0.45"/>
  <cols>
    <col min="1" max="1" width="33.5" style="10" customWidth="1"/>
    <col min="2" max="2" width="12.58203125" style="9" bestFit="1" customWidth="1"/>
    <col min="3" max="3" width="34.33203125" style="9" customWidth="1"/>
    <col min="4" max="4" width="23.58203125" style="9" customWidth="1"/>
    <col min="5" max="5" width="8.08203125" style="9" customWidth="1"/>
    <col min="6" max="6" width="19.83203125" style="9" bestFit="1" customWidth="1"/>
    <col min="7" max="7" width="15.58203125" style="9" customWidth="1"/>
    <col min="8" max="16384" width="8.58203125" style="9"/>
  </cols>
  <sheetData>
    <row r="1" spans="2:7" x14ac:dyDescent="0.45">
      <c r="B1" s="22" t="s">
        <v>98</v>
      </c>
      <c r="C1" s="22" t="s">
        <v>99</v>
      </c>
      <c r="D1" s="22" t="s">
        <v>100</v>
      </c>
      <c r="E1" s="23" t="s">
        <v>76</v>
      </c>
      <c r="F1" s="17" t="s">
        <v>75</v>
      </c>
      <c r="G1" s="17" t="s">
        <v>102</v>
      </c>
    </row>
    <row r="2" spans="2:7" x14ac:dyDescent="0.45">
      <c r="B2" s="7"/>
      <c r="C2" s="7"/>
      <c r="D2" s="7"/>
      <c r="E2" s="7"/>
      <c r="F2" s="26">
        <v>0</v>
      </c>
      <c r="G2" s="26">
        <v>0</v>
      </c>
    </row>
    <row r="3" spans="2:7" x14ac:dyDescent="0.45">
      <c r="B3" s="7" t="s">
        <v>73</v>
      </c>
      <c r="C3" s="7"/>
      <c r="D3" s="7"/>
      <c r="E3" s="7"/>
      <c r="F3" s="26">
        <v>0</v>
      </c>
      <c r="G3" s="26">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C615-BB95-4638-8552-5A7D1BDD02FD}">
  <dimension ref="A1:B8"/>
  <sheetViews>
    <sheetView showGridLines="0" workbookViewId="0"/>
  </sheetViews>
  <sheetFormatPr defaultRowHeight="20.149999999999999" customHeight="1" x14ac:dyDescent="0.45"/>
  <cols>
    <col min="1" max="1" width="17.33203125" customWidth="1"/>
    <col min="2" max="2" width="25.58203125" customWidth="1"/>
  </cols>
  <sheetData>
    <row r="1" spans="1:2" ht="20.149999999999999" customHeight="1" x14ac:dyDescent="0.45">
      <c r="A1" s="3" t="s">
        <v>67</v>
      </c>
      <c r="B1" s="4" t="str" cm="1">
        <f t="array" ref="B1">ReportRequest.EnvironmentName</f>
        <v>Environment name Value</v>
      </c>
    </row>
    <row r="2" spans="1:2" ht="20.149999999999999" customHeight="1" x14ac:dyDescent="0.45">
      <c r="A2" s="3" t="s">
        <v>68</v>
      </c>
      <c r="B2" s="4" t="str" cm="1">
        <f t="array" ref="B2">ReportRequest.CompanyName</f>
        <v>Company name Value</v>
      </c>
    </row>
    <row r="3" spans="1:2" ht="20.149999999999999" customHeight="1" x14ac:dyDescent="0.45">
      <c r="A3" s="3" t="s">
        <v>69</v>
      </c>
      <c r="B3" s="4" t="str" cm="1">
        <f t="array" ref="B3">ReportRequest.UserName</f>
        <v>User name Value</v>
      </c>
    </row>
    <row r="4" spans="1:2" ht="20.149999999999999" customHeight="1" x14ac:dyDescent="0.45">
      <c r="A4" s="3" t="s">
        <v>70</v>
      </c>
      <c r="B4" s="5" t="str" cm="1">
        <f t="array" ref="B4">ReportRequest.DateLocal</f>
        <v>Date (Local) Value</v>
      </c>
    </row>
    <row r="5" spans="1:2" ht="20.149999999999999" customHeight="1" x14ac:dyDescent="0.45">
      <c r="A5" s="3"/>
      <c r="B5" s="6" t="str" cm="1">
        <f t="array" ref="B5">ReportRequest.DateLocal</f>
        <v>Date (Local) Value</v>
      </c>
    </row>
    <row r="6" spans="1:2" ht="20.149999999999999" customHeight="1" x14ac:dyDescent="0.45">
      <c r="A6" s="3" t="s">
        <v>71</v>
      </c>
      <c r="B6" s="4" t="str" cm="1">
        <f t="array" ref="B6">ReportMetadata.ObjectCaption</f>
        <v>Object Caption Value</v>
      </c>
    </row>
    <row r="7" spans="1:2" ht="20.149999999999999" customHeight="1" x14ac:dyDescent="0.45">
      <c r="A7" s="3" t="s">
        <v>72</v>
      </c>
      <c r="B7" s="8" t="str">
        <f>HYPERLINK(_xlfn.CONCAT("https://learn.microsoft.com/dynamics365/business-central/reports/report-",ReportMetadata.ObjectID))</f>
        <v>https://learn.microsoft.com/dynamics365/business-central/reports/report-Object ID Value</v>
      </c>
    </row>
    <row r="8" spans="1:2" ht="20.149999999999999" customHeight="1" x14ac:dyDescent="0.45">
      <c r="A8" s="3"/>
      <c r="B8"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C8136-B489-4A45-8E84-42C993E73350}">
  <dimension ref="A1:O2"/>
  <sheetViews>
    <sheetView workbookViewId="0">
      <selection activeCell="J2" sqref="J2"/>
    </sheetView>
  </sheetViews>
  <sheetFormatPr defaultRowHeight="16.5" x14ac:dyDescent="0.45"/>
  <cols>
    <col min="1" max="1" width="9.5" bestFit="1" customWidth="1"/>
    <col min="2" max="2" width="12.9140625" bestFit="1" customWidth="1"/>
    <col min="3" max="3" width="23.58203125" bestFit="1" customWidth="1"/>
    <col min="4" max="4" width="10.5" bestFit="1" customWidth="1"/>
    <col min="5" max="5" width="6.58203125" bestFit="1" customWidth="1"/>
    <col min="6" max="6" width="5.83203125" bestFit="1" customWidth="1"/>
    <col min="7" max="7" width="6.75" bestFit="1" customWidth="1"/>
    <col min="8" max="9" width="6.6640625" bestFit="1" customWidth="1"/>
    <col min="10" max="10" width="9.33203125" bestFit="1" customWidth="1"/>
    <col min="11" max="11" width="9.25" bestFit="1" customWidth="1"/>
    <col min="12" max="12" width="11.1640625" bestFit="1" customWidth="1"/>
    <col min="13" max="13" width="11.08203125" bestFit="1" customWidth="1"/>
    <col min="14" max="14" width="16.6640625" bestFit="1" customWidth="1"/>
    <col min="15" max="15" width="18.5" bestFit="1" customWidth="1"/>
    <col min="16" max="16" width="16.58203125" bestFit="1" customWidth="1"/>
    <col min="17" max="17" width="9.25" bestFit="1" customWidth="1"/>
    <col min="18" max="19" width="11.08203125" bestFit="1" customWidth="1"/>
    <col min="20" max="20" width="16.58203125" bestFit="1" customWidth="1"/>
    <col min="21" max="21" width="6.58203125" bestFit="1" customWidth="1"/>
    <col min="22" max="22" width="5.83203125" bestFit="1" customWidth="1"/>
  </cols>
  <sheetData>
    <row r="1" spans="1:15" x14ac:dyDescent="0.45">
      <c r="A1" t="s">
        <v>95</v>
      </c>
      <c r="B1" t="s">
        <v>96</v>
      </c>
      <c r="C1" t="s">
        <v>97</v>
      </c>
      <c r="D1" t="s">
        <v>101</v>
      </c>
      <c r="E1" t="s">
        <v>64</v>
      </c>
      <c r="F1" t="s">
        <v>65</v>
      </c>
      <c r="G1" t="s">
        <v>77</v>
      </c>
      <c r="H1" t="s">
        <v>78</v>
      </c>
      <c r="I1" t="s">
        <v>79</v>
      </c>
      <c r="J1" t="s">
        <v>80</v>
      </c>
      <c r="K1" t="s">
        <v>81</v>
      </c>
      <c r="L1" t="s">
        <v>82</v>
      </c>
      <c r="M1" t="s">
        <v>83</v>
      </c>
      <c r="N1" t="s">
        <v>92</v>
      </c>
      <c r="O1" t="s">
        <v>104</v>
      </c>
    </row>
    <row r="2" spans="1:15" x14ac:dyDescent="0.45">
      <c r="A2" t="s">
        <v>66</v>
      </c>
      <c r="B2" t="s">
        <v>66</v>
      </c>
      <c r="C2" t="s">
        <v>66</v>
      </c>
      <c r="D2">
        <v>0</v>
      </c>
      <c r="E2" t="s">
        <v>66</v>
      </c>
      <c r="F2">
        <v>0</v>
      </c>
      <c r="G2">
        <v>0</v>
      </c>
      <c r="H2">
        <v>0</v>
      </c>
      <c r="I2">
        <v>0</v>
      </c>
      <c r="J2">
        <v>0</v>
      </c>
      <c r="K2">
        <v>0</v>
      </c>
      <c r="L2">
        <v>0</v>
      </c>
      <c r="M2">
        <v>0</v>
      </c>
      <c r="N2">
        <v>0</v>
      </c>
      <c r="O2">
        <v>0</v>
      </c>
    </row>
  </sheetData>
  <phoneticPr fontId="1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pane ySplit="1" topLeftCell="A2" activePane="bottomLeft" state="frozen"/>
      <selection pane="bottomLeft" activeCell="O2" sqref="O2"/>
    </sheetView>
  </sheetViews>
  <sheetFormatPr defaultRowHeight="16.5" x14ac:dyDescent="0.45"/>
  <cols>
    <col min="1" max="1" width="10.75" bestFit="1" customWidth="1"/>
    <col min="2" max="2" width="18.25" bestFit="1" customWidth="1"/>
    <col min="3" max="3" width="25.25" bestFit="1" customWidth="1"/>
    <col min="4" max="4" width="15.83203125" bestFit="1" customWidth="1"/>
    <col min="5" max="5" width="7" bestFit="1" customWidth="1"/>
    <col min="6" max="6" width="6" bestFit="1" customWidth="1"/>
    <col min="7" max="7" width="7.25" bestFit="1" customWidth="1"/>
    <col min="8" max="8" width="7.08203125" bestFit="1" customWidth="1"/>
    <col min="9" max="9" width="7" bestFit="1" customWidth="1"/>
    <col min="10" max="10" width="9.83203125" bestFit="1" customWidth="1"/>
    <col min="11" max="11" width="9.58203125" bestFit="1" customWidth="1"/>
    <col min="12" max="12" width="11.83203125" bestFit="1" customWidth="1"/>
    <col min="13" max="13" width="11.75" bestFit="1" customWidth="1"/>
    <col min="14" max="14" width="11.75" customWidth="1"/>
    <col min="15" max="15" width="17.25" bestFit="1" customWidth="1"/>
  </cols>
  <sheetData>
    <row r="1" spans="1:15" x14ac:dyDescent="0.45">
      <c r="A1" t="s">
        <v>95</v>
      </c>
      <c r="B1" t="s">
        <v>96</v>
      </c>
      <c r="C1" t="s">
        <v>97</v>
      </c>
      <c r="D1" t="s">
        <v>101</v>
      </c>
      <c r="E1" t="s">
        <v>64</v>
      </c>
      <c r="F1" t="s">
        <v>65</v>
      </c>
      <c r="G1" t="s">
        <v>77</v>
      </c>
      <c r="H1" t="s">
        <v>78</v>
      </c>
      <c r="I1" t="s">
        <v>79</v>
      </c>
      <c r="J1" t="s">
        <v>80</v>
      </c>
      <c r="K1" t="s">
        <v>81</v>
      </c>
      <c r="L1" t="s">
        <v>82</v>
      </c>
      <c r="M1" t="s">
        <v>83</v>
      </c>
      <c r="N1" t="s">
        <v>92</v>
      </c>
      <c r="O1" t="s">
        <v>104</v>
      </c>
    </row>
    <row r="2" spans="1:15" x14ac:dyDescent="0.45">
      <c r="A2" t="s">
        <v>66</v>
      </c>
      <c r="B2" t="s">
        <v>66</v>
      </c>
      <c r="C2" t="s">
        <v>66</v>
      </c>
      <c r="D2" s="2">
        <v>0</v>
      </c>
      <c r="E2" t="s">
        <v>66</v>
      </c>
      <c r="F2" s="2">
        <v>0</v>
      </c>
      <c r="G2" s="15">
        <v>0</v>
      </c>
      <c r="H2" s="15">
        <v>0</v>
      </c>
      <c r="I2" s="15">
        <v>0</v>
      </c>
      <c r="J2" s="2">
        <v>0</v>
      </c>
      <c r="K2" s="2">
        <v>0</v>
      </c>
      <c r="L2" s="2">
        <v>0</v>
      </c>
      <c r="M2" s="2">
        <v>0</v>
      </c>
      <c r="N2" s="2">
        <v>0</v>
      </c>
      <c r="O2" s="2">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D16" sqref="D16"/>
    </sheetView>
  </sheetViews>
  <sheetFormatPr defaultRowHeight="16.5" x14ac:dyDescent="0.45"/>
  <cols>
    <col min="1" max="1" width="16.83203125" customWidth="1"/>
    <col min="2" max="2" width="11.33203125" customWidth="1"/>
  </cols>
  <sheetData>
    <row r="1" spans="1:3" x14ac:dyDescent="0.45">
      <c r="A1" t="s">
        <v>2</v>
      </c>
      <c r="B1" t="s">
        <v>0</v>
      </c>
      <c r="C1" t="s">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B17" sqref="B17"/>
    </sheetView>
  </sheetViews>
  <sheetFormatPr defaultRowHeight="16.5" x14ac:dyDescent="0.45"/>
  <cols>
    <col min="1" max="1" width="10.08203125" customWidth="1"/>
    <col min="2" max="2" width="17.332031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5" x14ac:dyDescent="0.45"/>
  <cols>
    <col min="1" max="1" width="25.58203125" customWidth="1"/>
    <col min="2" max="2" width="40.58203125" customWidth="1"/>
    <col min="3" max="3" width="5.58203125" customWidth="1"/>
    <col min="4" max="4" width="25.58203125" customWidth="1"/>
    <col min="5" max="5" width="40.58203125" customWidth="1"/>
    <col min="6" max="6" width="5.58203125" customWidth="1"/>
    <col min="7" max="7" width="25.58203125" customWidth="1"/>
    <col min="8" max="8" width="40.58203125" customWidth="1"/>
    <col min="9" max="9" width="5.58203125" customWidth="1"/>
    <col min="10" max="10" width="40.58203125" customWidth="1"/>
    <col min="11" max="11" width="25.582031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4EDE03-D182-498B-8DD4-C714126C0F19}">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$ItemABCAnalysisPrintLbl$</vt:lpstr>
      <vt:lpstr>$ItemABCAnalysisStructureLbl$</vt:lpstr>
      <vt:lpstr>$ItemABCAnalysisLbl$</vt:lpstr>
      <vt:lpstr>$AboutTheReportLbl$</vt:lpstr>
      <vt:lpstr>ItemABCAnalysis_Query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2026-02-02T03:24:37Z</cp:lastPrinted>
  <dcterms:modified xsi:type="dcterms:W3CDTF">2026-04-21T00:50:22Z</dcterms:modified>
</cp:coreProperties>
</file>
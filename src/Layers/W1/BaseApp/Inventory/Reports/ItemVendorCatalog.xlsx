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aniel.williams\Source\Gold\Yellowstone.Dan\app\Inventory\Reports\"/>
    </mc:Choice>
  </mc:AlternateContent>
  <xr:revisionPtr revIDLastSave="0" documentId="13_ncr:1_{FFBDF15C-EDB5-47E6-B6A1-1A7973B8067B}" xr6:coauthVersionLast="47" xr6:coauthVersionMax="47" xr10:uidLastSave="{00000000-0000-0000-0000-000000000000}"/>
  <bookViews>
    <workbookView xWindow="-14130" yWindow="-16320" windowWidth="29040" windowHeight="15720" xr2:uid="{00000000-000D-0000-FFFF-FFFF00000000}"/>
  </bookViews>
  <sheets>
    <sheet name="$ItemVendorCatalogPrintLbl$" sheetId="6" r:id="rId1"/>
    <sheet name="$ItemVendorCatalogAnalysisLbl$" sheetId="9" r:id="rId2"/>
    <sheet name="$AboutTheReportLbl$" sheetId="5" r:id="rId3"/>
    <sheet name="ItemVendorCatalog_Query" sheetId="8" state="hidden" r:id="rId4"/>
    <sheet name="Data" sheetId="1" state="hidden" r:id="rId5"/>
    <sheet name="TranslationData" sheetId="2" state="hidden" r:id="rId6"/>
    <sheet name="CaptionData" sheetId="3" state="hidden" r:id="rId7"/>
    <sheet name="Aggregated Metadata" sheetId="4" state="hidden" r:id="rId8"/>
  </sheets>
  <definedNames>
    <definedName name="Caption.AboutTheReportLabel" comment="Use this function to get the AboutTheReportLabel from the CaptionData table in the CaptionData worksheet">_xlfn.XLOOKUP("AboutTheReportLabel",#REF!,#REF!,"none",)</definedName>
    <definedName name="Caption.Capacity" comment="Use this function to get the Capacity from the CaptionData table in the CaptionData worksheet">_xlfn.XLOOKUP("Capacity",#REF!,#REF!,"none",)</definedName>
    <definedName name="Caption.CompanyLabel" comment="Use this function to get the CompanyLabel from the CaptionData table in the CaptionData worksheet">_xlfn.XLOOKUP("CompanyLabel",#REF!,#REF!,"none",)</definedName>
    <definedName name="Caption.Consumption" comment="Use this function to get the Consumption from the CaptionData table in the CaptionData worksheet">_xlfn.XLOOKUP("Consumption",#REF!,#REF!,"none",)</definedName>
    <definedName name="Caption.CostPostedToGL" comment="Use this function to get the CostPostedToGL from the CaptionData table in the CaptionData worksheet">_xlfn.XLOOKUP("CostPostedToGL",#REF!,#REF!,"none",)</definedName>
    <definedName name="Caption.CurrReportPageNo" comment="Use this function to get the CurrReportPageNo from the CaptionData table in the CaptionData worksheet">_xlfn.XLOOKUP("CurrReportPageNo",#REF!,#REF!,"none",)</definedName>
    <definedName name="Caption.Desc_ProductionOrder" comment="Use this function to get the Desc_ProductionOrder from the CaptionData table in the CaptionData worksheet">_xlfn.XLOOKUP("Desc_ProductionOrder",#REF!,#REF!,"none",)</definedName>
    <definedName name="Caption.DocumentationLabel" comment="Use this function to get the DocumentationLabel from the CaptionData table in the CaptionData worksheet">_xlfn.XLOOKUP("DocumentationLabel",#REF!,#REF!,"none",)</definedName>
    <definedName name="Caption.EndDate" comment="Use this function to get the EndDate from the CaptionData table in the CaptionData worksheet">_xlfn.XLOOKUP("EndDate",#REF!,#REF!,"none",)</definedName>
    <definedName name="Caption.EndDateHeader" comment="Use this function to get the EndDateHeader from the CaptionData table in the CaptionData worksheet">_xlfn.XLOOKUP("EndDateHeader",#REF!,#REF!,"none",)</definedName>
    <definedName name="Caption.EnvironmentLabel" comment="Use this function to get the EnvironmentLabel from the CaptionData table in the CaptionData worksheet">_xlfn.XLOOKUP("EnvironmentLabel",#REF!,#REF!,"none",)</definedName>
    <definedName name="Caption.InventoryValuationWIP" comment="Use this function to get the InventoryValuationWIP from the CaptionData table in the CaptionData worksheet">_xlfn.XLOOKUP("InventoryValuationWIP",#REF!,#REF!,"none",)</definedName>
    <definedName name="Caption.No_ProductionOrder" comment="Use this function to get the No_ProductionOrder from the CaptionData table in the CaptionData worksheet">_xlfn.XLOOKUP("No_ProductionOrder",#REF!,#REF!,"none",)</definedName>
    <definedName name="Caption.Output" comment="Use this function to get the Output from the CaptionData table in the CaptionData worksheet">_xlfn.XLOOKUP("Output",#REF!,#REF!,"none",)</definedName>
    <definedName name="Caption.ProdOrderWipLabel" comment="Use this function to get the ProdOrderWipLabel from the CaptionData table in the CaptionData worksheet">_xlfn.XLOOKUP("ProdOrderWipLabel",#REF!,#REF!,"none",)</definedName>
    <definedName name="Caption.ProdOrderWipPrintLabel" comment="Use this function to get the ProdOrderWipPrintLabel from the CaptionData table in the CaptionData worksheet">_xlfn.XLOOKUP("ProdOrderWipPrintLabel",#REF!,#REF!,"none",)</definedName>
    <definedName name="Caption.ReportNameLabel" comment="Use this function to get the ReportNameLabel from the CaptionData table in the CaptionData worksheet">_xlfn.XLOOKUP("ReportNameLabel",#REF!,#REF!,"none",)</definedName>
    <definedName name="Caption.RunOnLabel" comment="Use this function to get the RunOnLabel from the CaptionData table in the CaptionData worksheet">_xlfn.XLOOKUP("RunOnLabel",#REF!,#REF!,"none",)</definedName>
    <definedName name="Caption.SourceNo_ProductionOrder" comment="Use this function to get the SourceNo_ProductionOrder from the CaptionData table in the CaptionData worksheet">_xlfn.XLOOKUP("SourceNo_ProductionOrder",#REF!,#REF!,"none",)</definedName>
    <definedName name="Caption.SrcType_ProductionOrder" comment="Use this function to get the SrcType_ProductionOrder from the CaptionData table in the CaptionData worksheet">_xlfn.XLOOKUP("SrcType_ProductionOrder",#REF!,#REF!,"none",)</definedName>
    <definedName name="Caption.StartDate" comment="Use this function to get the StartDate from the CaptionData table in the CaptionData worksheet">_xlfn.XLOOKUP("StartDate",#REF!,#REF!,"none",)</definedName>
    <definedName name="Caption.StartDateHeader" comment="Use this function to get the StartDateHeader from the CaptionData table in the CaptionData worksheet">_xlfn.XLOOKUP("StartDateHeader",#REF!,#REF!,"none",)</definedName>
    <definedName name="Caption.Status_ProductionOrder" comment="Use this function to get the Status_ProductionOrder from the CaptionData table in the CaptionData worksheet">_xlfn.XLOOKUP("Status_ProductionOrder",#REF!,#REF!,"none",)</definedName>
    <definedName name="Caption.Total" comment="Use this function to get the Total from the CaptionData table in the CaptionData worksheet">_xlfn.XLOOKUP("Total",#REF!,#REF!,"none",)</definedName>
    <definedName name="Caption.UserLabel" comment="Use this function to get the UserLabel from the CaptionData table in the CaptionData worksheet">_xlfn.XLOOKUP("UserLabel",#REF!,#REF!,"none",)</definedName>
    <definedName name="CustFilterHeading" xml:space="preserve"> _xlfn.XLOOKUP("CustFilterHeading",#REF!,#REF!)</definedName>
    <definedName name="DataRetrieved">#REF!</definedName>
    <definedName name="DateFilter" xml:space="preserve"> _xlfn.XLOOKUP("DateFilter",#REF!,#REF!)</definedName>
    <definedName name="DatePeriod" xml:space="preserve"> _xlfn.XLOOKUP("PeriodText",#REF!,#REF!)</definedName>
    <definedName name="DuplicateEndDateFilter" xml:space="preserve"> _xlfn.XLOOKUP("BalanceAsOfDateFilter",#REF!,#REF!)</definedName>
    <definedName name="EndDateFilter" xml:space="preserve"> _xlfn.XLOOKUP("BalanceAsOfDateFilter",#REF!,#REF!)</definedName>
    <definedName name="ExternalData_1" localSheetId="3" hidden="1">ItemVendorCatalog_Query!$A$1:$AA$2</definedName>
    <definedName name="ItemFilterHeading">_xlfn.XLOOKUP("ItemFilterHeading", ReportRequestPageValues[Request Page Option], ReportRequestPageValues[Request Page Option Value])</definedName>
    <definedName name="PurchLineFilterHeading" xml:space="preserve"> _xlfn.XLOOKUP("PurchLineFilterHeading",#REF!,#REF!)</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Custom_VendorName">#N/A</definedName>
    <definedName name="Slicer_Custom_VendorNo">#N/A</definedName>
    <definedName name="Slicer_Item__No__">#N/A</definedName>
    <definedName name="Slicer_Item_Description">#N/A</definedName>
    <definedName name="StartDate" xml:space="preserve"> _xlfn.XLOOKUP("StartDate",#REF!,#REF!)</definedName>
    <definedName name="ValueEntryFilterHeading" xml:space="preserve"> _xlfn.XLOOKUP("ValueEntryFilterHeading",#REF!,#REF!)</definedName>
  </definedNames>
  <calcPr calcId="191029"/>
  <pivotCaches>
    <pivotCache cacheId="2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6" l="1" a="1"/>
  <c r="B4" i="6" s="1"/>
  <c r="J4" i="6" a="1"/>
  <c r="J4" i="6" s="1"/>
  <c r="K4" i="6" a="1"/>
  <c r="K4" i="6" s="1"/>
  <c r="K2" i="6" a="1"/>
  <c r="K2" i="6" s="1"/>
  <c r="B7" i="5"/>
  <c r="B6" i="5" a="1"/>
  <c r="B6" i="5" s="1"/>
  <c r="B5" i="5" a="1"/>
  <c r="B5" i="5" s="1"/>
  <c r="B4" i="5" a="1"/>
  <c r="B4" i="5" s="1"/>
  <c r="B3" i="5" a="1"/>
  <c r="B3" i="5" s="1"/>
  <c r="B2" i="5" a="1"/>
  <c r="B2" i="5" s="1"/>
  <c r="B1" i="5" a="1"/>
  <c r="B1"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E505BD-BCFC-412D-A36D-9BB78839A274}" keepAlive="1" name="Query - ItemVendorCatalog_Query" description="Connection to the 'ItemVendorCatalog_Query' query in the workbook." type="5" refreshedVersion="8" refreshOnLoad="1" saveData="1">
    <dbPr connection="Provider=Microsoft.Mashup.OleDb.1;Data Source=$Workbook$;Location=ItemVendorCatalog_Query;Extended Properties=&quot;&quot;" command="SELECT * FROM [ItemVendorCatalog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<sst xmlns="http://schemas.openxmlformats.org/spreadsheetml/2006/main" count="186" uniqueCount="110">
  <si>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</si>
  <si>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</si>
  <si>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</si>
  <si>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</si>
  <si>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</si>
  <si>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</si>
  <si>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</si>
  <si>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</si>
  <si>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</si>
  <si>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</si>
  <si>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</si>
  <si>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</si>
  <si>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</si>
  <si>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</si>
  <si>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</si>
  <si>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</si>
  <si>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</si>
  <si>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</si>
  <si>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</si>
  <si>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</si>
  <si>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</si>
  <si>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</si>
  <si>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</si>
  <si>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</si>
  <si>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</si>
  <si>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</si>
  <si>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</si>
  <si>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</si>
  <si>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</si>
  <si>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</si>
  <si>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</si>
  <si>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</si>
  <si>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</si>
  <si>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</si>
  <si>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</si>
  <si>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</si>
  <si>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</si>
  <si>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</si>
  <si>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</si>
  <si>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</si>
  <si>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</si>
  <si>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</si>
  <si>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</si>
  <si>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</si>
  <si>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</si>
  <si>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</si>
  <si>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</si>
  <si>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</si>
  <si>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</si>
  <si>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</si>
  <si>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</si>
  <si>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</si>
  <si>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</si>
  <si>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</si>
  <si>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</si>
  <si>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</si>
  <si>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</si>
  <si>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</si>
  <si>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</si>
  <si>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</si>
  <si>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</si>
  <si>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</si>
  <si>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</si>
  <si>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</si>
  <si>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Item_TABLECAPTION__________ItemFilter</t>
  </si>
  <si>
    <t>ItemFilter</t>
  </si>
  <si>
    <t>Item__No__</t>
  </si>
  <si>
    <t>Item_Description</t>
  </si>
  <si>
    <t>Item__Base_Unit_of_Measure_</t>
  </si>
  <si>
    <t>ExtendedPriceFeatureEnabled</t>
  </si>
  <si>
    <t>Purchase_Price__Vendor_No__</t>
  </si>
  <si>
    <t>Vend_Name</t>
  </si>
  <si>
    <t>Purchase_Price__Starting_Date_</t>
  </si>
  <si>
    <t>Purchase_Price__Direct_Unit_Cost_</t>
  </si>
  <si>
    <t>Purchase_Price__Currency_Code_</t>
  </si>
  <si>
    <t>ItemVend__Lead_Time_Calculation_</t>
  </si>
  <si>
    <t>ItemVend__Vendor_Item_No__</t>
  </si>
  <si>
    <t>Price_Vendor_No</t>
  </si>
  <si>
    <t>Price_Vend_Name</t>
  </si>
  <si>
    <t>Price_Starting_Date</t>
  </si>
  <si>
    <t>Price_Direct_Unit_Cost</t>
  </si>
  <si>
    <t>Price_Currency_Code_</t>
  </si>
  <si>
    <t>ItemVend_Lead_Time_Calculation</t>
  </si>
  <si>
    <t>ItemVend_Vendor_Item_No</t>
  </si>
  <si>
    <t/>
  </si>
  <si>
    <t>False</t>
  </si>
  <si>
    <t>$ItemNoLbl$</t>
  </si>
  <si>
    <t>$EnvironmentLbl$</t>
  </si>
  <si>
    <t>$CompanyLbl$</t>
  </si>
  <si>
    <t>$UserLbl$</t>
  </si>
  <si>
    <t>$RunOnLbl$</t>
  </si>
  <si>
    <t>$ReportNameLbl$</t>
  </si>
  <si>
    <t>$DocumentationLbl$</t>
  </si>
  <si>
    <t>$ItemVendorCatalogLbl$</t>
  </si>
  <si>
    <t>$Item_Description$</t>
  </si>
  <si>
    <t>$Purchase_Price__Vendor_No__$</t>
  </si>
  <si>
    <t>$Vend_Name$</t>
  </si>
  <si>
    <t>$DateLbl$</t>
  </si>
  <si>
    <t>$Purchase_Price__Direct_Unit_Cost_$</t>
  </si>
  <si>
    <t>$Purchase_Price__Currency_Code_$</t>
  </si>
  <si>
    <t>Custom_LeadTimeCalc</t>
  </si>
  <si>
    <t>$LeadTimeCalculationLbl$</t>
  </si>
  <si>
    <t>Custom_VendorNo</t>
  </si>
  <si>
    <t>Custom_VendorName</t>
  </si>
  <si>
    <t>Custom_StartingDate</t>
  </si>
  <si>
    <t>Custom_DirectUnitCost</t>
  </si>
  <si>
    <t>Custom_VendorItemNo</t>
  </si>
  <si>
    <t>Custom_CurrencyCode</t>
  </si>
  <si>
    <t>$Item__Base_Unit_of_Measure_$</t>
  </si>
  <si>
    <t>$ItemVendorNoLbl$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</si>
</sst>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4" x14ac:knownFonts="1">
    <font>
      <sz val="11"/>
      <name val="Segoe UI"/>
      <family val="2"/>
      <scheme val="minor"/>
    </font>
    <font>
      <sz val="11"/>
      <color theme="1"/>
      <name val="Segoe UI"/>
      <family val="2"/>
      <scheme val="minor"/>
    </font>
    <font>
      <b/>
      <sz val="11"/>
      <name val="Segoe UI"/>
      <family val="2"/>
      <scheme val="minor"/>
    </font>
    <font>
      <sz val="10"/>
      <name val="Segoe UI"/>
      <family val="2"/>
      <scheme val="minor"/>
    </font>
    <font>
      <sz val="14"/>
      <name val="Segoe UI"/>
      <family val="2"/>
      <scheme val="minor"/>
    </font>
    <font>
      <sz val="10"/>
      <color theme="1"/>
      <name val="Segoe UI Semibold"/>
      <family val="2"/>
      <scheme val="major"/>
    </font>
    <font>
      <u/>
      <sz val="11"/>
      <color theme="10"/>
      <name val="Segoe UI"/>
      <family val="2"/>
      <scheme val="minor"/>
    </font>
    <font>
      <u/>
      <sz val="10"/>
      <color theme="10"/>
      <name val="Segoe UI"/>
      <family val="2"/>
      <scheme val="minor"/>
    </font>
    <font>
      <b/>
      <sz val="13"/>
      <color theme="1"/>
      <name val="Segoe UI"/>
      <family val="2"/>
      <scheme val="minor"/>
    </font>
    <font>
      <b/>
      <sz val="10"/>
      <color theme="1"/>
      <name val="Segoe UI Semibold"/>
      <family val="2"/>
      <scheme val="major"/>
    </font>
    <font>
      <sz val="10"/>
      <color rgb="FF212121"/>
      <name val="Segoe UI"/>
      <family val="2"/>
      <scheme val="minor"/>
    </font>
    <font>
      <b/>
      <sz val="18"/>
      <color rgb="FF212121"/>
      <name val="Segoe UI Semibold"/>
      <family val="2"/>
      <scheme val="major"/>
    </font>
    <font>
      <sz val="8"/>
      <name val="Segoe UI"/>
      <family val="2"/>
      <scheme val="minor"/>
    </font>
    <font>
      <sz val="10"/>
      <name val="Segoe UI Semibold"/>
      <scheme val="major"/>
    </font>
  </fonts>
  <fills count="3">
    <fill>
      <patternFill patternType="none"/>
    </fill>
    <fill>
      <patternFill patternType="gray125"/>
    </fill>
    <fill>
      <patternFill patternType="solid">
        <fgColor rgb="FFC0C0C0"/>
        <bgColor indexed="64"/>
      </patternFill>
    </fill>
  </fills>
  <borders count="2">
    <border>
      <left/>
      <right/>
      <top/>
      <bottom/>
      <diagonal/>
    </border>
    <border>
      <left/>
      <right/>
      <top/>
      <bottom style="thick">
        <color theme="4" tint="0.499984740745262"/>
      </bottom>
      <diagonal/>
    </border>
  </borders>
  <cellStyleXfs count="4">
    <xf numFmtId="0" fontId="0" fillId="0" borderId="0"/>
    <xf numFmtId="0" fontId="6" fillId="0" borderId="0" applyNumberFormat="0" applyFill="0" applyBorder="0" applyAlignment="0" applyProtection="0"/>
    <xf numFmtId="0" fontId="8" fillId="0" borderId="1" applyNumberFormat="0" applyFill="0" applyAlignment="0" applyProtection="0"/>
    <xf numFmtId="0" fontId="1" fillId="0" borderId="0"/>
  </cellStyleXfs>
  <cellXfs count="16">
    <xf numFmtId="0" fontId="0" fillId="0" borderId="0" xfId="0"/>
    <xf numFmtId="49" fontId="2" fillId="2" borderId="0" xfId="0" applyNumberFormat="1" applyFont="1" applyFill="1"/>
    <xf numFmtId="4" fontId="0" fillId="0" borderId="0" xfId="0" applyNumberFormat="1"/>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horizontal="left" vertical="center"/>
    </xf>
    <xf numFmtId="164" fontId="3" fillId="0" borderId="0" xfId="0" applyNumberFormat="1" applyFont="1" applyAlignment="1">
      <alignment horizontal="left" vertical="center"/>
    </xf>
    <xf numFmtId="165" fontId="3" fillId="0" borderId="0" xfId="0" applyNumberFormat="1" applyFont="1" applyAlignment="1">
      <alignment horizontal="left" vertical="center"/>
    </xf>
    <xf numFmtId="0" fontId="9" fillId="0" borderId="1" xfId="2" applyFont="1" applyAlignment="1">
      <alignment horizontal="right" vertical="center"/>
    </xf>
    <xf numFmtId="0" fontId="10" fillId="0" borderId="0" xfId="0" applyFont="1" applyAlignment="1">
      <alignment horizontal="right" vertical="center"/>
    </xf>
    <xf numFmtId="164" fontId="10" fillId="0" borderId="0" xfId="0" applyNumberFormat="1" applyFont="1" applyAlignment="1">
      <alignment horizontal="right" vertical="center"/>
    </xf>
    <xf numFmtId="0" fontId="11" fillId="0" borderId="0" xfId="3" applyFont="1" applyAlignment="1">
      <alignment vertical="center"/>
    </xf>
    <xf numFmtId="0" fontId="13" fillId="0" borderId="0" xfId="0" pivotButton="1" applyFont="1" applyAlignment="1">
      <alignment vertical="center"/>
    </xf>
    <xf numFmtId="0" fontId="7" fillId="0" borderId="0" xfId="1" applyFont="1" applyAlignment="1">
      <alignment vertical="center"/>
    </xf>
  </cellXfs>
  <cellStyles count="4">
    <cellStyle name="Heading 2 2" xfId="2" xr:uid="{52DA79BD-7358-4BC4-8DE8-EC33BDACB862}"/>
    <cellStyle name="Hyperlink" xfId="1" builtinId="8"/>
    <cellStyle name="Normal" xfId="0" builtinId="0"/>
    <cellStyle name="Normal 2" xfId="3" xr:uid="{5BB96BB2-09CC-4B65-A3D2-4CB969731FCD}"/>
  </cellStyles>
  <dxfs count="440">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name val="Segoe UI Semibold"/>
        <scheme val="major"/>
      </font>
    </dxf>
    <dxf>
      <font>
        <b val="0"/>
      </font>
    </dxf>
    <dxf>
      <font>
        <b val="0"/>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name val="Segoe UI Semibold"/>
        <scheme val="major"/>
      </font>
    </dxf>
    <dxf>
      <font>
        <b val="0"/>
      </font>
    </dxf>
    <dxf>
      <font>
        <b val="0"/>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b val="0"/>
      </font>
    </dxf>
    <dxf>
      <font>
        <b val="0"/>
      </font>
    </dxf>
    <dxf>
      <font>
        <sz val="10"/>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b val="0"/>
      </font>
    </dxf>
    <dxf>
      <font>
        <b val="0"/>
      </font>
    </dxf>
    <dxf>
      <font>
        <sz val="10"/>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4" xr9:uid="{361EE54B-110D-4F15-B31B-3388F0541FD1}">
      <tableStyleElement type="wholeTable" dxfId="439"/>
      <tableStyleElement type="headerRow" dxfId="438"/>
      <tableStyleElement type="totalRow" dxfId="437"/>
      <tableStyleElement type="secondRowStripe" dxfId="436"/>
    </tableStyle>
    <tableStyle name="Business Central Reports Slicer Style (Template)" pivot="0" table="0" count="10" xr9:uid="{C867AE16-1972-403C-95D9-0BAC9B7CA086}">
      <tableStyleElement type="wholeTable" dxfId="435"/>
      <tableStyleElement type="headerRow" dxfId="434"/>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1810380</xdr:colOff>
      <xdr:row>9</xdr:row>
      <xdr:rowOff>204620</xdr:rowOff>
    </xdr:to>
    <mc:AlternateContent xmlns:mc="http://schemas.openxmlformats.org/markup-compatibility/2006" xmlns:a14="http://schemas.microsoft.com/office/drawing/2010/main">
      <mc:Choice Requires="a14">
        <xdr:graphicFrame macro="">
          <xdr:nvGraphicFramePr>
            <xdr:cNvPr id="2" name="$ItemNoLbl$">
              <a:extLst>
                <a:ext uri="{FF2B5EF4-FFF2-40B4-BE49-F238E27FC236}">
                  <a16:creationId xmlns:a16="http://schemas.microsoft.com/office/drawing/2014/main" id="{176782AC-479C-8B46-0455-18E8F3825ED6}"/>
                </a:ext>
              </a:extLst>
            </xdr:cNvPr>
            <xdr:cNvGraphicFramePr/>
          </xdr:nvGraphicFramePr>
          <xdr:xfrm>
            <a:off x="0" y="0"/>
            <a:ext cx="0" cy="0"/>
          </xdr:xfrm>
          <a:graphic>
            <a:graphicData uri="http://schemas.microsoft.com/office/drawing/2010/slicer">
              <sle:slicer xmlns:sle="http://schemas.microsoft.com/office/drawing/2010/slicer" name="$ItemNoLbl$"/>
            </a:graphicData>
          </a:graphic>
        </xdr:graphicFrame>
      </mc:Choice>
      <mc:Fallback xmlns="">
        <xdr:sp macro="" textlink="">
          <xdr:nvSpPr>
            <xdr:cNvPr id="0" name=""/>
            <xdr:cNvSpPr>
              <a:spLocks noTextEdit="1"/>
            </xdr:cNvSpPr>
          </xdr:nvSpPr>
          <xdr:spPr>
            <a:xfrm>
              <a:off x="0" y="0"/>
              <a:ext cx="1814190" cy="260746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1865630</xdr:colOff>
      <xdr:row>0</xdr:row>
      <xdr:rowOff>0</xdr:rowOff>
    </xdr:from>
    <xdr:to>
      <xdr:col>0</xdr:col>
      <xdr:colOff>3679820</xdr:colOff>
      <xdr:row>9</xdr:row>
      <xdr:rowOff>207160</xdr:rowOff>
    </xdr:to>
    <mc:AlternateContent xmlns:mc="http://schemas.openxmlformats.org/markup-compatibility/2006" xmlns:a14="http://schemas.microsoft.com/office/drawing/2010/main">
      <mc:Choice Requires="a14">
        <xdr:graphicFrame macro="">
          <xdr:nvGraphicFramePr>
            <xdr:cNvPr id="3" name="$Item_Description$">
              <a:extLst>
                <a:ext uri="{FF2B5EF4-FFF2-40B4-BE49-F238E27FC236}">
                  <a16:creationId xmlns:a16="http://schemas.microsoft.com/office/drawing/2014/main" id="{ACC28CB7-9E8F-08F8-F97B-E340778B00C6}"/>
                </a:ext>
              </a:extLst>
            </xdr:cNvPr>
            <xdr:cNvGraphicFramePr/>
          </xdr:nvGraphicFramePr>
          <xdr:xfrm>
            <a:off x="0" y="0"/>
            <a:ext cx="0" cy="0"/>
          </xdr:xfrm>
          <a:graphic>
            <a:graphicData uri="http://schemas.microsoft.com/office/drawing/2010/slicer">
              <sle:slicer xmlns:sle="http://schemas.microsoft.com/office/drawing/2010/slicer" name="$Item_Description$"/>
            </a:graphicData>
          </a:graphic>
        </xdr:graphicFrame>
      </mc:Choice>
      <mc:Fallback xmlns="">
        <xdr:sp macro="" textlink="">
          <xdr:nvSpPr>
            <xdr:cNvPr id="0" name=""/>
            <xdr:cNvSpPr>
              <a:spLocks noTextEdit="1"/>
            </xdr:cNvSpPr>
          </xdr:nvSpPr>
          <xdr:spPr>
            <a:xfrm>
              <a:off x="1865630" y="0"/>
              <a:ext cx="1818000" cy="261127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9</xdr:row>
      <xdr:rowOff>250190</xdr:rowOff>
    </xdr:from>
    <xdr:to>
      <xdr:col>0</xdr:col>
      <xdr:colOff>1821810</xdr:colOff>
      <xdr:row>19</xdr:row>
      <xdr:rowOff>177950</xdr:rowOff>
    </xdr:to>
    <mc:AlternateContent xmlns:mc="http://schemas.openxmlformats.org/markup-compatibility/2006" xmlns:a14="http://schemas.microsoft.com/office/drawing/2010/main">
      <mc:Choice Requires="a14">
        <xdr:graphicFrame macro="">
          <xdr:nvGraphicFramePr>
            <xdr:cNvPr id="4" name="$Purchase_Price__Vendor_No__$">
              <a:extLst>
                <a:ext uri="{FF2B5EF4-FFF2-40B4-BE49-F238E27FC236}">
                  <a16:creationId xmlns:a16="http://schemas.microsoft.com/office/drawing/2014/main" id="{6194FF01-ACE6-C1E1-C4B5-607FE9679D72}"/>
                </a:ext>
              </a:extLst>
            </xdr:cNvPr>
            <xdr:cNvGraphicFramePr/>
          </xdr:nvGraphicFramePr>
          <xdr:xfrm>
            <a:off x="0" y="0"/>
            <a:ext cx="0" cy="0"/>
          </xdr:xfrm>
          <a:graphic>
            <a:graphicData uri="http://schemas.microsoft.com/office/drawing/2010/slicer">
              <sle:slicer xmlns:sle="http://schemas.microsoft.com/office/drawing/2010/slicer" name="$Purchase_Price__Vendor_No__$"/>
            </a:graphicData>
          </a:graphic>
        </xdr:graphicFrame>
      </mc:Choice>
      <mc:Fallback xmlns="">
        <xdr:sp macro="" textlink="">
          <xdr:nvSpPr>
            <xdr:cNvPr id="0" name=""/>
            <xdr:cNvSpPr>
              <a:spLocks noTextEdit="1"/>
            </xdr:cNvSpPr>
          </xdr:nvSpPr>
          <xdr:spPr>
            <a:xfrm>
              <a:off x="0" y="2654300"/>
              <a:ext cx="1820540" cy="258841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1865630</xdr:colOff>
      <xdr:row>9</xdr:row>
      <xdr:rowOff>250190</xdr:rowOff>
    </xdr:from>
    <xdr:to>
      <xdr:col>0</xdr:col>
      <xdr:colOff>3681090</xdr:colOff>
      <xdr:row>19</xdr:row>
      <xdr:rowOff>194460</xdr:rowOff>
    </xdr:to>
    <mc:AlternateContent xmlns:mc="http://schemas.openxmlformats.org/markup-compatibility/2006" xmlns:a14="http://schemas.microsoft.com/office/drawing/2010/main">
      <mc:Choice Requires="a14">
        <xdr:graphicFrame macro="">
          <xdr:nvGraphicFramePr>
            <xdr:cNvPr id="5" name="$Vend_Name$">
              <a:extLst>
                <a:ext uri="{FF2B5EF4-FFF2-40B4-BE49-F238E27FC236}">
                  <a16:creationId xmlns:a16="http://schemas.microsoft.com/office/drawing/2014/main" id="{210E7C46-15CE-37EF-67D1-CB6A04080A20}"/>
                </a:ext>
              </a:extLst>
            </xdr:cNvPr>
            <xdr:cNvGraphicFramePr/>
          </xdr:nvGraphicFramePr>
          <xdr:xfrm>
            <a:off x="0" y="0"/>
            <a:ext cx="0" cy="0"/>
          </xdr:xfrm>
          <a:graphic>
            <a:graphicData uri="http://schemas.microsoft.com/office/drawing/2010/slicer">
              <sle:slicer xmlns:sle="http://schemas.microsoft.com/office/drawing/2010/slicer" name="$Vend_Name$"/>
            </a:graphicData>
          </a:graphic>
        </xdr:graphicFrame>
      </mc:Choice>
      <mc:Fallback xmlns="">
        <xdr:sp macro="" textlink="">
          <xdr:nvSpPr>
            <xdr:cNvPr id="0" name=""/>
            <xdr:cNvSpPr>
              <a:spLocks noTextEdit="1"/>
            </xdr:cNvSpPr>
          </xdr:nvSpPr>
          <xdr:spPr>
            <a:xfrm>
              <a:off x="1865630" y="2654300"/>
              <a:ext cx="1812920" cy="260873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Williams" refreshedDate="45980.446193055555" createdVersion="8" refreshedVersion="8" minRefreshableVersion="3" recordCount="1" xr:uid="{025063C5-1D69-4346-84B5-7B24577B08EE}">
  <cacheSource type="worksheet">
    <worksheetSource name="ItemVendorCatalog_Query"/>
  </cacheSource>
  <cacheFields count="27">
    <cacheField name="Item_TABLECAPTION__________ItemFilter" numFmtId="0">
      <sharedItems/>
    </cacheField>
    <cacheField name="ItemFilter" numFmtId="0">
      <sharedItems/>
    </cacheField>
    <cacheField name="Item__No__" numFmtId="0">
      <sharedItems count="1">
        <s v=""/>
      </sharedItems>
    </cacheField>
    <cacheField name="Item_Description" numFmtId="0">
      <sharedItems count="1">
        <s v=""/>
      </sharedItems>
    </cacheField>
    <cacheField name="Item__Base_Unit_of_Measure_" numFmtId="0">
      <sharedItems count="1">
        <s v=""/>
      </sharedItems>
    </cacheField>
    <cacheField name="ExtendedPriceFeatureEnabled" numFmtId="0">
      <sharedItems/>
    </cacheField>
    <cacheField name="Purchase_Price__Vendor_No__" numFmtId="0">
      <sharedItems count="1">
        <s v=""/>
      </sharedItems>
    </cacheField>
    <cacheField name="Vend_Name" numFmtId="0">
      <sharedItems count="1">
        <s v=""/>
      </sharedItems>
    </cacheField>
    <cacheField name="Purchase_Price__Starting_Date_" numFmtId="0">
      <sharedItems count="1">
        <s v=""/>
      </sharedItems>
    </cacheField>
    <cacheField name="Purchase_Price__Direct_Unit_Cost_" numFmtId="0">
      <sharedItems containsSemiMixedTypes="0" containsString="0" containsNumber="1" containsInteger="1" minValue="0" maxValue="0" count="1">
        <n v="0"/>
      </sharedItems>
    </cacheField>
    <cacheField name="Purchase_Price__Currency_Code_" numFmtId="0">
      <sharedItems count="1">
        <s v=""/>
      </sharedItems>
    </cacheField>
    <cacheField name="ItemVend__Lead_Time_Calculation_" numFmtId="0">
      <sharedItems count="1">
        <s v=""/>
      </sharedItems>
    </cacheField>
    <cacheField name="ItemVend__Vendor_Item_No__" numFmtId="0">
      <sharedItems count="1">
        <s v=""/>
      </sharedItems>
    </cacheField>
    <cacheField name="Price_Vendor_No" numFmtId="0">
      <sharedItems/>
    </cacheField>
    <cacheField name="Price_Vend_Name" numFmtId="0">
      <sharedItems/>
    </cacheField>
    <cacheField name="Price_Starting_Date" numFmtId="0">
      <sharedItems/>
    </cacheField>
    <cacheField name="Price_Direct_Unit_Cost" numFmtId="0">
      <sharedItems containsSemiMixedTypes="0" containsString="0" containsNumber="1" containsInteger="1" minValue="0" maxValue="0"/>
    </cacheField>
    <cacheField name="Price_Currency_Code_" numFmtId="0">
      <sharedItems/>
    </cacheField>
    <cacheField name="ItemVend_Lead_Time_Calculation" numFmtId="0">
      <sharedItems count="1">
        <s v=""/>
      </sharedItems>
    </cacheField>
    <cacheField name="ItemVend_Vendor_Item_No" numFmtId="0">
      <sharedItems count="1">
        <s v=""/>
      </sharedItems>
    </cacheField>
    <cacheField name="Custom_LeadTimeCalc" numFmtId="0">
      <sharedItems count="2">
        <s v=""/>
        <s v="Price Feature not enabled" u="1"/>
      </sharedItems>
    </cacheField>
    <cacheField name="Custom_VendorNo" numFmtId="0">
      <sharedItems count="1">
        <s v=""/>
      </sharedItems>
    </cacheField>
    <cacheField name="Custom_VendorName" numFmtId="0">
      <sharedItems count="1">
        <s v=""/>
      </sharedItems>
    </cacheField>
    <cacheField name="Custom_StartingDate" numFmtId="0">
      <sharedItems count="1">
        <s v=""/>
      </sharedItems>
    </cacheField>
    <cacheField name="Custom_DirectUnitCost" numFmtId="0">
      <sharedItems containsSemiMixedTypes="0" containsString="0" containsNumber="1" containsInteger="1" minValue="0" maxValue="0" count="1">
        <n v="0"/>
      </sharedItems>
    </cacheField>
    <cacheField name="Custom_VendorItemNo" numFmtId="0">
      <sharedItems count="1">
        <s v=""/>
      </sharedItems>
    </cacheField>
    <cacheField name="Custom_CurrencyCode" numFmtId="0">
      <sharedItems count="1">
        <s v=""/>
      </sharedItems>
    </cacheField>
  </cacheFields>
  <extLst>
    <ext xmlns:x14="http://schemas.microsoft.com/office/spreadsheetml/2009/9/main" uri="{725AE2AE-9491-48be-B2B4-4EB974FC3084}">
      <x14:pivotCacheDefinition pivotCacheId="2482947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s v=""/>
    <s v=""/>
    <x v="0"/>
    <x v="0"/>
    <x v="0"/>
    <b v="0"/>
    <x v="0"/>
    <x v="0"/>
    <x v="0"/>
    <x v="0"/>
    <x v="0"/>
    <x v="0"/>
    <x v="0"/>
    <s v=""/>
    <s v=""/>
    <s v=""/>
    <n v="0"/>
    <s v=""/>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651289-9BBA-499E-86B5-6BD3193DED97}" name="PivotTable1" cacheId="22"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6:K7" firstHeaderRow="1" firstDataRow="1" firstDataCol="10"/>
  <pivotFields count="27">
    <pivotField compact="0" outline="0" subtotalTop="0" showAll="0" defaultSubtotal="0"/>
    <pivotField compact="0" outline="0" subtotalTop="0" showAll="0" defaultSubtotal="0"/>
    <pivotField name="$ItemNoLbl$" axis="axisRow" compact="0" outline="0" showAll="0" defaultSubtotal="0">
      <items count="1">
        <item x="0"/>
      </items>
    </pivotField>
    <pivotField name="$Item_Description$" axis="axisRow" compact="0" outline="0" showAll="0" defaultSubtotal="0">
      <items count="1">
        <item x="0"/>
      </items>
    </pivotField>
    <pivotField name="$Item__Base_Unit_of_Measure_$" axis="axisRow" compact="0" outline="0" subtotalTop="0" showAll="0" defaultSubtotal="0">
      <items count="1">
        <item x="0"/>
      </items>
    </pivotField>
    <pivotField compact="0" outline="0" subtotalTop="0" showAll="0" defaultSubtotal="0"/>
    <pivotField name="Purchase_Price__Vendor_No__" compact="0" outline="0" showAll="0" defaultSubtotal="0">
      <items count="1">
        <item x="0"/>
      </items>
    </pivotField>
    <pivotField name="Vend_Name" compact="0" outline="0" showAll="0" defaultSubtotal="0">
      <items count="1">
        <item x="0"/>
      </items>
    </pivotField>
    <pivotField name="Purchase_Price__Starting_Date_" compact="0" outline="0" showAll="0" defaultSubtotal="0">
      <items count="1">
        <item x="0"/>
      </items>
    </pivotField>
    <pivotField name="Purchase_Price__Direct_Unit_Cost_" compact="0" outline="0" showAll="0" defaultSubtotal="0">
      <items count="1">
        <item x="0"/>
      </items>
    </pivotField>
    <pivotField name="Purchase_Price__Currency_Code_" compact="0" outline="0" showAll="0" defaultSubtotal="0">
      <items count="1">
        <item x="0"/>
      </items>
    </pivotField>
    <pivotField name="ItemVend__Lead_Time_Calculation_" compact="0" outline="0" showAll="0" defaultSubtotal="0">
      <items count="1">
        <item x="0"/>
      </items>
    </pivotField>
    <pivotField name="ItemVend__Vendor_Item_No__" compact="0" outline="0" subtotalTop="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items count="1">
        <item x="0"/>
      </items>
    </pivotField>
    <pivotField compact="0" outline="0" showAll="0" defaultSubtotal="0">
      <items count="1">
        <item x="0"/>
      </items>
    </pivotField>
    <pivotField name="$LeadTimeCalculationLbl$" axis="axisRow" compact="0" outline="0" subtotalTop="0" showAll="0" defaultSubtotal="0">
      <items count="2">
        <item x="0"/>
        <item m="1" x="1"/>
      </items>
    </pivotField>
    <pivotField name="$Purchase_Price__Vendor_No__$" axis="axisRow" compact="0" outline="0" subtotalTop="0" showAll="0" defaultSubtotal="0">
      <items count="1">
        <item x="0"/>
      </items>
    </pivotField>
    <pivotField name="$Vend_Name$" axis="axisRow" compact="0" outline="0" subtotalTop="0" showAll="0" defaultSubtotal="0">
      <items count="1">
        <item x="0"/>
      </items>
    </pivotField>
    <pivotField name="$DateLbl$" axis="axisRow" compact="0" outline="0" subtotalTop="0" showAll="0" defaultSubtotal="0">
      <items count="1">
        <item x="0"/>
      </items>
    </pivotField>
    <pivotField name="$Purchase_Price__Direct_Unit_Cost_$" axis="axisRow" compact="0" outline="0" subtotalTop="0" showAll="0" defaultSubtotal="0">
      <items count="1">
        <item x="0"/>
      </items>
    </pivotField>
    <pivotField name="$ItemVendorNoLbl$" axis="axisRow" compact="0" outline="0" subtotalTop="0" showAll="0" defaultSubtotal="0">
      <items count="1">
        <item x="0"/>
      </items>
    </pivotField>
    <pivotField name="$Purchase_Price__Currency_Code_$" axis="axisRow" compact="0" outline="0" subtotalTop="0" showAll="0" defaultSubtotal="0">
      <items count="1">
        <item x="0"/>
      </items>
    </pivotField>
  </pivotFields>
  <rowFields count="10">
    <field x="2"/>
    <field x="3"/>
    <field x="21"/>
    <field x="22"/>
    <field x="23"/>
    <field x="24"/>
    <field x="26"/>
    <field x="4"/>
    <field x="20"/>
    <field x="25"/>
  </rowFields>
  <rowItems count="1">
    <i>
      <x/>
      <x/>
      <x/>
      <x/>
      <x/>
      <x/>
      <x/>
      <x/>
      <x/>
      <x/>
    </i>
  </rowItems>
  <colItems count="1">
    <i/>
  </colItems>
  <formats count="103">
    <format dxfId="433">
      <pivotArea field="2" type="button" dataOnly="0" labelOnly="1" outline="0" axis="axisRow" fieldPosition="0"/>
    </format>
    <format dxfId="432">
      <pivotArea field="3" type="button" dataOnly="0" labelOnly="1" outline="0" axis="axisRow" fieldPosition="1"/>
    </format>
    <format dxfId="431">
      <pivotArea field="6" type="button" dataOnly="0" labelOnly="1" outline="0"/>
    </format>
    <format dxfId="430">
      <pivotArea field="7" type="button" dataOnly="0" labelOnly="1" outline="0"/>
    </format>
    <format dxfId="429">
      <pivotArea field="8" type="button" dataOnly="0" labelOnly="1" outline="0"/>
    </format>
    <format dxfId="428">
      <pivotArea field="9" type="button" dataOnly="0" labelOnly="1" outline="0"/>
    </format>
    <format dxfId="427">
      <pivotArea field="10" type="button" dataOnly="0" labelOnly="1" outline="0"/>
    </format>
    <format dxfId="426">
      <pivotArea field="11" type="button" dataOnly="0" labelOnly="1" outline="0"/>
    </format>
    <format dxfId="425">
      <pivotArea field="18" type="button" dataOnly="0" labelOnly="1" outline="0"/>
    </format>
    <format dxfId="424">
      <pivotArea field="19" type="button" dataOnly="0" labelOnly="1" outline="0"/>
    </format>
    <format dxfId="423">
      <pivotArea field="2" type="button" dataOnly="0" labelOnly="1" outline="0" axis="axisRow" fieldPosition="0"/>
    </format>
    <format dxfId="422">
      <pivotArea field="3" type="button" dataOnly="0" labelOnly="1" outline="0" axis="axisRow" fieldPosition="1"/>
    </format>
    <format dxfId="421">
      <pivotArea field="6" type="button" dataOnly="0" labelOnly="1" outline="0"/>
    </format>
    <format dxfId="420">
      <pivotArea field="7" type="button" dataOnly="0" labelOnly="1" outline="0"/>
    </format>
    <format dxfId="419">
      <pivotArea field="8" type="button" dataOnly="0" labelOnly="1" outline="0"/>
    </format>
    <format dxfId="418">
      <pivotArea field="9" type="button" dataOnly="0" labelOnly="1" outline="0"/>
    </format>
    <format dxfId="417">
      <pivotArea field="10" type="button" dataOnly="0" labelOnly="1" outline="0"/>
    </format>
    <format dxfId="416">
      <pivotArea field="11" type="button" dataOnly="0" labelOnly="1" outline="0"/>
    </format>
    <format dxfId="415">
      <pivotArea field="18" type="button" dataOnly="0" labelOnly="1" outline="0"/>
    </format>
    <format dxfId="414">
      <pivotArea field="19" type="button" dataOnly="0" labelOnly="1" outline="0"/>
    </format>
    <format dxfId="413">
      <pivotArea type="all" dataOnly="0" outline="0" fieldPosition="0"/>
    </format>
    <format dxfId="412">
      <pivotArea field="2" type="button" dataOnly="0" labelOnly="1" outline="0" axis="axisRow" fieldPosition="0"/>
    </format>
    <format dxfId="411">
      <pivotArea field="3" type="button" dataOnly="0" labelOnly="1" outline="0" axis="axisRow" fieldPosition="1"/>
    </format>
    <format dxfId="410">
      <pivotArea field="6" type="button" dataOnly="0" labelOnly="1" outline="0"/>
    </format>
    <format dxfId="409">
      <pivotArea field="7" type="button" dataOnly="0" labelOnly="1" outline="0"/>
    </format>
    <format dxfId="408">
      <pivotArea field="8" type="button" dataOnly="0" labelOnly="1" outline="0"/>
    </format>
    <format dxfId="407">
      <pivotArea field="9" type="button" dataOnly="0" labelOnly="1" outline="0"/>
    </format>
    <format dxfId="406">
      <pivotArea field="10" type="button" dataOnly="0" labelOnly="1" outline="0"/>
    </format>
    <format dxfId="405">
      <pivotArea field="11" type="button" dataOnly="0" labelOnly="1" outline="0"/>
    </format>
    <format dxfId="404">
      <pivotArea field="19" type="button" dataOnly="0" labelOnly="1" outline="0"/>
    </format>
    <format dxfId="403">
      <pivotArea dataOnly="0" labelOnly="1" outline="0" fieldPosition="0">
        <references count="1">
          <reference field="2" count="0"/>
        </references>
      </pivotArea>
    </format>
    <format dxfId="402">
      <pivotArea dataOnly="0" labelOnly="1" outline="0" fieldPosition="0">
        <references count="2">
          <reference field="2" count="0" selected="0"/>
          <reference field="3" count="0"/>
        </references>
      </pivotArea>
    </format>
    <format dxfId="401">
      <pivotArea field="12" type="button" dataOnly="0" labelOnly="1" outline="0"/>
    </format>
    <format dxfId="400">
      <pivotArea dataOnly="0" labelOnly="1" outline="0" fieldPosition="0">
        <references count="1">
          <reference field="2" count="0"/>
        </references>
      </pivotArea>
    </format>
    <format dxfId="399">
      <pivotArea dataOnly="0" labelOnly="1" outline="0" fieldPosition="0">
        <references count="2">
          <reference field="2" count="0" selected="0"/>
          <reference field="3" count="0"/>
        </references>
      </pivotArea>
    </format>
    <format dxfId="398">
      <pivotArea field="20" type="button" dataOnly="0" labelOnly="1" outline="0" axis="axisRow" fieldPosition="8"/>
    </format>
    <format dxfId="397">
      <pivotArea type="all" dataOnly="0" outline="0" fieldPosition="0"/>
    </format>
    <format dxfId="396">
      <pivotArea field="2" type="button" dataOnly="0" labelOnly="1" outline="0" axis="axisRow" fieldPosition="0"/>
    </format>
    <format dxfId="395">
      <pivotArea field="3" type="button" dataOnly="0" labelOnly="1" outline="0" axis="axisRow" fieldPosition="1"/>
    </format>
    <format dxfId="394">
      <pivotArea field="21" type="button" dataOnly="0" labelOnly="1" outline="0" axis="axisRow" fieldPosition="2"/>
    </format>
    <format dxfId="393">
      <pivotArea field="22" type="button" dataOnly="0" labelOnly="1" outline="0" axis="axisRow" fieldPosition="3"/>
    </format>
    <format dxfId="392">
      <pivotArea field="23" type="button" dataOnly="0" labelOnly="1" outline="0" axis="axisRow" fieldPosition="4"/>
    </format>
    <format dxfId="391">
      <pivotArea field="24" type="button" dataOnly="0" labelOnly="1" outline="0" axis="axisRow" fieldPosition="5"/>
    </format>
    <format dxfId="390">
      <pivotArea field="26" type="button" dataOnly="0" labelOnly="1" outline="0" axis="axisRow" fieldPosition="6"/>
    </format>
    <format dxfId="389">
      <pivotArea field="20" type="button" dataOnly="0" labelOnly="1" outline="0" axis="axisRow" fieldPosition="8"/>
    </format>
    <format dxfId="388">
      <pivotArea field="25" type="button" dataOnly="0" labelOnly="1" outline="0" axis="axisRow" fieldPosition="9"/>
    </format>
    <format dxfId="387">
      <pivotArea dataOnly="0" labelOnly="1" outline="0" fieldPosition="0">
        <references count="1">
          <reference field="2" count="0"/>
        </references>
      </pivotArea>
    </format>
    <format dxfId="386">
      <pivotArea dataOnly="0" labelOnly="1" outline="0" fieldPosition="0">
        <references count="2">
          <reference field="2" count="0" selected="0"/>
          <reference field="3" count="0"/>
        </references>
      </pivotArea>
    </format>
    <format dxfId="385">
      <pivotArea dataOnly="0" labelOnly="1" outline="0" fieldPosition="0">
        <references count="3">
          <reference field="2" count="0" selected="0"/>
          <reference field="3" count="0" selected="0"/>
          <reference field="21" count="0"/>
        </references>
      </pivotArea>
    </format>
    <format dxfId="384">
      <pivotArea dataOnly="0" labelOnly="1" outline="0" fieldPosition="0">
        <references count="4">
          <reference field="2" count="0" selected="0"/>
          <reference field="3" count="0" selected="0"/>
          <reference field="21" count="0" selected="0"/>
          <reference field="22" count="0"/>
        </references>
      </pivotArea>
    </format>
    <format dxfId="383">
      <pivotArea dataOnly="0" labelOnly="1" outline="0" fieldPosition="0">
        <references count="5">
          <reference field="2" count="0" selected="0"/>
          <reference field="3" count="0" selected="0"/>
          <reference field="21" count="0" selected="0"/>
          <reference field="22" count="0" selected="0"/>
          <reference field="23" count="0"/>
        </references>
      </pivotArea>
    </format>
    <format dxfId="382">
      <pivotArea dataOnly="0" labelOnly="1" outline="0" fieldPosition="0">
        <references count="6">
          <reference field="2" count="0" selected="0"/>
          <reference field="3" count="0" selected="0"/>
          <reference field="21" count="0" selected="0"/>
          <reference field="22" count="0" selected="0"/>
          <reference field="23" count="0" selected="0"/>
          <reference field="24" count="0"/>
        </references>
      </pivotArea>
    </format>
    <format dxfId="381">
      <pivotArea dataOnly="0" labelOnly="1" outline="0" fieldPosition="0">
        <references count="7">
          <reference field="2" count="0" selected="0"/>
          <reference field="3" count="0" selected="0"/>
          <reference field="21" count="0" selected="0"/>
          <reference field="22" count="0" selected="0"/>
          <reference field="23" count="0" selected="0"/>
          <reference field="24" count="0" selected="0"/>
          <reference field="26" count="0"/>
        </references>
      </pivotArea>
    </format>
    <format dxfId="380">
      <pivotArea dataOnly="0" labelOnly="1" outline="0" fieldPosition="0">
        <references count="8">
          <reference field="2" count="0" selected="0"/>
          <reference field="3" count="0" selected="0"/>
          <reference field="20" count="0"/>
          <reference field="21" count="0" selected="0"/>
          <reference field="22" count="0" selected="0"/>
          <reference field="23" count="0" selected="0"/>
          <reference field="24" count="0" selected="0"/>
          <reference field="26" count="0" selected="0"/>
        </references>
      </pivotArea>
    </format>
    <format dxfId="379">
      <pivotArea dataOnly="0" labelOnly="1" outline="0" fieldPosition="0">
        <references count="9">
          <reference field="2" count="0" selected="0"/>
          <reference field="3" count="0" selected="0"/>
          <reference field="20" count="0" selected="0"/>
          <reference field="21" count="0" selected="0"/>
          <reference field="22" count="0" selected="0"/>
          <reference field="23" count="0" selected="0"/>
          <reference field="24" count="0" selected="0"/>
          <reference field="25" count="0"/>
          <reference field="26" count="0" selected="0"/>
        </references>
      </pivotArea>
    </format>
    <format dxfId="378">
      <pivotArea type="all" dataOnly="0" outline="0" fieldPosition="0"/>
    </format>
    <format dxfId="377">
      <pivotArea field="2" type="button" dataOnly="0" labelOnly="1" outline="0" axis="axisRow" fieldPosition="0"/>
    </format>
    <format dxfId="376">
      <pivotArea field="3" type="button" dataOnly="0" labelOnly="1" outline="0" axis="axisRow" fieldPosition="1"/>
    </format>
    <format dxfId="375">
      <pivotArea field="21" type="button" dataOnly="0" labelOnly="1" outline="0" axis="axisRow" fieldPosition="2"/>
    </format>
    <format dxfId="374">
      <pivotArea field="22" type="button" dataOnly="0" labelOnly="1" outline="0" axis="axisRow" fieldPosition="3"/>
    </format>
    <format dxfId="373">
      <pivotArea field="23" type="button" dataOnly="0" labelOnly="1" outline="0" axis="axisRow" fieldPosition="4"/>
    </format>
    <format dxfId="372">
      <pivotArea field="24" type="button" dataOnly="0" labelOnly="1" outline="0" axis="axisRow" fieldPosition="5"/>
    </format>
    <format dxfId="371">
      <pivotArea field="26" type="button" dataOnly="0" labelOnly="1" outline="0" axis="axisRow" fieldPosition="6"/>
    </format>
    <format dxfId="370">
      <pivotArea field="20" type="button" dataOnly="0" labelOnly="1" outline="0" axis="axisRow" fieldPosition="8"/>
    </format>
    <format dxfId="369">
      <pivotArea field="25" type="button" dataOnly="0" labelOnly="1" outline="0" axis="axisRow" fieldPosition="9"/>
    </format>
    <format dxfId="368">
      <pivotArea dataOnly="0" labelOnly="1" outline="0" fieldPosition="0">
        <references count="1">
          <reference field="2" count="0"/>
        </references>
      </pivotArea>
    </format>
    <format dxfId="367">
      <pivotArea dataOnly="0" labelOnly="1" outline="0" fieldPosition="0">
        <references count="2">
          <reference field="2" count="0" selected="0"/>
          <reference field="3" count="0"/>
        </references>
      </pivotArea>
    </format>
    <format dxfId="366">
      <pivotArea dataOnly="0" labelOnly="1" outline="0" fieldPosition="0">
        <references count="3">
          <reference field="2" count="0" selected="0"/>
          <reference field="3" count="0" selected="0"/>
          <reference field="21" count="0"/>
        </references>
      </pivotArea>
    </format>
    <format dxfId="365">
      <pivotArea dataOnly="0" labelOnly="1" outline="0" fieldPosition="0">
        <references count="4">
          <reference field="2" count="0" selected="0"/>
          <reference field="3" count="0" selected="0"/>
          <reference field="21" count="0" selected="0"/>
          <reference field="22" count="0"/>
        </references>
      </pivotArea>
    </format>
    <format dxfId="364">
      <pivotArea dataOnly="0" labelOnly="1" outline="0" fieldPosition="0">
        <references count="5">
          <reference field="2" count="0" selected="0"/>
          <reference field="3" count="0" selected="0"/>
          <reference field="21" count="0" selected="0"/>
          <reference field="22" count="0" selected="0"/>
          <reference field="23" count="0"/>
        </references>
      </pivotArea>
    </format>
    <format dxfId="363">
      <pivotArea dataOnly="0" labelOnly="1" outline="0" fieldPosition="0">
        <references count="6">
          <reference field="2" count="0" selected="0"/>
          <reference field="3" count="0" selected="0"/>
          <reference field="21" count="0" selected="0"/>
          <reference field="22" count="0" selected="0"/>
          <reference field="23" count="0" selected="0"/>
          <reference field="24" count="0"/>
        </references>
      </pivotArea>
    </format>
    <format dxfId="362">
      <pivotArea dataOnly="0" labelOnly="1" outline="0" fieldPosition="0">
        <references count="7">
          <reference field="2" count="0" selected="0"/>
          <reference field="3" count="0" selected="0"/>
          <reference field="21" count="0" selected="0"/>
          <reference field="22" count="0" selected="0"/>
          <reference field="23" count="0" selected="0"/>
          <reference field="24" count="0" selected="0"/>
          <reference field="26" count="0"/>
        </references>
      </pivotArea>
    </format>
    <format dxfId="361">
      <pivotArea dataOnly="0" labelOnly="1" outline="0" fieldPosition="0">
        <references count="8">
          <reference field="2" count="0" selected="0"/>
          <reference field="3" count="0" selected="0"/>
          <reference field="20" count="0"/>
          <reference field="21" count="0" selected="0"/>
          <reference field="22" count="0" selected="0"/>
          <reference field="23" count="0" selected="0"/>
          <reference field="24" count="0" selected="0"/>
          <reference field="26" count="0" selected="0"/>
        </references>
      </pivotArea>
    </format>
    <format dxfId="360">
      <pivotArea dataOnly="0" labelOnly="1" outline="0" fieldPosition="0">
        <references count="9">
          <reference field="2" count="0" selected="0"/>
          <reference field="3" count="0" selected="0"/>
          <reference field="20" count="0" selected="0"/>
          <reference field="21" count="0" selected="0"/>
          <reference field="22" count="0" selected="0"/>
          <reference field="23" count="0" selected="0"/>
          <reference field="24" count="0" selected="0"/>
          <reference field="25" count="0"/>
          <reference field="26" count="0" selected="0"/>
        </references>
      </pivotArea>
    </format>
    <format dxfId="359">
      <pivotArea field="2" type="button" dataOnly="0" labelOnly="1" outline="0" axis="axisRow" fieldPosition="0"/>
    </format>
    <format dxfId="358">
      <pivotArea field="3" type="button" dataOnly="0" labelOnly="1" outline="0" axis="axisRow" fieldPosition="1"/>
    </format>
    <format dxfId="357">
      <pivotArea field="21" type="button" dataOnly="0" labelOnly="1" outline="0" axis="axisRow" fieldPosition="2"/>
    </format>
    <format dxfId="356">
      <pivotArea field="22" type="button" dataOnly="0" labelOnly="1" outline="0" axis="axisRow" fieldPosition="3"/>
    </format>
    <format dxfId="355">
      <pivotArea field="23" type="button" dataOnly="0" labelOnly="1" outline="0" axis="axisRow" fieldPosition="4"/>
    </format>
    <format dxfId="354">
      <pivotArea field="24" type="button" dataOnly="0" labelOnly="1" outline="0" axis="axisRow" fieldPosition="5"/>
    </format>
    <format dxfId="353">
      <pivotArea field="26" type="button" dataOnly="0" labelOnly="1" outline="0" axis="axisRow" fieldPosition="6"/>
    </format>
    <format dxfId="352">
      <pivotArea field="20" type="button" dataOnly="0" labelOnly="1" outline="0" axis="axisRow" fieldPosition="8"/>
    </format>
    <format dxfId="351">
      <pivotArea field="25" type="button" dataOnly="0" labelOnly="1" outline="0" axis="axisRow" fieldPosition="9"/>
    </format>
    <format dxfId="350">
      <pivotArea field="2" type="button" dataOnly="0" labelOnly="1" outline="0" axis="axisRow" fieldPosition="0"/>
    </format>
    <format dxfId="349">
      <pivotArea field="3" type="button" dataOnly="0" labelOnly="1" outline="0" axis="axisRow" fieldPosition="1"/>
    </format>
    <format dxfId="348">
      <pivotArea field="21" type="button" dataOnly="0" labelOnly="1" outline="0" axis="axisRow" fieldPosition="2"/>
    </format>
    <format dxfId="347">
      <pivotArea field="22" type="button" dataOnly="0" labelOnly="1" outline="0" axis="axisRow" fieldPosition="3"/>
    </format>
    <format dxfId="346">
      <pivotArea field="23" type="button" dataOnly="0" labelOnly="1" outline="0" axis="axisRow" fieldPosition="4"/>
    </format>
    <format dxfId="345">
      <pivotArea field="24" type="button" dataOnly="0" labelOnly="1" outline="0" axis="axisRow" fieldPosition="5"/>
    </format>
    <format dxfId="344">
      <pivotArea field="20" type="button" dataOnly="0" labelOnly="1" outline="0" axis="axisRow" fieldPosition="8"/>
    </format>
    <format dxfId="343">
      <pivotArea field="4" type="button" dataOnly="0" labelOnly="1" outline="0" axis="axisRow" fieldPosition="7"/>
    </format>
    <format dxfId="342">
      <pivotArea field="26" type="button" dataOnly="0" labelOnly="1" outline="0" axis="axisRow" fieldPosition="6"/>
    </format>
    <format dxfId="341">
      <pivotArea field="25" type="button" dataOnly="0" labelOnly="1" outline="0" axis="axisRow" fieldPosition="9"/>
    </format>
    <format dxfId="340">
      <pivotArea field="2" type="button" dataOnly="0" labelOnly="1" outline="0" axis="axisRow" fieldPosition="0"/>
    </format>
    <format dxfId="339">
      <pivotArea field="3" type="button" dataOnly="0" labelOnly="1" outline="0" axis="axisRow" fieldPosition="1"/>
    </format>
    <format dxfId="338">
      <pivotArea field="21" type="button" dataOnly="0" labelOnly="1" outline="0" axis="axisRow" fieldPosition="2"/>
    </format>
    <format dxfId="337">
      <pivotArea field="22" type="button" dataOnly="0" labelOnly="1" outline="0" axis="axisRow" fieldPosition="3"/>
    </format>
    <format dxfId="336">
      <pivotArea field="23" type="button" dataOnly="0" labelOnly="1" outline="0" axis="axisRow" fieldPosition="4"/>
    </format>
    <format dxfId="335">
      <pivotArea field="24" type="button" dataOnly="0" labelOnly="1" outline="0" axis="axisRow" fieldPosition="5"/>
    </format>
    <format dxfId="334">
      <pivotArea field="20" type="button" dataOnly="0" labelOnly="1" outline="0" axis="axisRow" fieldPosition="8"/>
    </format>
    <format dxfId="333">
      <pivotArea field="4" type="button" dataOnly="0" labelOnly="1" outline="0" axis="axisRow" fieldPosition="7"/>
    </format>
    <format dxfId="332">
      <pivotArea field="26" type="button" dataOnly="0" labelOnly="1" outline="0" axis="axisRow" fieldPosition="6"/>
    </format>
    <format dxfId="331">
      <pivotArea field="25" type="button" dataOnly="0" labelOnly="1" outline="0" axis="axisRow" fieldPosition="9"/>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E8C6D6-3D53-4DA8-BAA5-15F739C38AD1}" name="PivotTable1" cacheId="22" applyNumberFormats="0" applyBorderFormats="0" applyFontFormats="0" applyPatternFormats="0" applyAlignmentFormats="0" applyWidthHeightFormats="1" dataCaption="Values" updatedVersion="8" minRefreshableVersion="3" showDrill="0" rowGrandTotals="0" colGrandTotals="0" itemPrintTitles="1" createdVersion="8" indent="0" compact="0" compactData="0" multipleFieldFilters="0">
  <location ref="B1:K2" firstHeaderRow="1" firstDataRow="1" firstDataCol="10"/>
  <pivotFields count="27">
    <pivotField compact="0" outline="0" subtotalTop="0" showAll="0" defaultSubtotal="0"/>
    <pivotField compact="0" outline="0" subtotalTop="0" showAll="0" defaultSubtotal="0"/>
    <pivotField name="$ItemNoLbl$" axis="axisRow" compact="0" outline="0" showAll="0" defaultSubtotal="0">
      <items count="1">
        <item x="0"/>
      </items>
    </pivotField>
    <pivotField name="$Item_Description$" axis="axisRow" compact="0" outline="0" showAll="0" defaultSubtotal="0">
      <items count="1">
        <item x="0"/>
      </items>
    </pivotField>
    <pivotField name="$Item__Base_Unit_of_Measure_$" axis="axisRow" compact="0" outline="0" subtotalTop="0" showAll="0" defaultSubtotal="0">
      <items count="1">
        <item x="0"/>
      </items>
    </pivotField>
    <pivotField compact="0" outline="0" subtotalTop="0" showAll="0" defaultSubtotal="0"/>
    <pivotField name="Purchase_Price__Vendor_No__" compact="0" outline="0" showAll="0" defaultSubtotal="0">
      <items count="1">
        <item x="0"/>
      </items>
    </pivotField>
    <pivotField name="Vend_Name" compact="0" outline="0" showAll="0" defaultSubtotal="0">
      <items count="1">
        <item x="0"/>
      </items>
    </pivotField>
    <pivotField name="Purchase_Price__Starting_Date_" compact="0" outline="0" showAll="0" defaultSubtotal="0">
      <items count="1">
        <item x="0"/>
      </items>
    </pivotField>
    <pivotField name="Purchase_Price__Direct_Unit_Cost_" compact="0" outline="0" showAll="0" defaultSubtotal="0">
      <items count="1">
        <item x="0"/>
      </items>
    </pivotField>
    <pivotField name="Purchase_Price__Currency_Code_" compact="0" outline="0" showAll="0" defaultSubtotal="0">
      <items count="1">
        <item x="0"/>
      </items>
    </pivotField>
    <pivotField name="ItemVend__Lead_Time_Calculation_" compact="0" outline="0" showAll="0" defaultSubtotal="0">
      <items count="1">
        <item x="0"/>
      </items>
    </pivotField>
    <pivotField name="ItemVend__Vendor_Item_No__" compact="0" outline="0" subtotalTop="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items count="1">
        <item x="0"/>
      </items>
    </pivotField>
    <pivotField compact="0" outline="0" showAll="0" defaultSubtotal="0">
      <items count="1">
        <item x="0"/>
      </items>
    </pivotField>
    <pivotField name="$LeadTimeCalculationLbl$" axis="axisRow" compact="0" outline="0" subtotalTop="0" showAll="0" defaultSubtotal="0">
      <items count="2">
        <item x="0"/>
        <item m="1" x="1"/>
      </items>
    </pivotField>
    <pivotField name="$Purchase_Price__Vendor_No__$" axis="axisRow" compact="0" outline="0" subtotalTop="0" showAll="0" defaultSubtotal="0">
      <items count="1">
        <item x="0"/>
      </items>
    </pivotField>
    <pivotField name="$Vend_Name$" axis="axisRow" compact="0" outline="0" subtotalTop="0" showAll="0" defaultSubtotal="0">
      <items count="1">
        <item x="0"/>
      </items>
    </pivotField>
    <pivotField name="$DateLbl$" axis="axisRow" compact="0" outline="0" subtotalTop="0" showAll="0" defaultSubtotal="0">
      <items count="1">
        <item x="0"/>
      </items>
    </pivotField>
    <pivotField name="$Purchase_Price__Direct_Unit_Cost_$" axis="axisRow" compact="0" outline="0" subtotalTop="0" showAll="0" defaultSubtotal="0">
      <items count="1">
        <item x="0"/>
      </items>
    </pivotField>
    <pivotField name="$ItemVendorNoLbl$" axis="axisRow" compact="0" outline="0" subtotalTop="0" showAll="0" defaultSubtotal="0">
      <items count="1">
        <item x="0"/>
      </items>
    </pivotField>
    <pivotField name="$Purchase_Price__Currency_Code_$" axis="axisRow" compact="0" outline="0" subtotalTop="0" showAll="0" defaultSubtotal="0">
      <items count="1">
        <item x="0"/>
      </items>
    </pivotField>
  </pivotFields>
  <rowFields count="10">
    <field x="2"/>
    <field x="3"/>
    <field x="21"/>
    <field x="22"/>
    <field x="23"/>
    <field x="24"/>
    <field x="26"/>
    <field x="4"/>
    <field x="20"/>
    <field x="25"/>
  </rowFields>
  <rowItems count="1">
    <i>
      <x/>
      <x/>
      <x/>
      <x/>
      <x/>
      <x/>
      <x/>
      <x/>
      <x/>
      <x/>
    </i>
  </rowItems>
  <colItems count="1">
    <i/>
  </colItems>
  <formats count="103">
    <format dxfId="330">
      <pivotArea field="2" type="button" dataOnly="0" labelOnly="1" outline="0" axis="axisRow" fieldPosition="0"/>
    </format>
    <format dxfId="329">
      <pivotArea field="3" type="button" dataOnly="0" labelOnly="1" outline="0" axis="axisRow" fieldPosition="1"/>
    </format>
    <format dxfId="328">
      <pivotArea field="6" type="button" dataOnly="0" labelOnly="1" outline="0"/>
    </format>
    <format dxfId="327">
      <pivotArea field="7" type="button" dataOnly="0" labelOnly="1" outline="0"/>
    </format>
    <format dxfId="326">
      <pivotArea field="8" type="button" dataOnly="0" labelOnly="1" outline="0"/>
    </format>
    <format dxfId="325">
      <pivotArea field="9" type="button" dataOnly="0" labelOnly="1" outline="0"/>
    </format>
    <format dxfId="324">
      <pivotArea field="10" type="button" dataOnly="0" labelOnly="1" outline="0"/>
    </format>
    <format dxfId="323">
      <pivotArea field="11" type="button" dataOnly="0" labelOnly="1" outline="0"/>
    </format>
    <format dxfId="322">
      <pivotArea field="18" type="button" dataOnly="0" labelOnly="1" outline="0"/>
    </format>
    <format dxfId="321">
      <pivotArea field="19" type="button" dataOnly="0" labelOnly="1" outline="0"/>
    </format>
    <format dxfId="320">
      <pivotArea field="2" type="button" dataOnly="0" labelOnly="1" outline="0" axis="axisRow" fieldPosition="0"/>
    </format>
    <format dxfId="319">
      <pivotArea field="3" type="button" dataOnly="0" labelOnly="1" outline="0" axis="axisRow" fieldPosition="1"/>
    </format>
    <format dxfId="318">
      <pivotArea field="6" type="button" dataOnly="0" labelOnly="1" outline="0"/>
    </format>
    <format dxfId="317">
      <pivotArea field="7" type="button" dataOnly="0" labelOnly="1" outline="0"/>
    </format>
    <format dxfId="316">
      <pivotArea field="8" type="button" dataOnly="0" labelOnly="1" outline="0"/>
    </format>
    <format dxfId="315">
      <pivotArea field="9" type="button" dataOnly="0" labelOnly="1" outline="0"/>
    </format>
    <format dxfId="314">
      <pivotArea field="10" type="button" dataOnly="0" labelOnly="1" outline="0"/>
    </format>
    <format dxfId="313">
      <pivotArea field="11" type="button" dataOnly="0" labelOnly="1" outline="0"/>
    </format>
    <format dxfId="312">
      <pivotArea field="18" type="button" dataOnly="0" labelOnly="1" outline="0"/>
    </format>
    <format dxfId="311">
      <pivotArea field="19" type="button" dataOnly="0" labelOnly="1" outline="0"/>
    </format>
    <format dxfId="310">
      <pivotArea type="all" dataOnly="0" outline="0" fieldPosition="0"/>
    </format>
    <format dxfId="309">
      <pivotArea field="2" type="button" dataOnly="0" labelOnly="1" outline="0" axis="axisRow" fieldPosition="0"/>
    </format>
    <format dxfId="308">
      <pivotArea field="3" type="button" dataOnly="0" labelOnly="1" outline="0" axis="axisRow" fieldPosition="1"/>
    </format>
    <format dxfId="307">
      <pivotArea field="6" type="button" dataOnly="0" labelOnly="1" outline="0"/>
    </format>
    <format dxfId="306">
      <pivotArea field="7" type="button" dataOnly="0" labelOnly="1" outline="0"/>
    </format>
    <format dxfId="305">
      <pivotArea field="8" type="button" dataOnly="0" labelOnly="1" outline="0"/>
    </format>
    <format dxfId="304">
      <pivotArea field="9" type="button" dataOnly="0" labelOnly="1" outline="0"/>
    </format>
    <format dxfId="303">
      <pivotArea field="10" type="button" dataOnly="0" labelOnly="1" outline="0"/>
    </format>
    <format dxfId="302">
      <pivotArea field="11" type="button" dataOnly="0" labelOnly="1" outline="0"/>
    </format>
    <format dxfId="301">
      <pivotArea field="19" type="button" dataOnly="0" labelOnly="1" outline="0"/>
    </format>
    <format dxfId="300">
      <pivotArea dataOnly="0" labelOnly="1" outline="0" fieldPosition="0">
        <references count="1">
          <reference field="2" count="0"/>
        </references>
      </pivotArea>
    </format>
    <format dxfId="299">
      <pivotArea dataOnly="0" labelOnly="1" outline="0" fieldPosition="0">
        <references count="2">
          <reference field="2" count="0" selected="0"/>
          <reference field="3" count="0"/>
        </references>
      </pivotArea>
    </format>
    <format dxfId="298">
      <pivotArea field="12" type="button" dataOnly="0" labelOnly="1" outline="0"/>
    </format>
    <format dxfId="297">
      <pivotArea dataOnly="0" labelOnly="1" outline="0" fieldPosition="0">
        <references count="1">
          <reference field="2" count="0"/>
        </references>
      </pivotArea>
    </format>
    <format dxfId="296">
      <pivotArea dataOnly="0" labelOnly="1" outline="0" fieldPosition="0">
        <references count="2">
          <reference field="2" count="0" selected="0"/>
          <reference field="3" count="0"/>
        </references>
      </pivotArea>
    </format>
    <format dxfId="295">
      <pivotArea field="20" type="button" dataOnly="0" labelOnly="1" outline="0" axis="axisRow" fieldPosition="8"/>
    </format>
    <format dxfId="294">
      <pivotArea type="all" dataOnly="0" outline="0" fieldPosition="0"/>
    </format>
    <format dxfId="293">
      <pivotArea field="2" type="button" dataOnly="0" labelOnly="1" outline="0" axis="axisRow" fieldPosition="0"/>
    </format>
    <format dxfId="292">
      <pivotArea field="3" type="button" dataOnly="0" labelOnly="1" outline="0" axis="axisRow" fieldPosition="1"/>
    </format>
    <format dxfId="291">
      <pivotArea field="21" type="button" dataOnly="0" labelOnly="1" outline="0" axis="axisRow" fieldPosition="2"/>
    </format>
    <format dxfId="290">
      <pivotArea field="22" type="button" dataOnly="0" labelOnly="1" outline="0" axis="axisRow" fieldPosition="3"/>
    </format>
    <format dxfId="289">
      <pivotArea field="23" type="button" dataOnly="0" labelOnly="1" outline="0" axis="axisRow" fieldPosition="4"/>
    </format>
    <format dxfId="288">
      <pivotArea field="24" type="button" dataOnly="0" labelOnly="1" outline="0" axis="axisRow" fieldPosition="5"/>
    </format>
    <format dxfId="287">
      <pivotArea field="26" type="button" dataOnly="0" labelOnly="1" outline="0" axis="axisRow" fieldPosition="6"/>
    </format>
    <format dxfId="286">
      <pivotArea field="20" type="button" dataOnly="0" labelOnly="1" outline="0" axis="axisRow" fieldPosition="8"/>
    </format>
    <format dxfId="285">
      <pivotArea field="25" type="button" dataOnly="0" labelOnly="1" outline="0" axis="axisRow" fieldPosition="9"/>
    </format>
    <format dxfId="284">
      <pivotArea dataOnly="0" labelOnly="1" outline="0" fieldPosition="0">
        <references count="1">
          <reference field="2" count="0"/>
        </references>
      </pivotArea>
    </format>
    <format dxfId="283">
      <pivotArea dataOnly="0" labelOnly="1" outline="0" fieldPosition="0">
        <references count="2">
          <reference field="2" count="0" selected="0"/>
          <reference field="3" count="0"/>
        </references>
      </pivotArea>
    </format>
    <format dxfId="282">
      <pivotArea dataOnly="0" labelOnly="1" outline="0" fieldPosition="0">
        <references count="3">
          <reference field="2" count="0" selected="0"/>
          <reference field="3" count="0" selected="0"/>
          <reference field="21" count="0"/>
        </references>
      </pivotArea>
    </format>
    <format dxfId="281">
      <pivotArea dataOnly="0" labelOnly="1" outline="0" fieldPosition="0">
        <references count="4">
          <reference field="2" count="0" selected="0"/>
          <reference field="3" count="0" selected="0"/>
          <reference field="21" count="0" selected="0"/>
          <reference field="22" count="0"/>
        </references>
      </pivotArea>
    </format>
    <format dxfId="280">
      <pivotArea dataOnly="0" labelOnly="1" outline="0" fieldPosition="0">
        <references count="5">
          <reference field="2" count="0" selected="0"/>
          <reference field="3" count="0" selected="0"/>
          <reference field="21" count="0" selected="0"/>
          <reference field="22" count="0" selected="0"/>
          <reference field="23" count="0"/>
        </references>
      </pivotArea>
    </format>
    <format dxfId="279">
      <pivotArea dataOnly="0" labelOnly="1" outline="0" fieldPosition="0">
        <references count="6">
          <reference field="2" count="0" selected="0"/>
          <reference field="3" count="0" selected="0"/>
          <reference field="21" count="0" selected="0"/>
          <reference field="22" count="0" selected="0"/>
          <reference field="23" count="0" selected="0"/>
          <reference field="24" count="0"/>
        </references>
      </pivotArea>
    </format>
    <format dxfId="278">
      <pivotArea dataOnly="0" labelOnly="1" outline="0" fieldPosition="0">
        <references count="7">
          <reference field="2" count="0" selected="0"/>
          <reference field="3" count="0" selected="0"/>
          <reference field="21" count="0" selected="0"/>
          <reference field="22" count="0" selected="0"/>
          <reference field="23" count="0" selected="0"/>
          <reference field="24" count="0" selected="0"/>
          <reference field="26" count="0"/>
        </references>
      </pivotArea>
    </format>
    <format dxfId="277">
      <pivotArea dataOnly="0" labelOnly="1" outline="0" fieldPosition="0">
        <references count="8">
          <reference field="2" count="0" selected="0"/>
          <reference field="3" count="0" selected="0"/>
          <reference field="20" count="0"/>
          <reference field="21" count="0" selected="0"/>
          <reference field="22" count="0" selected="0"/>
          <reference field="23" count="0" selected="0"/>
          <reference field="24" count="0" selected="0"/>
          <reference field="26" count="0" selected="0"/>
        </references>
      </pivotArea>
    </format>
    <format dxfId="276">
      <pivotArea dataOnly="0" labelOnly="1" outline="0" fieldPosition="0">
        <references count="9">
          <reference field="2" count="0" selected="0"/>
          <reference field="3" count="0" selected="0"/>
          <reference field="20" count="0" selected="0"/>
          <reference field="21" count="0" selected="0"/>
          <reference field="22" count="0" selected="0"/>
          <reference field="23" count="0" selected="0"/>
          <reference field="24" count="0" selected="0"/>
          <reference field="25" count="0"/>
          <reference field="26" count="0" selected="0"/>
        </references>
      </pivotArea>
    </format>
    <format dxfId="275">
      <pivotArea type="all" dataOnly="0" outline="0" fieldPosition="0"/>
    </format>
    <format dxfId="274">
      <pivotArea field="2" type="button" dataOnly="0" labelOnly="1" outline="0" axis="axisRow" fieldPosition="0"/>
    </format>
    <format dxfId="273">
      <pivotArea field="3" type="button" dataOnly="0" labelOnly="1" outline="0" axis="axisRow" fieldPosition="1"/>
    </format>
    <format dxfId="272">
      <pivotArea field="21" type="button" dataOnly="0" labelOnly="1" outline="0" axis="axisRow" fieldPosition="2"/>
    </format>
    <format dxfId="271">
      <pivotArea field="22" type="button" dataOnly="0" labelOnly="1" outline="0" axis="axisRow" fieldPosition="3"/>
    </format>
    <format dxfId="270">
      <pivotArea field="23" type="button" dataOnly="0" labelOnly="1" outline="0" axis="axisRow" fieldPosition="4"/>
    </format>
    <format dxfId="269">
      <pivotArea field="24" type="button" dataOnly="0" labelOnly="1" outline="0" axis="axisRow" fieldPosition="5"/>
    </format>
    <format dxfId="268">
      <pivotArea field="26" type="button" dataOnly="0" labelOnly="1" outline="0" axis="axisRow" fieldPosition="6"/>
    </format>
    <format dxfId="267">
      <pivotArea field="20" type="button" dataOnly="0" labelOnly="1" outline="0" axis="axisRow" fieldPosition="8"/>
    </format>
    <format dxfId="266">
      <pivotArea field="25" type="button" dataOnly="0" labelOnly="1" outline="0" axis="axisRow" fieldPosition="9"/>
    </format>
    <format dxfId="265">
      <pivotArea dataOnly="0" labelOnly="1" outline="0" fieldPosition="0">
        <references count="1">
          <reference field="2" count="0"/>
        </references>
      </pivotArea>
    </format>
    <format dxfId="264">
      <pivotArea dataOnly="0" labelOnly="1" outline="0" fieldPosition="0">
        <references count="2">
          <reference field="2" count="0" selected="0"/>
          <reference field="3" count="0"/>
        </references>
      </pivotArea>
    </format>
    <format dxfId="263">
      <pivotArea dataOnly="0" labelOnly="1" outline="0" fieldPosition="0">
        <references count="3">
          <reference field="2" count="0" selected="0"/>
          <reference field="3" count="0" selected="0"/>
          <reference field="21" count="0"/>
        </references>
      </pivotArea>
    </format>
    <format dxfId="262">
      <pivotArea dataOnly="0" labelOnly="1" outline="0" fieldPosition="0">
        <references count="4">
          <reference field="2" count="0" selected="0"/>
          <reference field="3" count="0" selected="0"/>
          <reference field="21" count="0" selected="0"/>
          <reference field="22" count="0"/>
        </references>
      </pivotArea>
    </format>
    <format dxfId="261">
      <pivotArea dataOnly="0" labelOnly="1" outline="0" fieldPosition="0">
        <references count="5">
          <reference field="2" count="0" selected="0"/>
          <reference field="3" count="0" selected="0"/>
          <reference field="21" count="0" selected="0"/>
          <reference field="22" count="0" selected="0"/>
          <reference field="23" count="0"/>
        </references>
      </pivotArea>
    </format>
    <format dxfId="260">
      <pivotArea dataOnly="0" labelOnly="1" outline="0" fieldPosition="0">
        <references count="6">
          <reference field="2" count="0" selected="0"/>
          <reference field="3" count="0" selected="0"/>
          <reference field="21" count="0" selected="0"/>
          <reference field="22" count="0" selected="0"/>
          <reference field="23" count="0" selected="0"/>
          <reference field="24" count="0"/>
        </references>
      </pivotArea>
    </format>
    <format dxfId="259">
      <pivotArea dataOnly="0" labelOnly="1" outline="0" fieldPosition="0">
        <references count="7">
          <reference field="2" count="0" selected="0"/>
          <reference field="3" count="0" selected="0"/>
          <reference field="21" count="0" selected="0"/>
          <reference field="22" count="0" selected="0"/>
          <reference field="23" count="0" selected="0"/>
          <reference field="24" count="0" selected="0"/>
          <reference field="26" count="0"/>
        </references>
      </pivotArea>
    </format>
    <format dxfId="258">
      <pivotArea dataOnly="0" labelOnly="1" outline="0" fieldPosition="0">
        <references count="8">
          <reference field="2" count="0" selected="0"/>
          <reference field="3" count="0" selected="0"/>
          <reference field="20" count="0"/>
          <reference field="21" count="0" selected="0"/>
          <reference field="22" count="0" selected="0"/>
          <reference field="23" count="0" selected="0"/>
          <reference field="24" count="0" selected="0"/>
          <reference field="26" count="0" selected="0"/>
        </references>
      </pivotArea>
    </format>
    <format dxfId="257">
      <pivotArea dataOnly="0" labelOnly="1" outline="0" fieldPosition="0">
        <references count="9">
          <reference field="2" count="0" selected="0"/>
          <reference field="3" count="0" selected="0"/>
          <reference field="20" count="0" selected="0"/>
          <reference field="21" count="0" selected="0"/>
          <reference field="22" count="0" selected="0"/>
          <reference field="23" count="0" selected="0"/>
          <reference field="24" count="0" selected="0"/>
          <reference field="25" count="0"/>
          <reference field="26" count="0" selected="0"/>
        </references>
      </pivotArea>
    </format>
    <format dxfId="256">
      <pivotArea field="2" type="button" dataOnly="0" labelOnly="1" outline="0" axis="axisRow" fieldPosition="0"/>
    </format>
    <format dxfId="255">
      <pivotArea field="3" type="button" dataOnly="0" labelOnly="1" outline="0" axis="axisRow" fieldPosition="1"/>
    </format>
    <format dxfId="254">
      <pivotArea field="21" type="button" dataOnly="0" labelOnly="1" outline="0" axis="axisRow" fieldPosition="2"/>
    </format>
    <format dxfId="253">
      <pivotArea field="22" type="button" dataOnly="0" labelOnly="1" outline="0" axis="axisRow" fieldPosition="3"/>
    </format>
    <format dxfId="252">
      <pivotArea field="23" type="button" dataOnly="0" labelOnly="1" outline="0" axis="axisRow" fieldPosition="4"/>
    </format>
    <format dxfId="251">
      <pivotArea field="24" type="button" dataOnly="0" labelOnly="1" outline="0" axis="axisRow" fieldPosition="5"/>
    </format>
    <format dxfId="250">
      <pivotArea field="26" type="button" dataOnly="0" labelOnly="1" outline="0" axis="axisRow" fieldPosition="6"/>
    </format>
    <format dxfId="249">
      <pivotArea field="20" type="button" dataOnly="0" labelOnly="1" outline="0" axis="axisRow" fieldPosition="8"/>
    </format>
    <format dxfId="248">
      <pivotArea field="25" type="button" dataOnly="0" labelOnly="1" outline="0" axis="axisRow" fieldPosition="9"/>
    </format>
    <format dxfId="247">
      <pivotArea field="2" type="button" dataOnly="0" labelOnly="1" outline="0" axis="axisRow" fieldPosition="0"/>
    </format>
    <format dxfId="246">
      <pivotArea field="3" type="button" dataOnly="0" labelOnly="1" outline="0" axis="axisRow" fieldPosition="1"/>
    </format>
    <format dxfId="245">
      <pivotArea field="21" type="button" dataOnly="0" labelOnly="1" outline="0" axis="axisRow" fieldPosition="2"/>
    </format>
    <format dxfId="244">
      <pivotArea field="22" type="button" dataOnly="0" labelOnly="1" outline="0" axis="axisRow" fieldPosition="3"/>
    </format>
    <format dxfId="243">
      <pivotArea field="23" type="button" dataOnly="0" labelOnly="1" outline="0" axis="axisRow" fieldPosition="4"/>
    </format>
    <format dxfId="242">
      <pivotArea field="24" type="button" dataOnly="0" labelOnly="1" outline="0" axis="axisRow" fieldPosition="5"/>
    </format>
    <format dxfId="241">
      <pivotArea field="20" type="button" dataOnly="0" labelOnly="1" outline="0" axis="axisRow" fieldPosition="8"/>
    </format>
    <format dxfId="240">
      <pivotArea field="4" type="button" dataOnly="0" labelOnly="1" outline="0" axis="axisRow" fieldPosition="7"/>
    </format>
    <format dxfId="239">
      <pivotArea field="26" type="button" dataOnly="0" labelOnly="1" outline="0" axis="axisRow" fieldPosition="6"/>
    </format>
    <format dxfId="238">
      <pivotArea field="25" type="button" dataOnly="0" labelOnly="1" outline="0" axis="axisRow" fieldPosition="9"/>
    </format>
    <format dxfId="237">
      <pivotArea field="2" type="button" dataOnly="0" labelOnly="1" outline="0" axis="axisRow" fieldPosition="0"/>
    </format>
    <format dxfId="236">
      <pivotArea field="3" type="button" dataOnly="0" labelOnly="1" outline="0" axis="axisRow" fieldPosition="1"/>
    </format>
    <format dxfId="235">
      <pivotArea field="21" type="button" dataOnly="0" labelOnly="1" outline="0" axis="axisRow" fieldPosition="2"/>
    </format>
    <format dxfId="234">
      <pivotArea field="22" type="button" dataOnly="0" labelOnly="1" outline="0" axis="axisRow" fieldPosition="3"/>
    </format>
    <format dxfId="233">
      <pivotArea field="23" type="button" dataOnly="0" labelOnly="1" outline="0" axis="axisRow" fieldPosition="4"/>
    </format>
    <format dxfId="232">
      <pivotArea field="24" type="button" dataOnly="0" labelOnly="1" outline="0" axis="axisRow" fieldPosition="5"/>
    </format>
    <format dxfId="231">
      <pivotArea field="20" type="button" dataOnly="0" labelOnly="1" outline="0" axis="axisRow" fieldPosition="8"/>
    </format>
    <format dxfId="230">
      <pivotArea field="4" type="button" dataOnly="0" labelOnly="1" outline="0" axis="axisRow" fieldPosition="7"/>
    </format>
    <format dxfId="229">
      <pivotArea field="26" type="button" dataOnly="0" labelOnly="1" outline="0" axis="axisRow" fieldPosition="6"/>
    </format>
    <format dxfId="228">
      <pivotArea field="25" type="button" dataOnly="0" labelOnly="1" outline="0" axis="axisRow" fieldPosition="9"/>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0E88B722-A748-4A61-B83B-BFD762195070}" autoFormatId="16" applyNumberFormats="0" applyBorderFormats="0" applyFontFormats="0" applyPatternFormats="0" applyAlignmentFormats="0" applyWidthHeightFormats="0">
  <queryTableRefresh nextId="41">
    <queryTableFields count="27">
      <queryTableField id="15" name="Item_TABLECAPTION__________ItemFilter" tableColumnId="14"/>
      <queryTableField id="16" name="ItemFilter" tableColumnId="15"/>
      <queryTableField id="1" name="Item__No__" tableColumnId="1"/>
      <queryTableField id="2" name="Item_Description" tableColumnId="2"/>
      <queryTableField id="17" name="Item__Base_Unit_of_Measure_" tableColumnId="16"/>
      <queryTableField id="18" name="ExtendedPriceFeatureEnabled" tableColumnId="17"/>
      <queryTableField id="3" name="Purchase_Price__Vendor_No__" tableColumnId="3"/>
      <queryTableField id="4" name="Vend_Name" tableColumnId="4"/>
      <queryTableField id="5" name="Purchase_Price__Starting_Date_" tableColumnId="5"/>
      <queryTableField id="6" name="Purchase_Price__Direct_Unit_Cost_" tableColumnId="6"/>
      <queryTableField id="7" name="Purchase_Price__Currency_Code_" tableColumnId="7"/>
      <queryTableField id="8" name="ItemVend__Lead_Time_Calculation_" tableColumnId="8"/>
      <queryTableField id="11" name="ItemVend__Vendor_Item_No__" tableColumnId="11"/>
      <queryTableField id="19" name="Price_Vendor_No" tableColumnId="18"/>
      <queryTableField id="20" name="Price_Vend_Name" tableColumnId="19"/>
      <queryTableField id="21" name="Price_Starting_Date" tableColumnId="20"/>
      <queryTableField id="22" name="Price_Direct_Unit_Cost" tableColumnId="21"/>
      <queryTableField id="23" name="Price_Currency_Code_" tableColumnId="22"/>
      <queryTableField id="9" name="ItemVend_Lead_Time_Calculation" tableColumnId="9"/>
      <queryTableField id="10" name="ItemVend_Vendor_Item_No" tableColumnId="10"/>
      <queryTableField id="14" name="Custom_LeadTimeCalc" tableColumnId="13"/>
      <queryTableField id="35" name="Custom_VendorNo" tableColumnId="12"/>
      <queryTableField id="36" name="Custom_VendorName" tableColumnId="23"/>
      <queryTableField id="37" name="Custom_StartingDate" tableColumnId="24"/>
      <queryTableField id="38" name="Custom_DirectUnitCost" tableColumnId="25"/>
      <queryTableField id="39" name="Custom_VendorItemNo" tableColumnId="26"/>
      <queryTableField id="40" name="Custom_CurrencyCode"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_No__" xr10:uid="{6F2E266A-0C2D-4502-8C6B-37AB063CBD44}" sourceName="Item__No__">
  <pivotTables>
    <pivotTable tabId="9" name="PivotTable1"/>
  </pivotTables>
  <data>
    <tabular pivotCacheId="248294778"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Description" xr10:uid="{9EF23355-20D1-4D4B-8A80-59B31D419868}" sourceName="Item_Description">
  <pivotTables>
    <pivotTable tabId="9" name="PivotTable1"/>
  </pivotTables>
  <data>
    <tabular pivotCacheId="248294778"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_VendorNo" xr10:uid="{845C6BED-856B-4F17-BB75-8292EC2AB883}" sourceName="Custom_VendorNo">
  <pivotTables>
    <pivotTable tabId="9" name="PivotTable1"/>
  </pivotTables>
  <data>
    <tabular pivotCacheId="248294778"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_VendorName" xr10:uid="{EB40FF82-D535-44CD-B33A-0AF111E41F6F}" sourceName="Custom_VendorName">
  <pivotTables>
    <pivotTable tabId="9" name="PivotTable1"/>
  </pivotTables>
  <data>
    <tabular pivotCacheId="248294778"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NoLbl$" xr10:uid="{FF625988-36DD-45D7-B01A-57B581B17E53}" cache="Slicer_Item__No__" caption="$ItemNoLbl$" style="Business Central Reports Slicer Style (Template)" rowHeight="273050"/>
  <slicer name="$Item_Description$" xr10:uid="{76212BA3-6366-4256-B7FE-BF31770F4246}" cache="Slicer_Item_Description" caption="$Item_Description$" style="Business Central Reports Slicer Style (Template)" rowHeight="273050"/>
  <slicer name="$Purchase_Price__Vendor_No__$" xr10:uid="{7FFED4A1-BE70-4D39-868E-C2AAB865225D}" cache="Slicer_Custom_VendorNo" caption="$Purchase_Price__Vendor_No__$" style="Business Central Reports Slicer Style (Template)" rowHeight="273050"/>
  <slicer name="$Vend_Name$" xr10:uid="{FD501468-BAC0-4475-AA88-C1DE4F45DE3F}" cache="Slicer_Custom_VendorName" caption="$Vend_Name$"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866359-9D66-44F8-B364-679D79719FC8}" name="ItemVendorCatalog_Query" displayName="ItemVendorCatalog_Query" ref="A1:AA2" tableType="queryTable" totalsRowShown="0">
  <autoFilter ref="A1:AA2" xr:uid="{2C866359-9D66-44F8-B364-679D79719FC8}"/>
  <tableColumns count="27">
    <tableColumn id="14" xr3:uid="{D011DF22-3FC1-4941-BA6E-4D431C7CA85B}" uniqueName="14" name="Item_TABLECAPTION__________ItemFilter" queryTableFieldId="15" dataDxfId="227"/>
    <tableColumn id="15" xr3:uid="{7D06CA09-59FC-4EC2-A3EE-061412F107C4}" uniqueName="15" name="ItemFilter" queryTableFieldId="16" dataDxfId="226"/>
    <tableColumn id="1" xr3:uid="{84C4BB95-BE59-458C-B44B-ADFFDBF63997}" uniqueName="1" name="Item__No__" queryTableFieldId="1" dataDxfId="225"/>
    <tableColumn id="2" xr3:uid="{A515D9BB-AA8A-42C4-B966-3D19EB0DEE84}" uniqueName="2" name="Item_Description" queryTableFieldId="2" dataDxfId="224"/>
    <tableColumn id="16" xr3:uid="{D0226159-3AA4-4C49-B3BA-D73CEB453664}" uniqueName="16" name="Item__Base_Unit_of_Measure_" queryTableFieldId="17" dataDxfId="223"/>
    <tableColumn id="17" xr3:uid="{0D9F7F7D-DE28-4E00-8937-462ED3A58C39}" uniqueName="17" name="ExtendedPriceFeatureEnabled" queryTableFieldId="18"/>
    <tableColumn id="3" xr3:uid="{DAA01575-9B76-44D8-88D7-080F6620406C}" uniqueName="3" name="Purchase_Price__Vendor_No__" queryTableFieldId="3" dataDxfId="222"/>
    <tableColumn id="4" xr3:uid="{0467CBA2-466A-4BC2-8E66-D0536325CEF8}" uniqueName="4" name="Vend_Name" queryTableFieldId="4" dataDxfId="221"/>
    <tableColumn id="5" xr3:uid="{30C3D075-E119-42D2-9E0A-1E23B5459968}" uniqueName="5" name="Purchase_Price__Starting_Date_" queryTableFieldId="5" dataDxfId="220"/>
    <tableColumn id="6" xr3:uid="{10F600A8-10B3-4395-B478-FD0B72B06CDE}" uniqueName="6" name="Purchase_Price__Direct_Unit_Cost_" queryTableFieldId="6"/>
    <tableColumn id="7" xr3:uid="{5CABB205-477C-47E4-8A88-22BF79E97343}" uniqueName="7" name="Purchase_Price__Currency_Code_" queryTableFieldId="7" dataDxfId="219"/>
    <tableColumn id="8" xr3:uid="{8C9ADE09-EDBF-4916-A2B5-EA1C53E7BDC1}" uniqueName="8" name="ItemVend__Lead_Time_Calculation_" queryTableFieldId="8" dataDxfId="218"/>
    <tableColumn id="11" xr3:uid="{D79BAD1E-58B3-42C1-AB55-29F623C90221}" uniqueName="11" name="ItemVend__Vendor_Item_No__" queryTableFieldId="11" dataDxfId="217"/>
    <tableColumn id="18" xr3:uid="{5A11E1F9-FA60-437E-A389-5E0F8010D738}" uniqueName="18" name="Price_Vendor_No" queryTableFieldId="19" dataDxfId="216"/>
    <tableColumn id="19" xr3:uid="{06DE394B-1190-4991-AF97-CBD5B5F91108}" uniqueName="19" name="Price_Vend_Name" queryTableFieldId="20" dataDxfId="215"/>
    <tableColumn id="20" xr3:uid="{B09CE0ED-D635-42BA-BE07-538F350960EB}" uniqueName="20" name="Price_Starting_Date" queryTableFieldId="21" dataDxfId="214"/>
    <tableColumn id="21" xr3:uid="{F70FDAD6-AA4B-4E85-B907-81949A8D0359}" uniqueName="21" name="Price_Direct_Unit_Cost" queryTableFieldId="22"/>
    <tableColumn id="22" xr3:uid="{51BA8B29-6B97-4666-B6F1-8C118D3F435B}" uniqueName="22" name="Price_Currency_Code_" queryTableFieldId="23" dataDxfId="213"/>
    <tableColumn id="9" xr3:uid="{0D736D90-F27F-42F1-BBD1-3878CF07A06F}" uniqueName="9" name="ItemVend_Lead_Time_Calculation" queryTableFieldId="9" dataDxfId="212"/>
    <tableColumn id="10" xr3:uid="{C0B2ACF7-71A9-4DBD-A1FE-652246C3670B}" uniqueName="10" name="ItemVend_Vendor_Item_No" queryTableFieldId="10" dataDxfId="211"/>
    <tableColumn id="13" xr3:uid="{F29707BE-EAD0-4E03-9ECE-9401C06EBE00}" uniqueName="13" name="Custom_LeadTimeCalc" queryTableFieldId="14"/>
    <tableColumn id="12" xr3:uid="{720FFA87-D054-4FC4-B75B-8F002F786E08}" uniqueName="12" name="Custom_VendorNo" queryTableFieldId="35"/>
    <tableColumn id="23" xr3:uid="{834D483F-E917-4F61-AB3D-859FAC946CD1}" uniqueName="23" name="Custom_VendorName" queryTableFieldId="36"/>
    <tableColumn id="24" xr3:uid="{E8C09769-96DE-424B-9267-BFE478E2D510}" uniqueName="24" name="Custom_StartingDate" queryTableFieldId="37"/>
    <tableColumn id="25" xr3:uid="{55D19D0D-8AE1-427D-9858-60DB6751D1FB}" uniqueName="25" name="Custom_DirectUnitCost" queryTableFieldId="38"/>
    <tableColumn id="26" xr3:uid="{B679996B-3D6B-459C-A43D-27384DF64BA2}" uniqueName="26" name="Custom_VendorItemNo" queryTableFieldId="39"/>
    <tableColumn id="27" xr3:uid="{685157C1-07F8-4DDB-8F3A-B4461DC0925A}" uniqueName="27" name="Custom_CurrencyCode" queryTableFieldId="4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T2" totalsRowShown="0" headerRowDxfId="210">
  <autoFilter ref="A1:T2" xr:uid="{41D726F2-778D-4B1C-A5EA-875FED73D050}"/>
  <tableColumns count="20">
    <tableColumn id="1" xr3:uid="{21867904-D69E-41E3-B5BE-D9B124B8D7E4}" name="Item_TABLECAPTION__________ItemFilter"/>
    <tableColumn id="2" xr3:uid="{21867904-D69E-41E3-B5BE-D9B124B8D7E4}" name="ItemFilter"/>
    <tableColumn id="3" xr3:uid="{21867904-D69E-41E3-B5BE-D9B124B8D7E4}" name="Item__No__"/>
    <tableColumn id="4" xr3:uid="{21867904-D69E-41E3-B5BE-D9B124B8D7E4}" name="Item_Description"/>
    <tableColumn id="5" xr3:uid="{21867904-D69E-41E3-B5BE-D9B124B8D7E4}" name="Item__Base_Unit_of_Measure_"/>
    <tableColumn id="6" xr3:uid="{21867904-D69E-41E3-B5BE-D9B124B8D7E4}" name="ExtendedPriceFeatureEnabled"/>
    <tableColumn id="7" xr3:uid="{21867904-D69E-41E3-B5BE-D9B124B8D7E4}" name="Purchase_Price__Vendor_No__"/>
    <tableColumn id="8" xr3:uid="{21867904-D69E-41E3-B5BE-D9B124B8D7E4}" name="Vend_Name"/>
    <tableColumn id="9" xr3:uid="{21867904-D69E-41E3-B5BE-D9B124B8D7E4}" name="Purchase_Price__Starting_Date_"/>
    <tableColumn id="10" xr3:uid="{21867904-D69E-41E3-B5BE-D9B124B8D7E4}" name="Purchase_Price__Direct_Unit_Cost_"/>
    <tableColumn id="11" xr3:uid="{21867904-D69E-41E3-B5BE-D9B124B8D7E4}" name="Purchase_Price__Currency_Code_"/>
    <tableColumn id="12" xr3:uid="{21867904-D69E-41E3-B5BE-D9B124B8D7E4}" name="ItemVend__Lead_Time_Calculation_"/>
    <tableColumn id="13" xr3:uid="{21867904-D69E-41E3-B5BE-D9B124B8D7E4}" name="ItemVend__Vendor_Item_No__"/>
    <tableColumn id="14" xr3:uid="{21867904-D69E-41E3-B5BE-D9B124B8D7E4}" name="Price_Vendor_No"/>
    <tableColumn id="15" xr3:uid="{21867904-D69E-41E3-B5BE-D9B124B8D7E4}" name="Price_Vend_Name"/>
    <tableColumn id="16" xr3:uid="{21867904-D69E-41E3-B5BE-D9B124B8D7E4}" name="Price_Starting_Date"/>
    <tableColumn id="17" xr3:uid="{21867904-D69E-41E3-B5BE-D9B124B8D7E4}" name="Price_Direct_Unit_Cost"/>
    <tableColumn id="18" xr3:uid="{21867904-D69E-41E3-B5BE-D9B124B8D7E4}" name="Price_Currency_Code_"/>
    <tableColumn id="19" xr3:uid="{21867904-D69E-41E3-B5BE-D9B124B8D7E4}" name="ItemVend_Lead_Time_Calculation"/>
    <tableColumn id="20" xr3:uid="{21867904-D69E-41E3-B5BE-D9B124B8D7E4}" name="ItemVend_Vendor_Item_No"/>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209">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208">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207">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206">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1F10F-5904-4B7E-96D1-E6FFAF011C89}">
  <sheetPr>
    <pageSetUpPr fitToPage="1"/>
  </sheetPr>
  <dimension ref="A2:K7"/>
  <sheetViews>
    <sheetView showGridLines="0" tabSelected="1" workbookViewId="0"/>
  </sheetViews>
  <sheetFormatPr defaultColWidth="14.58203125" defaultRowHeight="21" x14ac:dyDescent="0.45"/>
  <cols>
    <col min="1" max="1" width="9.08203125" style="5" customWidth="1"/>
    <col min="2" max="2" width="14.58203125" style="3"/>
    <col min="3" max="3" width="20.58203125" style="3" customWidth="1"/>
    <col min="4" max="4" width="14.58203125" style="3"/>
    <col min="5" max="5" width="26.25" style="3" customWidth="1"/>
    <col min="6" max="6" width="9.58203125" style="3" customWidth="1"/>
    <col min="7" max="7" width="15.1640625" style="3" bestFit="1" customWidth="1"/>
    <col min="8" max="8" width="14.4140625" style="3" bestFit="1" customWidth="1"/>
    <col min="9" max="10" width="20" style="3" bestFit="1" customWidth="1"/>
    <col min="11" max="11" width="25.58203125" style="3" customWidth="1"/>
    <col min="12" max="16384" width="14.58203125" style="3"/>
  </cols>
  <sheetData>
    <row r="2" spans="2:11" ht="26.5" thickBot="1" x14ac:dyDescent="0.5">
      <c r="B2" s="13" t="s">
        <v>93</v>
      </c>
      <c r="K2" s="10" t="str" cm="1">
        <f t="array" ref="K2">ReportRequest.CompanyName</f>
        <v>Company name Value</v>
      </c>
    </row>
    <row r="3" spans="2:11" ht="21.5" thickTop="1" x14ac:dyDescent="0.45"/>
    <row r="4" spans="2:11" x14ac:dyDescent="0.45">
      <c r="B4" s="7" t="e" cm="1">
        <f t="array" ref="B4">ItemFilterHeading</f>
        <v>#N/A</v>
      </c>
      <c r="J4" s="11" t="e" cm="1">
        <f t="array" ref="J4">Caption.DataRetrievedLbl</f>
        <v>#NAME?</v>
      </c>
      <c r="K4" s="12" t="str" cm="1">
        <f t="array" ref="K4">ReportRequest.DateLocal</f>
        <v>Date (Local) Value</v>
      </c>
    </row>
    <row r="6" spans="2:11" x14ac:dyDescent="0.45">
      <c r="B6" s="14" t="s">
        <v>86</v>
      </c>
      <c r="C6" s="14" t="s">
        <v>94</v>
      </c>
      <c r="D6" s="14" t="s">
        <v>95</v>
      </c>
      <c r="E6" s="14" t="s">
        <v>96</v>
      </c>
      <c r="F6" s="14" t="s">
        <v>97</v>
      </c>
      <c r="G6" s="14" t="s">
        <v>98</v>
      </c>
      <c r="H6" s="14" t="s">
        <v>99</v>
      </c>
      <c r="I6" s="14" t="s">
        <v>108</v>
      </c>
      <c r="J6" s="14" t="s">
        <v>101</v>
      </c>
      <c r="K6" s="14" t="s">
        <v>109</v>
      </c>
    </row>
    <row r="7" spans="2:11" x14ac:dyDescent="0.45">
      <c r="B7" s="4"/>
      <c r="C7" s="4"/>
      <c r="D7" s="4"/>
      <c r="E7" s="4"/>
      <c r="F7" s="4"/>
      <c r="G7" s="4">
        <v>0</v>
      </c>
      <c r="H7" s="4"/>
      <c r="I7" s="4"/>
      <c r="J7" s="4"/>
      <c r="K7" s="4"/>
    </row>
  </sheetData>
  <pageMargins left="0.25" right="0.25" top="0.75" bottom="0.75" header="0.3" footer="0.3"/>
  <pageSetup paperSize="9" scale="49"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94EF4-EAEB-4C06-9B18-699C2E385564}">
  <dimension ref="A1:K2"/>
  <sheetViews>
    <sheetView showGridLines="0" workbookViewId="0"/>
  </sheetViews>
  <sheetFormatPr defaultColWidth="14.58203125" defaultRowHeight="21" x14ac:dyDescent="0.45"/>
  <cols>
    <col min="1" max="1" width="50.58203125" style="5" customWidth="1"/>
    <col min="2" max="2" width="14.58203125" style="3"/>
    <col min="3" max="3" width="20.58203125" style="3" customWidth="1"/>
    <col min="4" max="4" width="14.58203125" style="3"/>
    <col min="5" max="5" width="26.25" style="3" customWidth="1"/>
    <col min="6" max="6" width="9.58203125" style="3" customWidth="1"/>
    <col min="7" max="7" width="15.1640625" style="3" bestFit="1" customWidth="1"/>
    <col min="8" max="8" width="14.4140625" style="3" bestFit="1" customWidth="1"/>
    <col min="9" max="10" width="20" style="3" bestFit="1" customWidth="1"/>
    <col min="11" max="11" width="25.58203125" style="3" customWidth="1"/>
    <col min="12" max="16384" width="14.58203125" style="3"/>
  </cols>
  <sheetData>
    <row r="1" spans="2:11" x14ac:dyDescent="0.45">
      <c r="B1" s="14" t="s">
        <v>86</v>
      </c>
      <c r="C1" s="14" t="s">
        <v>94</v>
      </c>
      <c r="D1" s="14" t="s">
        <v>95</v>
      </c>
      <c r="E1" s="14" t="s">
        <v>96</v>
      </c>
      <c r="F1" s="14" t="s">
        <v>97</v>
      </c>
      <c r="G1" s="14" t="s">
        <v>98</v>
      </c>
      <c r="H1" s="14" t="s">
        <v>99</v>
      </c>
      <c r="I1" s="14" t="s">
        <v>108</v>
      </c>
      <c r="J1" s="14" t="s">
        <v>101</v>
      </c>
      <c r="K1" s="14" t="s">
        <v>109</v>
      </c>
    </row>
    <row r="2" spans="2:11" x14ac:dyDescent="0.45">
      <c r="B2" s="4"/>
      <c r="C2" s="4"/>
      <c r="D2" s="4"/>
      <c r="E2" s="4"/>
      <c r="F2" s="4"/>
      <c r="G2" s="4">
        <v>0</v>
      </c>
      <c r="H2" s="4"/>
      <c r="I2" s="4"/>
      <c r="J2" s="4"/>
      <c r="K2"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2945-05CE-45AB-9DAA-79BF4096B1CE}">
  <dimension ref="A1:B8"/>
  <sheetViews>
    <sheetView showGridLines="0" workbookViewId="0"/>
  </sheetViews>
  <sheetFormatPr defaultRowHeight="20" customHeight="1" x14ac:dyDescent="0.45"/>
  <cols>
    <col min="1" max="1" width="17.33203125" customWidth="1"/>
    <col min="2" max="2" width="25.58203125" customWidth="1"/>
  </cols>
  <sheetData>
    <row r="1" spans="1:2" ht="20" customHeight="1" x14ac:dyDescent="0.45">
      <c r="A1" s="6" t="s">
        <v>87</v>
      </c>
      <c r="B1" s="7" t="str" cm="1">
        <f t="array" ref="B1">ReportRequest.EnvironmentName</f>
        <v>Environment name Value</v>
      </c>
    </row>
    <row r="2" spans="1:2" ht="20" customHeight="1" x14ac:dyDescent="0.45">
      <c r="A2" s="6" t="s">
        <v>88</v>
      </c>
      <c r="B2" s="7" t="str" cm="1">
        <f t="array" ref="B2">ReportRequest.CompanyName</f>
        <v>Company name Value</v>
      </c>
    </row>
    <row r="3" spans="1:2" ht="20" customHeight="1" x14ac:dyDescent="0.45">
      <c r="A3" s="6" t="s">
        <v>89</v>
      </c>
      <c r="B3" s="7" t="str" cm="1">
        <f t="array" ref="B3">ReportRequest.UserName</f>
        <v>User name Value</v>
      </c>
    </row>
    <row r="4" spans="1:2" ht="20" customHeight="1" x14ac:dyDescent="0.45">
      <c r="A4" s="6" t="s">
        <v>90</v>
      </c>
      <c r="B4" s="8" t="str" cm="1">
        <f t="array" ref="B4">ReportRequest.DateLocal</f>
        <v>Date (Local) Value</v>
      </c>
    </row>
    <row r="5" spans="1:2" ht="20" customHeight="1" x14ac:dyDescent="0.45">
      <c r="A5" s="6"/>
      <c r="B5" s="9" t="str" cm="1">
        <f t="array" ref="B5">ReportRequest.DateLocal</f>
        <v>Date (Local) Value</v>
      </c>
    </row>
    <row r="6" spans="1:2" ht="20" customHeight="1" x14ac:dyDescent="0.45">
      <c r="A6" s="6" t="s">
        <v>91</v>
      </c>
      <c r="B6" s="7" t="str" cm="1">
        <f t="array" ref="B6">ReportMetadata.ObjectCaption</f>
        <v>Object Caption Value</v>
      </c>
    </row>
    <row r="7" spans="1:2" ht="20" customHeight="1" x14ac:dyDescent="0.45">
      <c r="A7" s="6" t="s">
        <v>92</v>
      </c>
      <c r="B7" s="15" t="str">
        <f>HYPERLINK(_xlfn.CONCAT("https://learn.microsoft.com/dynamics365/business-central/reports/report-",ReportMetadata.ObjectID))</f>
        <v>https://learn.microsoft.com/dynamics365/business-central/reports/report-Object ID Value</v>
      </c>
    </row>
    <row r="8" spans="1:2" ht="20" customHeight="1" x14ac:dyDescent="0.45">
      <c r="A8" s="6"/>
      <c r="B8" s="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ECFC6-721B-43A9-AACC-9C2326FA0373}">
  <dimension ref="A1:AA2"/>
  <sheetViews>
    <sheetView topLeftCell="D1" workbookViewId="0"/>
  </sheetViews>
  <sheetFormatPr defaultRowHeight="16.5" x14ac:dyDescent="0.45"/>
  <cols>
    <col min="1" max="1" width="39" bestFit="1" customWidth="1"/>
    <col min="2" max="2" width="11.83203125" bestFit="1" customWidth="1"/>
    <col min="3" max="3" width="13" bestFit="1" customWidth="1"/>
    <col min="4" max="4" width="18.25" bestFit="1" customWidth="1"/>
    <col min="5" max="6" width="29.58203125" bestFit="1" customWidth="1"/>
    <col min="7" max="7" width="29.33203125" bestFit="1" customWidth="1"/>
    <col min="8" max="8" width="13.75" bestFit="1" customWidth="1"/>
    <col min="9" max="9" width="30.75" bestFit="1" customWidth="1"/>
    <col min="10" max="10" width="33.33203125" bestFit="1" customWidth="1"/>
    <col min="11" max="11" width="31.83203125" bestFit="1" customWidth="1"/>
    <col min="12" max="12" width="34.33203125" bestFit="1" customWidth="1"/>
    <col min="13" max="13" width="30" bestFit="1" customWidth="1"/>
    <col min="14" max="14" width="18.08203125" bestFit="1" customWidth="1"/>
    <col min="15" max="15" width="18.83203125" bestFit="1" customWidth="1"/>
    <col min="16" max="16" width="20.33203125" bestFit="1" customWidth="1"/>
    <col min="17" max="17" width="22.83203125" bestFit="1" customWidth="1"/>
    <col min="18" max="18" width="22.08203125" bestFit="1" customWidth="1"/>
    <col min="19" max="19" width="32.83203125" bestFit="1" customWidth="1"/>
    <col min="20" max="20" width="27.75" bestFit="1" customWidth="1"/>
    <col min="21" max="21" width="23" bestFit="1" customWidth="1"/>
    <col min="22" max="22" width="20" bestFit="1" customWidth="1"/>
    <col min="23" max="23" width="22.58203125" bestFit="1" customWidth="1"/>
    <col min="24" max="24" width="22.08203125" bestFit="1" customWidth="1"/>
    <col min="25" max="25" width="24" bestFit="1" customWidth="1"/>
    <col min="26" max="26" width="24.25" bestFit="1" customWidth="1"/>
    <col min="27" max="27" width="23.08203125" bestFit="1" customWidth="1"/>
    <col min="28" max="28" width="22.4140625" customWidth="1"/>
  </cols>
  <sheetData>
    <row r="1" spans="1:27" x14ac:dyDescent="0.45">
      <c r="A1" t="s">
        <v>64</v>
      </c>
      <c r="B1" t="s">
        <v>65</v>
      </c>
      <c r="C1" t="s">
        <v>66</v>
      </c>
      <c r="D1" t="s">
        <v>67</v>
      </c>
      <c r="E1" t="s">
        <v>68</v>
      </c>
      <c r="F1" t="s">
        <v>69</v>
      </c>
      <c r="G1" t="s">
        <v>70</v>
      </c>
      <c r="H1" t="s">
        <v>71</v>
      </c>
      <c r="I1" t="s">
        <v>72</v>
      </c>
      <c r="J1" t="s">
        <v>73</v>
      </c>
      <c r="K1" t="s">
        <v>74</v>
      </c>
      <c r="L1" t="s">
        <v>75</v>
      </c>
      <c r="M1" t="s">
        <v>76</v>
      </c>
      <c r="N1" t="s">
        <v>77</v>
      </c>
      <c r="O1" t="s">
        <v>78</v>
      </c>
      <c r="P1" t="s">
        <v>79</v>
      </c>
      <c r="Q1" t="s">
        <v>80</v>
      </c>
      <c r="R1" t="s">
        <v>81</v>
      </c>
      <c r="S1" t="s">
        <v>82</v>
      </c>
      <c r="T1" t="s">
        <v>83</v>
      </c>
      <c r="U1" t="s">
        <v>100</v>
      </c>
      <c r="V1" t="s">
        <v>102</v>
      </c>
      <c r="W1" t="s">
        <v>103</v>
      </c>
      <c r="X1" t="s">
        <v>104</v>
      </c>
      <c r="Y1" t="s">
        <v>105</v>
      </c>
      <c r="Z1" t="s">
        <v>106</v>
      </c>
      <c r="AA1" t="s">
        <v>107</v>
      </c>
    </row>
    <row r="2" spans="1:27" x14ac:dyDescent="0.45">
      <c r="A2" t="s">
        <v>84</v>
      </c>
      <c r="B2" t="s">
        <v>84</v>
      </c>
      <c r="C2" t="s">
        <v>84</v>
      </c>
      <c r="D2" t="s">
        <v>84</v>
      </c>
      <c r="E2" t="s">
        <v>84</v>
      </c>
      <c r="F2" t="b">
        <v>0</v>
      </c>
      <c r="G2" t="s">
        <v>84</v>
      </c>
      <c r="H2" t="s">
        <v>84</v>
      </c>
      <c r="I2" t="s">
        <v>84</v>
      </c>
      <c r="J2">
        <v>0</v>
      </c>
      <c r="K2" t="s">
        <v>84</v>
      </c>
      <c r="L2" t="s">
        <v>84</v>
      </c>
      <c r="M2" t="s">
        <v>84</v>
      </c>
      <c r="N2" t="s">
        <v>84</v>
      </c>
      <c r="O2" t="s">
        <v>84</v>
      </c>
      <c r="P2" t="s">
        <v>84</v>
      </c>
      <c r="Q2">
        <v>0</v>
      </c>
      <c r="R2" t="s">
        <v>84</v>
      </c>
      <c r="S2" t="s">
        <v>84</v>
      </c>
      <c r="T2" t="s">
        <v>84</v>
      </c>
      <c r="U2" t="s">
        <v>84</v>
      </c>
      <c r="V2" t="s">
        <v>84</v>
      </c>
      <c r="W2" t="s">
        <v>84</v>
      </c>
      <c r="X2" t="s">
        <v>84</v>
      </c>
      <c r="Y2">
        <v>0</v>
      </c>
      <c r="Z2" t="s">
        <v>84</v>
      </c>
      <c r="AA2" t="s">
        <v>84</v>
      </c>
    </row>
  </sheetData>
  <phoneticPr fontId="1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
  <sheetViews>
    <sheetView workbookViewId="0">
      <pane ySplit="1" topLeftCell="A2" activePane="bottomLeft" state="frozen"/>
      <selection pane="bottomLeft"/>
    </sheetView>
  </sheetViews>
  <sheetFormatPr defaultRowHeight="16.5" x14ac:dyDescent="0.45"/>
  <cols>
    <col min="1" max="1" width="18.4140625" customWidth="1"/>
  </cols>
  <sheetData>
    <row r="1" spans="1:20" x14ac:dyDescent="0.45">
      <c r="A1" t="s">
        <v>64</v>
      </c>
      <c r="B1" t="s">
        <v>65</v>
      </c>
      <c r="C1" t="s">
        <v>66</v>
      </c>
      <c r="D1" t="s">
        <v>67</v>
      </c>
      <c r="E1" t="s">
        <v>68</v>
      </c>
      <c r="F1" t="s">
        <v>69</v>
      </c>
      <c r="G1" t="s">
        <v>70</v>
      </c>
      <c r="H1" t="s">
        <v>71</v>
      </c>
      <c r="I1" t="s">
        <v>72</v>
      </c>
      <c r="J1" t="s">
        <v>73</v>
      </c>
      <c r="K1" t="s">
        <v>74</v>
      </c>
      <c r="L1" t="s">
        <v>75</v>
      </c>
      <c r="M1" t="s">
        <v>76</v>
      </c>
      <c r="N1" t="s">
        <v>77</v>
      </c>
      <c r="O1" t="s">
        <v>78</v>
      </c>
      <c r="P1" t="s">
        <v>79</v>
      </c>
      <c r="Q1" t="s">
        <v>80</v>
      </c>
      <c r="R1" t="s">
        <v>81</v>
      </c>
      <c r="S1" t="s">
        <v>82</v>
      </c>
      <c r="T1" t="s">
        <v>83</v>
      </c>
    </row>
    <row r="2" spans="1:20" x14ac:dyDescent="0.45">
      <c r="A2" t="s">
        <v>84</v>
      </c>
      <c r="B2" t="s">
        <v>84</v>
      </c>
      <c r="C2" t="s">
        <v>84</v>
      </c>
      <c r="D2" t="s">
        <v>84</v>
      </c>
      <c r="E2" t="s">
        <v>84</v>
      </c>
      <c r="F2" t="s">
        <v>85</v>
      </c>
      <c r="G2" t="s">
        <v>84</v>
      </c>
      <c r="H2" t="s">
        <v>84</v>
      </c>
      <c r="I2" t="s">
        <v>84</v>
      </c>
      <c r="J2" s="2">
        <v>0</v>
      </c>
      <c r="K2" t="s">
        <v>84</v>
      </c>
      <c r="L2" t="s">
        <v>84</v>
      </c>
      <c r="M2" t="s">
        <v>84</v>
      </c>
      <c r="N2" t="s">
        <v>84</v>
      </c>
      <c r="O2" t="s">
        <v>84</v>
      </c>
      <c r="P2" t="s">
        <v>84</v>
      </c>
      <c r="Q2" s="2">
        <v>0</v>
      </c>
      <c r="R2" t="s">
        <v>84</v>
      </c>
      <c r="S2" t="s">
        <v>84</v>
      </c>
      <c r="T2" t="s">
        <v>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5" x14ac:dyDescent="0.45"/>
  <cols>
    <col min="1" max="1" width="16.9140625" customWidth="1"/>
    <col min="2" max="2" width="11.4140625" customWidth="1"/>
  </cols>
  <sheetData>
    <row r="1" spans="1:3" x14ac:dyDescent="0.45">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B2"/>
    </sheetView>
  </sheetViews>
  <sheetFormatPr defaultRowHeight="16.5" x14ac:dyDescent="0.45"/>
  <cols>
    <col min="1" max="1" width="10.1640625" customWidth="1"/>
    <col min="2" max="2" width="17.4140625" customWidth="1"/>
  </cols>
  <sheetData>
    <row r="1" spans="1:2" x14ac:dyDescent="0.45">
      <c r="A1" t="s">
        <v>3</v>
      </c>
      <c r="B1" t="s">
        <v>1</v>
      </c>
    </row>
    <row r="2" spans="1:2" x14ac:dyDescent="0.45">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D16" sqref="D16"/>
    </sheetView>
  </sheetViews>
  <sheetFormatPr defaultRowHeight="16.5" x14ac:dyDescent="0.45"/>
  <cols>
    <col min="1" max="1" width="25.6640625" customWidth="1"/>
    <col min="2" max="2" width="40.6640625" customWidth="1"/>
    <col min="3" max="3" width="5.6640625" customWidth="1"/>
    <col min="4" max="4" width="25.6640625" customWidth="1"/>
    <col min="5" max="5" width="40.6640625" customWidth="1"/>
    <col min="6" max="6" width="5.6640625" customWidth="1"/>
    <col min="7" max="7" width="25.6640625" customWidth="1"/>
    <col min="8" max="8" width="40.6640625" customWidth="1"/>
    <col min="9" max="9" width="5.6640625" customWidth="1"/>
    <col min="10" max="10" width="40.6640625" customWidth="1"/>
    <col min="11" max="11" width="25.6640625" customWidth="1"/>
  </cols>
  <sheetData>
    <row r="1" spans="1:11" x14ac:dyDescent="0.45">
      <c r="A1" s="1" t="s">
        <v>6</v>
      </c>
      <c r="B1" s="1" t="s">
        <v>7</v>
      </c>
      <c r="D1" s="1" t="s">
        <v>26</v>
      </c>
      <c r="E1" s="1" t="s">
        <v>27</v>
      </c>
      <c r="G1" s="1" t="s">
        <v>4</v>
      </c>
      <c r="H1" s="1" t="s">
        <v>5</v>
      </c>
      <c r="J1" s="1" t="s">
        <v>45</v>
      </c>
      <c r="K1" s="1" t="s">
        <v>46</v>
      </c>
    </row>
    <row r="2" spans="1:11" x14ac:dyDescent="0.45">
      <c r="A2" t="s">
        <v>8</v>
      </c>
      <c r="B2" t="s">
        <v>9</v>
      </c>
      <c r="D2" t="s">
        <v>48</v>
      </c>
      <c r="E2" t="s">
        <v>49</v>
      </c>
      <c r="G2" t="s">
        <v>4</v>
      </c>
      <c r="H2" t="s">
        <v>5</v>
      </c>
      <c r="J2" t="s">
        <v>45</v>
      </c>
      <c r="K2" t="s">
        <v>46</v>
      </c>
    </row>
    <row r="3" spans="1:11" x14ac:dyDescent="0.45">
      <c r="A3" t="s">
        <v>10</v>
      </c>
      <c r="B3" t="s">
        <v>11</v>
      </c>
      <c r="D3" t="s">
        <v>28</v>
      </c>
      <c r="E3" t="s">
        <v>29</v>
      </c>
    </row>
    <row r="4" spans="1:11" x14ac:dyDescent="0.45">
      <c r="A4" t="s">
        <v>12</v>
      </c>
      <c r="B4" t="s">
        <v>13</v>
      </c>
      <c r="D4" t="s">
        <v>30</v>
      </c>
      <c r="E4" t="s">
        <v>31</v>
      </c>
    </row>
    <row r="5" spans="1:11" x14ac:dyDescent="0.45">
      <c r="A5" t="s">
        <v>14</v>
      </c>
      <c r="B5" t="s">
        <v>15</v>
      </c>
      <c r="D5" t="s">
        <v>32</v>
      </c>
      <c r="E5" t="s">
        <v>33</v>
      </c>
    </row>
    <row r="6" spans="1:11" x14ac:dyDescent="0.45">
      <c r="A6" t="s">
        <v>16</v>
      </c>
      <c r="B6" t="s">
        <v>17</v>
      </c>
      <c r="D6" t="s">
        <v>34</v>
      </c>
      <c r="E6" t="s">
        <v>35</v>
      </c>
    </row>
    <row r="7" spans="1:11" x14ac:dyDescent="0.45">
      <c r="A7" t="s">
        <v>18</v>
      </c>
      <c r="B7" t="s">
        <v>19</v>
      </c>
      <c r="D7" t="s">
        <v>50</v>
      </c>
      <c r="E7" t="s">
        <v>51</v>
      </c>
    </row>
    <row r="8" spans="1:11" x14ac:dyDescent="0.45">
      <c r="A8" t="s">
        <v>58</v>
      </c>
      <c r="B8" t="s">
        <v>59</v>
      </c>
      <c r="D8" t="s">
        <v>36</v>
      </c>
      <c r="E8" t="s">
        <v>37</v>
      </c>
    </row>
    <row r="9" spans="1:11" x14ac:dyDescent="0.45">
      <c r="A9" t="s">
        <v>20</v>
      </c>
      <c r="B9" t="s">
        <v>21</v>
      </c>
      <c r="D9" t="s">
        <v>38</v>
      </c>
      <c r="E9" t="s">
        <v>39</v>
      </c>
    </row>
    <row r="10" spans="1:11" x14ac:dyDescent="0.45">
      <c r="A10" t="s">
        <v>22</v>
      </c>
      <c r="B10" t="s">
        <v>23</v>
      </c>
      <c r="D10" t="s">
        <v>40</v>
      </c>
      <c r="E10" t="s">
        <v>41</v>
      </c>
    </row>
    <row r="11" spans="1:11" x14ac:dyDescent="0.45">
      <c r="A11" t="s">
        <v>24</v>
      </c>
      <c r="B11" t="s">
        <v>25</v>
      </c>
      <c r="D11" t="s">
        <v>60</v>
      </c>
      <c r="E11" t="s">
        <v>61</v>
      </c>
    </row>
    <row r="12" spans="1:11" x14ac:dyDescent="0.45">
      <c r="D12" t="s">
        <v>62</v>
      </c>
      <c r="E12" t="s">
        <v>63</v>
      </c>
    </row>
    <row r="13" spans="1:11" x14ac:dyDescent="0.45">
      <c r="D13" t="s">
        <v>0</v>
      </c>
      <c r="E13" t="s">
        <v>42</v>
      </c>
    </row>
    <row r="14" spans="1:11" x14ac:dyDescent="0.45">
      <c r="D14" t="s">
        <v>43</v>
      </c>
      <c r="E14" t="s">
        <v>44</v>
      </c>
    </row>
    <row r="15" spans="1:11" x14ac:dyDescent="0.45">
      <c r="D15" t="s">
        <v>52</v>
      </c>
      <c r="E15" t="s">
        <v>53</v>
      </c>
    </row>
    <row r="16" spans="1:11" x14ac:dyDescent="0.45">
      <c r="D16" t="s">
        <v>54</v>
      </c>
      <c r="E16" t="s">
        <v>55</v>
      </c>
    </row>
    <row r="17" spans="4:5" x14ac:dyDescent="0.45">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DF457A-9A65-4BEB-AB63-A3E74007E255}">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$ItemVendorCatalogPrintLbl$</vt:lpstr>
      <vt:lpstr>$ItemVendorCatalogAnalysisLbl$</vt:lpstr>
      <vt:lpstr>$AboutTheReportLbl$</vt:lpstr>
      <vt:lpstr>ItemVendorCatalog_Query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Dan Williams</cp:lastModifiedBy>
  <cp:lastPrinted>2025-11-13T01:11:57Z</cp:lastPrinted>
  <dcterms:modified xsi:type="dcterms:W3CDTF">2025-11-18T23:42:43Z</dcterms:modified>
</cp:coreProperties>
</file>
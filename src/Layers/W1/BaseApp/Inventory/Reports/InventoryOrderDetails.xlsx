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Repos\Gold\Yellowstone.BaseApplication\App\Layers\W1\BaseApp\Inventory\Reports\"/>
    </mc:Choice>
  </mc:AlternateContent>
  <xr:revisionPtr revIDLastSave="0" documentId="13_ncr:1_{25E65ECA-FD4F-44CE-8CEE-CF14F4F38CB7}" xr6:coauthVersionLast="47" xr6:coauthVersionMax="47" xr10:uidLastSave="{00000000-0000-0000-0000-000000000000}"/>
  <bookViews>
    <workbookView xWindow="-108" yWindow="-108" windowWidth="30936" windowHeight="16776" xr2:uid="{00000000-000D-0000-FFFF-FFFF00000000}"/>
  </bookViews>
  <sheets>
    <sheet name="$InventoryOrderDetailsPrint$" sheetId="11" r:id="rId1"/>
    <sheet name="$InvOrderDetailsAnalysis$" sheetId="8" r:id="rId2"/>
    <sheet name="$AboutTheReportLabel$" sheetId="10" r:id="rId3"/>
    <sheet name="InventoryOrderDetails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ExternalData_1" localSheetId="3" hidden="1">InventoryOrderDetails_Query!$A$1:$V$2</definedName>
    <definedName name="ReportMetadata.AboutThisReportText" comment="Use this function to get the About This Report Text from the ReportMetadataValues table in the Aggregated Metadata worksheet" localSheetId="0">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0">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0">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0">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0">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0">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0">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0">_xlfn.XLOOKUP("Object ID",ReportMetadataValues[[#All],[Report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0">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0">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0">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0">_xlfn.XLOOKUP("Company Id",ReportRequestValues[[#All],[Request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0">_xlfn.XLOOKUP("Company name",ReportRequestValues[[#All],[Request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0">_xlfn.XLOOKUP("Date",ReportRequestValues[[#All],[Request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0">_xlfn.XLOOKUP("Date (Local)",ReportRequestValues[[#All],[Request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0">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0">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0">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0">_xlfn.XLOOKUP("Language",ReportRequestValues[[#All],[Request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0">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0">_xlfn.XLOOKUP("Layout id",ReportRequestValues[[#All],[Request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0">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0">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0">_xlfn.XLOOKUP("Tenant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0">_xlfn.XLOOKUP("User name",ReportRequestValues[[#All],[Request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0">_xlfn.XLOOKUP("UTC Offset",ReportRequestValues[[#All],[Request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No_Item">#N/A</definedName>
    <definedName name="Slicer_SalesLineDocumentNo">#N/A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1" l="1" a="1"/>
  <c r="M2" i="11" s="1"/>
  <c r="L4" i="11" a="1"/>
  <c r="L4" i="11" s="1"/>
  <c r="M4" i="11" a="1"/>
  <c r="M4" i="11" s="1"/>
  <c r="B7" i="10"/>
  <c r="B6" i="10" a="1"/>
  <c r="B6" i="10" s="1"/>
  <c r="B5" i="10" a="1"/>
  <c r="B5" i="10" s="1"/>
  <c r="B4" i="10" a="1"/>
  <c r="B4" i="10" s="1"/>
  <c r="B3" i="10" a="1"/>
  <c r="B3" i="10" s="1"/>
  <c r="B2" i="10" a="1"/>
  <c r="B2" i="10" s="1"/>
  <c r="B1" i="10" a="1"/>
  <c r="B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0402E0-DC57-455C-8498-99011BDC014D}" keepAlive="1" name="Query - InventoryOrderDetails_Query" description="Connection to the 'InventoryOrderDetails_Query' query in the workbook." type="5" refreshedVersion="8" refreshOnLoad="1" saveData="1">
    <dbPr connection="Provider=Microsoft.Mashup.OleDb.1;Data Source=$Workbook$;Location=InventoryOrderDetails_Query;Extended Properties=&quot;&quot;" command="SELECT * FROM [InventoryOrderDetail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<sst xmlns="http://schemas.openxmlformats.org/spreadsheetml/2006/main" count="168" uniqueCount="108">
  <si>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</si>
  <si>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</si>
  <si>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</si>
  <si>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</si>
  <si>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</si>
  <si>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</si>
  <si>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</si>
  <si>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</si>
  <si>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</si>
  <si>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</si>
  <si>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</si>
  <si>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</si>
  <si>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</si>
  <si>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</si>
  <si>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</si>
  <si>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</si>
  <si>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</si>
  <si>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</si>
  <si>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</si>
  <si>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</si>
  <si>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</si>
  <si>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</si>
  <si>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</si>
  <si>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</si>
  <si>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</si>
  <si>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</si>
  <si>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</si>
  <si>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</si>
  <si>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</si>
  <si>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</si>
  <si>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</si>
  <si>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</si>
  <si>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</si>
  <si>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</si>
  <si>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</si>
  <si>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</si>
  <si>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</si>
  <si>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</si>
  <si>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</si>
  <si>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</si>
  <si>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</si>
  <si>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</si>
  <si>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</si>
  <si>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</si>
  <si>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</si>
  <si>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</si>
  <si>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</si>
  <si>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</si>
  <si>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</si>
  <si>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</si>
  <si>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</si>
  <si>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</si>
  <si>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</si>
  <si>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</si>
  <si>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</si>
  <si>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</si>
  <si>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</si>
  <si>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</si>
  <si>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</si>
  <si>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</si>
  <si>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</si>
  <si>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</si>
  <si>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</si>
  <si>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</si>
  <si>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ItemTableCaptItemFilter</t>
  </si>
  <si>
    <t>ItemFilter</t>
  </si>
  <si>
    <t>StrSbStNoSalOdrLnSalLnFlt</t>
  </si>
  <si>
    <t>SalesLineFilter</t>
  </si>
  <si>
    <t>No_Item</t>
  </si>
  <si>
    <t>Description_Item</t>
  </si>
  <si>
    <t>OutstandingAmt_SalesLine</t>
  </si>
  <si>
    <t>SalesLineDocumentNo</t>
  </si>
  <si>
    <t>SalesHeaderBilltoName</t>
  </si>
  <si>
    <t>ShipmentDate_SalesLine</t>
  </si>
  <si>
    <t>Quantity_SalesLine</t>
  </si>
  <si>
    <t>OutstandingQty_SalesLine</t>
  </si>
  <si>
    <t>BackOrderQty</t>
  </si>
  <si>
    <t>SalesLineUnitPrice</t>
  </si>
  <si>
    <t>SalesLineLineDiscount</t>
  </si>
  <si>
    <t>InvDiscountAmt_SalesLine</t>
  </si>
  <si>
    <t>OutstandingAmt1_SalesLine</t>
  </si>
  <si>
    <t>SalesLineDescription</t>
  </si>
  <si>
    <t/>
  </si>
  <si>
    <t>Grand Total</t>
  </si>
  <si>
    <t>$InventoryOrderDetails$</t>
  </si>
  <si>
    <t>$No_Item$</t>
  </si>
  <si>
    <t>$Description_Item$</t>
  </si>
  <si>
    <t>$SalesLineDocumentNo$</t>
  </si>
  <si>
    <t>$SalesHeaderBilltoName$</t>
  </si>
  <si>
    <t>$Quantity_SalesLine$</t>
  </si>
  <si>
    <t>$OutstandingQty_SalesLine$</t>
  </si>
  <si>
    <t>$BackOrderQtyLabel$</t>
  </si>
  <si>
    <t>$SalesLineUnitPrice$</t>
  </si>
  <si>
    <t>$SalesLineLineDiscount$</t>
  </si>
  <si>
    <t>$InvDiscountAmt_SalesLine$</t>
  </si>
  <si>
    <t>$OutstandingAmt1_SalesLine$</t>
  </si>
  <si>
    <t>$EnvironmentLabel$</t>
  </si>
  <si>
    <t>$CompanyLabel$</t>
  </si>
  <si>
    <t>$UserLabel$</t>
  </si>
  <si>
    <t>$RunOnLabel$</t>
  </si>
  <si>
    <t>$ReportNameLabel$</t>
  </si>
  <si>
    <t>$DocumentationLabel$</t>
  </si>
  <si>
    <t>$ShipmentDateLabel$</t>
  </si>
  <si>
    <t>InventoryPostingGroup_Item</t>
  </si>
  <si>
    <t>AssemblyBOM_Item</t>
  </si>
  <si>
    <t>InventoryPostingGroup_Item2</t>
  </si>
  <si>
    <t>AssemblyBOM_Item3</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</si>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</sst>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7" x14ac:knownFonts="1">
    <font>
      <sz val="11"/>
      <name val="Segoe UI"/>
      <family val="2"/>
      <scheme val="minor"/>
    </font>
    <font>
      <b/>
      <sz val="11"/>
      <name val="Segoe UI"/>
      <family val="2"/>
      <scheme val="minor"/>
    </font>
    <font>
      <b/>
      <sz val="15"/>
      <color theme="1"/>
      <name val="Segoe UI"/>
      <family val="2"/>
      <scheme val="minor"/>
    </font>
    <font>
      <b/>
      <sz val="18"/>
      <color theme="1"/>
      <name val="Segoe UI Semibold"/>
      <family val="2"/>
    </font>
    <font>
      <b/>
      <sz val="13"/>
      <color theme="1"/>
      <name val="Segoe UI"/>
      <family val="2"/>
      <scheme val="minor"/>
    </font>
    <font>
      <b/>
      <sz val="10"/>
      <color theme="1"/>
      <name val="Segoe UI Semibold"/>
      <family val="2"/>
    </font>
    <font>
      <sz val="10"/>
      <name val="Segoe UI"/>
      <family val="2"/>
      <scheme val="minor"/>
    </font>
    <font>
      <sz val="10"/>
      <color rgb="FF212121"/>
      <name val="Segoe UI"/>
      <family val="2"/>
      <scheme val="minor"/>
    </font>
    <font>
      <sz val="10"/>
      <color theme="1"/>
      <name val="Segoe UI"/>
      <family val="2"/>
      <scheme val="minor"/>
    </font>
    <font>
      <sz val="10"/>
      <name val="Segoe UI"/>
      <family val="2"/>
    </font>
    <font>
      <sz val="14"/>
      <name val="Segoe UI"/>
      <family val="2"/>
      <scheme val="minor"/>
    </font>
    <font>
      <u/>
      <sz val="11"/>
      <color theme="10"/>
      <name val="Segoe UI"/>
      <family val="2"/>
      <scheme val="minor"/>
    </font>
    <font>
      <sz val="10"/>
      <color theme="1"/>
      <name val="Segoe UI Semibold"/>
      <family val="2"/>
      <scheme val="major"/>
    </font>
    <font>
      <sz val="8"/>
      <name val="Segoe UI"/>
      <family val="2"/>
      <scheme val="minor"/>
    </font>
    <font>
      <u/>
      <sz val="10"/>
      <color theme="10"/>
      <name val="Segoe UI"/>
      <family val="2"/>
      <scheme val="minor"/>
    </font>
    <font>
      <sz val="10"/>
      <name val="Segoe UI Semibold"/>
      <scheme val="major"/>
    </font>
    <font>
      <sz val="10"/>
      <name val="Segoe UI Semibold"/>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2" fillId="0" borderId="1" applyNumberFormat="0" applyFill="0" applyBorder="0" applyAlignment="0" applyProtection="0"/>
    <xf numFmtId="0" fontId="4" fillId="0" borderId="2" applyNumberFormat="0" applyFill="0" applyAlignment="0" applyProtection="0"/>
    <xf numFmtId="0" fontId="11" fillId="0" borderId="0" applyNumberFormat="0" applyFill="0" applyBorder="0" applyAlignment="0" applyProtection="0"/>
  </cellStyleXfs>
  <cellXfs count="28">
    <xf numFmtId="0" fontId="0" fillId="0" borderId="0" xfId="0"/>
    <xf numFmtId="49" fontId="1" fillId="2" borderId="0" xfId="0" applyNumberFormat="1" applyFont="1" applyFill="1"/>
    <xf numFmtId="4" fontId="0" fillId="0" borderId="0" xfId="0" applyNumberFormat="1"/>
    <xf numFmtId="0" fontId="3" fillId="0" borderId="0" xfId="1" applyFont="1" applyBorder="1" applyAlignment="1">
      <alignment vertical="center"/>
    </xf>
    <xf numFmtId="0" fontId="0" fillId="0" borderId="0" xfId="0" applyAlignment="1">
      <alignment vertical="center"/>
    </xf>
    <xf numFmtId="0" fontId="5" fillId="0" borderId="2" xfId="2" applyFont="1" applyAlignment="1">
      <alignment horizontal="right" vertical="center"/>
    </xf>
    <xf numFmtId="0" fontId="6" fillId="0" borderId="0" xfId="0" applyFont="1" applyAlignment="1">
      <alignment horizontal="left" vertical="center"/>
    </xf>
    <xf numFmtId="0" fontId="7" fillId="0" borderId="0" xfId="0" applyFont="1" applyAlignment="1">
      <alignment horizontal="right" vertical="center"/>
    </xf>
    <xf numFmtId="164" fontId="8" fillId="0" borderId="0" xfId="0" applyNumberFormat="1" applyFont="1" applyAlignment="1">
      <alignment horizontal="right" vertical="center"/>
    </xf>
    <xf numFmtId="0" fontId="6" fillId="0" borderId="0" xfId="0" applyFont="1" applyAlignment="1">
      <alignment vertical="center"/>
    </xf>
    <xf numFmtId="0" fontId="10" fillId="0" borderId="0" xfId="0" applyFont="1" applyAlignment="1">
      <alignment vertical="center"/>
    </xf>
    <xf numFmtId="2" fontId="9" fillId="0" borderId="0" xfId="0" applyNumberFormat="1" applyFont="1" applyAlignment="1">
      <alignment vertical="center"/>
    </xf>
    <xf numFmtId="0" fontId="12" fillId="0" borderId="0" xfId="0" applyFont="1" applyAlignment="1">
      <alignmen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2" fontId="6" fillId="0" borderId="0" xfId="0" applyNumberFormat="1" applyFont="1" applyAlignment="1">
      <alignment vertical="center"/>
    </xf>
    <xf numFmtId="2" fontId="6" fillId="0" borderId="0" xfId="0" applyNumberFormat="1" applyFont="1" applyAlignment="1">
      <alignment horizontal="right" vertical="center"/>
    </xf>
    <xf numFmtId="0" fontId="10" fillId="0" borderId="0" xfId="0" applyFont="1"/>
    <xf numFmtId="0" fontId="14" fillId="0" borderId="0" xfId="3" applyFont="1" applyAlignment="1">
      <alignment horizontal="left" vertical="center"/>
    </xf>
    <xf numFmtId="0" fontId="0" fillId="0" borderId="0" xfId="0" applyAlignment="1">
      <alignment horizontal="right"/>
    </xf>
    <xf numFmtId="0" fontId="15" fillId="0" borderId="0" xfId="0" pivotButton="1" applyFont="1" applyAlignment="1">
      <alignment vertical="center"/>
    </xf>
    <xf numFmtId="0" fontId="15" fillId="0" borderId="0" xfId="0" applyFont="1" applyAlignment="1">
      <alignment horizontal="right" vertical="center"/>
    </xf>
    <xf numFmtId="0" fontId="15" fillId="0" borderId="0" xfId="0" pivotButton="1" applyFont="1" applyAlignment="1">
      <alignment horizontal="right" vertical="center"/>
    </xf>
    <xf numFmtId="0" fontId="15" fillId="0" borderId="0" xfId="0" applyFont="1" applyAlignment="1">
      <alignment vertical="center"/>
    </xf>
    <xf numFmtId="0" fontId="16" fillId="0" borderId="0" xfId="0" pivotButton="1" applyFont="1" applyAlignment="1">
      <alignment vertical="center"/>
    </xf>
    <xf numFmtId="0" fontId="16" fillId="0" borderId="0" xfId="0" pivotButton="1" applyFont="1" applyAlignment="1">
      <alignment horizontal="right" vertical="center"/>
    </xf>
    <xf numFmtId="0" fontId="16" fillId="0" borderId="0" xfId="0" applyFont="1" applyAlignment="1">
      <alignment horizontal="right" vertical="center"/>
    </xf>
    <xf numFmtId="0" fontId="15" fillId="0" borderId="0" xfId="0" applyNumberFormat="1" applyFont="1" applyAlignment="1">
      <alignment vertical="center"/>
    </xf>
  </cellXfs>
  <cellStyles count="4">
    <cellStyle name="Heading 1 2" xfId="1" xr:uid="{EB4F7C31-F3DA-4AE3-A7D3-76066F9D0ABB}"/>
    <cellStyle name="Heading 2 2" xfId="2" xr:uid="{51E735AA-FDA2-4637-91D0-6A699D891364}"/>
    <cellStyle name="Hyperlink" xfId="3" builtinId="8"/>
    <cellStyle name="Normal" xfId="0" builtinId="0"/>
  </cellStyles>
  <dxfs count="322">
    <dxf>
      <font>
        <name val="Segoe UI"/>
        <family val="2"/>
        <scheme val="minor"/>
      </font>
    </dxf>
    <dxf>
      <font>
        <name val="Segoe UI"/>
        <family val="2"/>
        <scheme val="minor"/>
      </font>
    </dxf>
    <dxf>
      <font>
        <sz val="10"/>
        <name val="Segoe UI Semibold"/>
        <scheme val="none"/>
      </font>
      <alignment vertical="center" wrapText="1"/>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font>
        <sz val="10"/>
      </font>
      <numFmt numFmtId="2" formatCode="0.00"/>
    </dxf>
    <dxf>
      <font>
        <sz val="10"/>
      </font>
      <numFmt numFmtId="2" formatCode="0.00"/>
    </dxf>
    <dxf>
      <alignment vertical="center"/>
    </dxf>
    <dxf>
      <alignment vertical="center"/>
    </dxf>
    <dxf>
      <font>
        <sz val="10"/>
        <name val="Segoe UI Semibold"/>
        <scheme val="none"/>
      </font>
      <alignment vertical="center" wrapText="1"/>
    </dxf>
    <dxf>
      <font>
        <sz val="10"/>
        <name val="Segoe UI Semibold"/>
        <scheme val="none"/>
      </font>
      <alignment vertical="center" wrapText="1"/>
    </dxf>
    <dxf>
      <font>
        <sz val="10"/>
        <name val="Segoe UI Semibold"/>
        <scheme val="none"/>
      </font>
      <alignment vertical="center" wrapText="1"/>
    </dxf>
    <dxf>
      <font>
        <sz val="10"/>
        <name val="Segoe UI Semibold"/>
        <scheme val="none"/>
      </font>
      <alignment vertical="center" wrapText="1"/>
    </dxf>
    <dxf>
      <font>
        <sz val="10"/>
      </font>
      <numFmt numFmtId="2" formatCode="0.00"/>
      <alignment vertical="center"/>
    </dxf>
    <dxf>
      <font>
        <sz val="10"/>
      </font>
      <numFmt numFmtId="2" formatCode="0.00"/>
      <alignment vertical="center"/>
    </dxf>
    <dxf>
      <font>
        <sz val="10"/>
      </font>
      <numFmt numFmtId="2" formatCode="0.00"/>
      <alignment vertical="center"/>
    </dxf>
    <dxf>
      <font>
        <sz val="10"/>
      </font>
      <numFmt numFmtId="2" formatCode="0.00"/>
      <alignment vertic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right"/>
    </dxf>
    <dxf>
      <alignment horizontal="right"/>
    </dxf>
    <dxf>
      <alignment horizontal="right"/>
    </dxf>
    <dxf>
      <alignment horizontal="righ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font>
        <sz val="10"/>
      </font>
    </dxf>
    <dxf>
      <font>
        <sz val="10"/>
      </font>
    </dxf>
    <dxf>
      <font>
        <sz val="10"/>
      </font>
    </dxf>
    <dxf>
      <alignment horizontal="right"/>
    </dxf>
    <dxf>
      <alignment horizontal="right"/>
    </dxf>
    <dxf>
      <alignment horizontal="right"/>
    </dxf>
    <dxf>
      <alignment wrapText="1"/>
    </dxf>
    <dxf>
      <font>
        <name val="Segoe UI Semibold"/>
        <scheme val="major"/>
      </font>
    </dxf>
    <dxf>
      <font>
        <sz val="10"/>
      </font>
    </dxf>
    <dxf>
      <font>
        <name val="Segoe UI Semibold"/>
        <scheme val="major"/>
      </font>
    </dxf>
    <dxf>
      <font>
        <sz val="10"/>
      </font>
    </dxf>
    <dxf>
      <font>
        <name val="Segoe UI Semibold"/>
        <scheme val="major"/>
      </font>
    </dxf>
    <dxf>
      <font>
        <sz val="10"/>
      </font>
    </dxf>
    <dxf>
      <font>
        <name val="Segoe UI Semibold"/>
        <scheme val="major"/>
      </font>
    </dxf>
    <dxf>
      <font>
        <sz val="10"/>
      </font>
    </dxf>
    <dxf>
      <font>
        <name val="Segoe UI Semibold"/>
        <scheme val="major"/>
      </font>
    </dxf>
    <dxf>
      <font>
        <sz val="10"/>
      </font>
    </dxf>
    <dxf>
      <font>
        <sz val="10"/>
      </font>
    </dxf>
    <dxf>
      <font>
        <name val="Segoe UI Semibold"/>
        <scheme val="major"/>
      </font>
    </dxf>
    <dxf>
      <font>
        <sz val="10"/>
      </font>
    </dxf>
    <dxf>
      <font>
        <name val="Segoe UI Semibold"/>
        <scheme val="major"/>
      </font>
    </dxf>
    <dxf>
      <font>
        <sz val="10"/>
      </font>
    </dxf>
    <dxf>
      <font>
        <name val="Segoe UI Semibold"/>
        <scheme val="major"/>
      </font>
    </dxf>
    <dxf>
      <alignment vertical="center"/>
    </dxf>
    <dxf>
      <font>
        <sz val="10"/>
      </font>
    </dxf>
    <dxf>
      <alignment vertical="center"/>
    </dxf>
    <dxf>
      <font>
        <sz val="10"/>
      </font>
    </dxf>
    <dxf>
      <alignment vertical="center"/>
    </dxf>
    <dxf>
      <font>
        <sz val="10"/>
      </font>
    </dxf>
    <dxf>
      <alignment vertical="center"/>
    </dxf>
    <dxf>
      <font>
        <sz val="10"/>
      </font>
    </dxf>
    <dxf>
      <alignment vertical="center"/>
    </dxf>
    <dxf>
      <font>
        <sz val="10"/>
      </font>
    </dxf>
    <dxf>
      <font>
        <sz val="10"/>
      </font>
    </dxf>
    <dxf>
      <alignment vertical="center"/>
    </dxf>
    <dxf>
      <font>
        <sz val="10"/>
      </font>
      <numFmt numFmtId="2" formatCode="0.00"/>
      <alignment vertical="center"/>
    </dxf>
    <dxf>
      <numFmt numFmtId="2" formatCode="0.00"/>
    </dxf>
    <dxf>
      <alignment vertical="center"/>
    </dxf>
    <dxf>
      <alignment horizontal="right"/>
    </dxf>
    <dxf>
      <font>
        <sz val="10"/>
      </font>
    </dxf>
    <dxf>
      <font>
        <sz val="10"/>
      </font>
    </dxf>
    <dxf>
      <font>
        <sz val="10"/>
        <name val="Segoe UI Semibold"/>
        <scheme val="major"/>
      </font>
      <alignment horizontal="right" vertical="center" wrapText="1"/>
    </dxf>
    <dxf>
      <font>
        <sz val="10"/>
        <name val="Segoe UI Semibold"/>
        <scheme val="major"/>
      </font>
      <alignment horizontal="right" vertical="center" wrapText="1"/>
    </dxf>
    <dxf>
      <font>
        <sz val="10"/>
        <name val="Segoe UI Semibold"/>
        <scheme val="major"/>
      </font>
      <alignment horizontal="right" vertical="center" wrapText="1"/>
    </dxf>
    <dxf>
      <font>
        <sz val="10"/>
        <name val="Segoe UI Semibold"/>
        <scheme val="major"/>
      </font>
      <alignment horizontal="right" vertical="center" wrapText="1"/>
    </dxf>
    <dxf>
      <font>
        <sz val="10"/>
      </font>
      <numFmt numFmtId="2" formatCode="0.00"/>
      <alignment horizontal="right" vertical="center"/>
    </dxf>
    <dxf>
      <font>
        <sz val="10"/>
      </font>
      <numFmt numFmtId="2" formatCode="0.00"/>
      <alignment horizontal="right" vertical="center"/>
    </dxf>
    <dxf>
      <font>
        <sz val="10"/>
      </font>
      <numFmt numFmtId="2" formatCode="0.00"/>
      <alignment horizontal="right" vertical="center"/>
    </dxf>
    <dxf>
      <font>
        <sz val="10"/>
      </font>
      <numFmt numFmtId="2" formatCode="0.00"/>
      <alignment horizontal="right" vertical="center"/>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font>
        <sz val="10"/>
      </font>
    </dxf>
    <dxf>
      <font>
        <sz val="10"/>
      </font>
    </dxf>
    <dxf>
      <font>
        <sz val="10"/>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4" formatCode="#,##0.00"/>
    </dxf>
    <dxf>
      <numFmt numFmtId="4" formatCode="#,##0.00"/>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0"/>
      </font>
    </dxf>
    <dxf>
      <font>
        <sz val="10"/>
      </font>
    </dxf>
    <dxf>
      <font>
        <sz val="10"/>
      </font>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horizontal="right"/>
    </dxf>
    <dxf>
      <alignment horizontal="right"/>
    </dxf>
    <dxf>
      <alignment horizontal="general"/>
    </dxf>
    <dxf>
      <alignment horizontal="general"/>
    </dxf>
    <dxf>
      <alignment horizontal="general"/>
    </dxf>
    <dxf>
      <alignment horizontal="general"/>
    </dxf>
    <dxf>
      <alignment horizontal="general"/>
    </dxf>
    <dxf>
      <alignment horizontal="general"/>
    </dxf>
    <dxf>
      <alignment horizontal="general"/>
    </dxf>
    <dxf>
      <font>
        <sz val="10"/>
      </font>
      <numFmt numFmtId="2" formatCode="0.00"/>
      <alignment vertical="center"/>
    </dxf>
    <dxf>
      <font>
        <sz val="10"/>
      </font>
      <numFmt numFmtId="2" formatCode="0.00"/>
      <alignment vertical="center"/>
    </dxf>
    <dxf>
      <font>
        <sz val="10"/>
      </font>
      <numFmt numFmtId="2" formatCode="0.00"/>
      <alignment vertical="center"/>
    </dxf>
    <dxf>
      <font>
        <sz val="10"/>
      </font>
      <numFmt numFmtId="2" formatCode="0.00"/>
      <alignment vertical="center"/>
    </dxf>
    <dxf>
      <font>
        <sz val="10"/>
        <name val="Segoe UI Semibold"/>
        <scheme val="none"/>
      </font>
      <alignment vertical="center" wrapText="1"/>
    </dxf>
    <dxf>
      <font>
        <sz val="10"/>
        <name val="Segoe UI Semibold"/>
        <scheme val="none"/>
      </font>
      <alignment vertical="center" wrapText="1"/>
    </dxf>
    <dxf>
      <font>
        <sz val="10"/>
        <name val="Segoe UI Semibold"/>
        <scheme val="none"/>
      </font>
      <alignment vertical="center" wrapText="1"/>
    </dxf>
    <dxf>
      <font>
        <sz val="10"/>
        <name val="Segoe UI Semibold"/>
        <scheme val="none"/>
      </font>
      <alignment vertical="center" wrapText="1"/>
    </dxf>
    <dxf>
      <alignment vertical="center"/>
    </dxf>
    <dxf>
      <alignment vertical="center"/>
    </dxf>
    <dxf>
      <font>
        <sz val="10"/>
      </font>
      <numFmt numFmtId="2" formatCode="0.00"/>
    </dxf>
    <dxf>
      <font>
        <sz val="10"/>
      </font>
      <numFmt numFmtId="2" formatCode="0.00"/>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dxf>
    <dxf>
      <font>
        <sz val="10"/>
        <name val="Segoe UI Semibold"/>
        <scheme val="none"/>
      </font>
      <alignment vertical="center" wrapText="1"/>
    </dxf>
    <dxf>
      <font>
        <sz val="10"/>
      </font>
    </dxf>
    <dxf>
      <font>
        <sz val="10"/>
      </font>
    </dxf>
    <dxf>
      <font>
        <sz val="10"/>
      </font>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sz val="10"/>
      </font>
      <numFmt numFmtId="2" formatCode="0.00"/>
      <alignment horizontal="right" vertical="center"/>
    </dxf>
    <dxf>
      <font>
        <sz val="10"/>
      </font>
      <numFmt numFmtId="2" formatCode="0.00"/>
      <alignment horizontal="right" vertical="center"/>
    </dxf>
    <dxf>
      <font>
        <sz val="10"/>
      </font>
      <numFmt numFmtId="2" formatCode="0.00"/>
      <alignment horizontal="right" vertical="center"/>
    </dxf>
    <dxf>
      <font>
        <sz val="10"/>
      </font>
      <numFmt numFmtId="2" formatCode="0.00"/>
      <alignment horizontal="right" vertical="center"/>
    </dxf>
    <dxf>
      <font>
        <sz val="10"/>
        <name val="Segoe UI Semibold"/>
        <scheme val="major"/>
      </font>
      <alignment horizontal="right" vertical="center" wrapText="1"/>
    </dxf>
    <dxf>
      <font>
        <sz val="10"/>
        <name val="Segoe UI Semibold"/>
        <scheme val="major"/>
      </font>
      <alignment horizontal="right" vertical="center" wrapText="1"/>
    </dxf>
    <dxf>
      <font>
        <sz val="10"/>
        <name val="Segoe UI Semibold"/>
        <scheme val="major"/>
      </font>
      <alignment horizontal="right" vertical="center" wrapText="1"/>
    </dxf>
    <dxf>
      <font>
        <sz val="10"/>
        <name val="Segoe UI Semibold"/>
        <scheme val="major"/>
      </font>
      <alignment horizontal="right" vertical="center" wrapText="1"/>
    </dxf>
    <dxf>
      <font>
        <sz val="10"/>
      </font>
    </dxf>
    <dxf>
      <font>
        <sz val="10"/>
      </font>
    </dxf>
    <dxf>
      <alignment horizontal="right"/>
    </dxf>
    <dxf>
      <alignment vertical="center"/>
    </dxf>
    <dxf>
      <numFmt numFmtId="2" formatCode="0.00"/>
    </dxf>
    <dxf>
      <font>
        <sz val="10"/>
      </font>
      <numFmt numFmtId="2" formatCode="0.00"/>
      <alignment vertical="center"/>
    </dxf>
    <dxf>
      <alignment vertical="center"/>
    </dxf>
    <dxf>
      <font>
        <sz val="10"/>
      </font>
    </dxf>
    <dxf>
      <font>
        <sz val="10"/>
      </font>
    </dxf>
    <dxf>
      <alignment vertical="center"/>
    </dxf>
    <dxf>
      <font>
        <sz val="10"/>
      </font>
    </dxf>
    <dxf>
      <alignment vertical="center"/>
    </dxf>
    <dxf>
      <font>
        <sz val="10"/>
      </font>
    </dxf>
    <dxf>
      <alignment vertical="center"/>
    </dxf>
    <dxf>
      <font>
        <sz val="10"/>
      </font>
    </dxf>
    <dxf>
      <alignment vertical="center"/>
    </dxf>
    <dxf>
      <font>
        <sz val="10"/>
      </font>
    </dxf>
    <dxf>
      <alignment vertical="center"/>
    </dxf>
    <dxf>
      <font>
        <name val="Segoe UI Semibold"/>
        <scheme val="major"/>
      </font>
    </dxf>
    <dxf>
      <font>
        <sz val="10"/>
      </font>
    </dxf>
    <dxf>
      <font>
        <name val="Segoe UI Semibold"/>
        <scheme val="major"/>
      </font>
    </dxf>
    <dxf>
      <font>
        <sz val="10"/>
      </font>
    </dxf>
    <dxf>
      <font>
        <name val="Segoe UI Semibold"/>
        <scheme val="major"/>
      </font>
    </dxf>
    <dxf>
      <font>
        <sz val="10"/>
      </font>
    </dxf>
    <dxf>
      <font>
        <sz val="10"/>
      </font>
    </dxf>
    <dxf>
      <font>
        <name val="Segoe UI Semibold"/>
        <scheme val="major"/>
      </font>
    </dxf>
    <dxf>
      <font>
        <sz val="10"/>
      </font>
    </dxf>
    <dxf>
      <font>
        <name val="Segoe UI Semibold"/>
        <scheme val="major"/>
      </font>
    </dxf>
    <dxf>
      <font>
        <sz val="10"/>
      </font>
    </dxf>
    <dxf>
      <font>
        <name val="Segoe UI Semibold"/>
        <scheme val="major"/>
      </font>
    </dxf>
    <dxf>
      <font>
        <sz val="10"/>
      </font>
    </dxf>
    <dxf>
      <font>
        <name val="Segoe UI Semibold"/>
        <scheme val="major"/>
      </font>
    </dxf>
    <dxf>
      <font>
        <sz val="10"/>
      </font>
    </dxf>
    <dxf>
      <font>
        <name val="Segoe UI Semibold"/>
        <scheme val="major"/>
      </font>
    </dxf>
    <dxf>
      <alignment wrapText="1"/>
    </dxf>
    <dxf>
      <alignment horizontal="right"/>
    </dxf>
    <dxf>
      <alignment horizontal="right"/>
    </dxf>
    <dxf>
      <alignment horizontal="righ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5" xr9:uid="{011495BC-D89A-4E5B-96FA-8B6C01569BB7}">
      <tableStyleElement type="wholeTable" dxfId="321"/>
      <tableStyleElement type="headerRow" dxfId="320"/>
      <tableStyleElement type="totalRow" dxfId="319"/>
      <tableStyleElement type="secondRowStripe" dxfId="318"/>
      <tableStyleElement type="secondSubtotalRow" dxfId="317"/>
    </tableStyle>
    <tableStyle name="Business Central Reports Slicer Style (Template)" pivot="0" table="0" count="10" xr9:uid="{CF210220-6803-4660-A620-465EC14C36DC}">
      <tableStyleElement type="wholeTable" dxfId="316"/>
      <tableStyleElement type="headerRow" dxfId="315"/>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microsoft.com/office/2023/09/relationships/Python" Target="pyth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1824985</xdr:colOff>
      <xdr:row>10</xdr:row>
      <xdr:rowOff>28090</xdr:rowOff>
    </xdr:to>
    <mc:AlternateContent xmlns:mc="http://schemas.openxmlformats.org/markup-compatibility/2006" xmlns:a14="http://schemas.microsoft.com/office/drawing/2010/main">
      <mc:Choice Requires="a14">
        <xdr:graphicFrame macro="">
          <xdr:nvGraphicFramePr>
            <xdr:cNvPr id="2" name="$No_Item$">
              <a:extLst>
                <a:ext uri="{FF2B5EF4-FFF2-40B4-BE49-F238E27FC236}">
                  <a16:creationId xmlns:a16="http://schemas.microsoft.com/office/drawing/2014/main" id="{2DEEC003-3D95-0765-F200-874739CDBE9E}"/>
                </a:ext>
              </a:extLst>
            </xdr:cNvPr>
            <xdr:cNvGraphicFramePr/>
          </xdr:nvGraphicFramePr>
          <xdr:xfrm>
            <a:off x="0" y="0"/>
            <a:ext cx="0" cy="0"/>
          </xdr:xfrm>
          <a:graphic>
            <a:graphicData uri="http://schemas.microsoft.com/office/drawing/2010/slicer">
              <sle:slicer xmlns:sle="http://schemas.microsoft.com/office/drawing/2010/slicer" name="$No_Item$"/>
            </a:graphicData>
          </a:graphic>
        </xdr:graphicFrame>
      </mc:Choice>
      <mc:Fallback xmlns="">
        <xdr:sp macro="" textlink="">
          <xdr:nvSpPr>
            <xdr:cNvPr id="0" name=""/>
            <xdr:cNvSpPr>
              <a:spLocks noTextEdit="1"/>
            </xdr:cNvSpPr>
          </xdr:nvSpPr>
          <xdr:spPr>
            <a:xfrm>
              <a:off x="0" y="0"/>
              <a:ext cx="1818000" cy="26068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1887665</xdr:colOff>
      <xdr:row>0</xdr:row>
      <xdr:rowOff>0</xdr:rowOff>
    </xdr:from>
    <xdr:to>
      <xdr:col>0</xdr:col>
      <xdr:colOff>3693600</xdr:colOff>
      <xdr:row>10</xdr:row>
      <xdr:rowOff>28090</xdr:rowOff>
    </xdr:to>
    <mc:AlternateContent xmlns:mc="http://schemas.openxmlformats.org/markup-compatibility/2006" xmlns:a14="http://schemas.microsoft.com/office/drawing/2010/main">
      <mc:Choice Requires="a14">
        <xdr:graphicFrame macro="">
          <xdr:nvGraphicFramePr>
            <xdr:cNvPr id="3" name="$SalesLineDocumentNo$">
              <a:extLst>
                <a:ext uri="{FF2B5EF4-FFF2-40B4-BE49-F238E27FC236}">
                  <a16:creationId xmlns:a16="http://schemas.microsoft.com/office/drawing/2014/main" id="{ECE555A3-6C69-B258-28BB-82A3DB6E1E58}"/>
                </a:ext>
              </a:extLst>
            </xdr:cNvPr>
            <xdr:cNvGraphicFramePr/>
          </xdr:nvGraphicFramePr>
          <xdr:xfrm>
            <a:off x="0" y="0"/>
            <a:ext cx="0" cy="0"/>
          </xdr:xfrm>
          <a:graphic>
            <a:graphicData uri="http://schemas.microsoft.com/office/drawing/2010/slicer">
              <sle:slicer xmlns:sle="http://schemas.microsoft.com/office/drawing/2010/slicer" name="$SalesLineDocumentNo$"/>
            </a:graphicData>
          </a:graphic>
        </xdr:graphicFrame>
      </mc:Choice>
      <mc:Fallback xmlns="">
        <xdr:sp macro="" textlink="">
          <xdr:nvSpPr>
            <xdr:cNvPr id="0" name=""/>
            <xdr:cNvSpPr>
              <a:spLocks noTextEdit="1"/>
            </xdr:cNvSpPr>
          </xdr:nvSpPr>
          <xdr:spPr>
            <a:xfrm>
              <a:off x="1875600" y="0"/>
              <a:ext cx="1818000" cy="26068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eline Soerjonoto" refreshedDate="46076.611243865744" createdVersion="8" refreshedVersion="8" minRefreshableVersion="3" recordCount="1" xr:uid="{8939842C-6F15-4435-9983-90E850243274}">
  <cacheSource type="worksheet">
    <worksheetSource name="InventoryOrderDetails_Query"/>
  </cacheSource>
  <cacheFields count="22">
    <cacheField name="ItemTableCaptItemFilter" numFmtId="0">
      <sharedItems/>
    </cacheField>
    <cacheField name="ItemFilter" numFmtId="0">
      <sharedItems/>
    </cacheField>
    <cacheField name="StrSbStNoSalOdrLnSalLnFlt" numFmtId="0">
      <sharedItems/>
    </cacheField>
    <cacheField name="SalesLineFilter" numFmtId="0">
      <sharedItems/>
    </cacheField>
    <cacheField name="No_Item" numFmtId="0">
      <sharedItems count="1">
        <s v=""/>
      </sharedItems>
    </cacheField>
    <cacheField name="Description_Item" numFmtId="0">
      <sharedItems count="1">
        <s v=""/>
      </sharedItems>
    </cacheField>
    <cacheField name="OutstandingAmt_SalesLine" numFmtId="0">
      <sharedItems containsSemiMixedTypes="0" containsString="0" containsNumber="1" containsInteger="1" minValue="0" maxValue="0"/>
    </cacheField>
    <cacheField name="InventoryPostingGroup_Item" numFmtId="0">
      <sharedItems containsNonDate="0" containsString="0" containsBlank="1"/>
    </cacheField>
    <cacheField name="AssemblyBOM_Item" numFmtId="0">
      <sharedItems containsNonDate="0" containsString="0" containsBlank="1"/>
    </cacheField>
    <cacheField name="InventoryPostingGroup_Item2" numFmtId="0">
      <sharedItems containsNonDate="0" containsString="0" containsBlank="1"/>
    </cacheField>
    <cacheField name="AssemblyBOM_Item3" numFmtId="0">
      <sharedItems containsNonDate="0" containsString="0" containsBlank="1"/>
    </cacheField>
    <cacheField name="SalesLineDocumentNo" numFmtId="0">
      <sharedItems count="1">
        <s v=""/>
      </sharedItems>
    </cacheField>
    <cacheField name="SalesHeaderBilltoName" numFmtId="0">
      <sharedItems count="1">
        <s v=""/>
      </sharedItems>
    </cacheField>
    <cacheField name="ShipmentDate_SalesLine" numFmtId="0">
      <sharedItems count="1">
        <s v=""/>
      </sharedItems>
    </cacheField>
    <cacheField name="Quantity_SalesLine" numFmtId="0">
      <sharedItems containsSemiMixedTypes="0" containsString="0" containsNumber="1" containsInteger="1" minValue="0" maxValue="0" count="1">
        <n v="0"/>
      </sharedItems>
    </cacheField>
    <cacheField name="OutstandingQty_SalesLine" numFmtId="0">
      <sharedItems containsSemiMixedTypes="0" containsString="0" containsNumber="1" containsInteger="1" minValue="0" maxValue="0"/>
    </cacheField>
    <cacheField name="BackOrderQty" numFmtId="0">
      <sharedItems containsSemiMixedTypes="0" containsString="0" containsNumber="1" containsInteger="1" minValue="0" maxValue="0"/>
    </cacheField>
    <cacheField name="SalesLineUnitPrice" numFmtId="0">
      <sharedItems containsSemiMixedTypes="0" containsString="0" containsNumber="1" containsInteger="1" minValue="0" maxValue="0" count="1">
        <n v="0"/>
      </sharedItems>
    </cacheField>
    <cacheField name="SalesLineLineDiscount" numFmtId="0">
      <sharedItems containsSemiMixedTypes="0" containsString="0" containsNumber="1" containsInteger="1" minValue="0" maxValue="0" count="1">
        <n v="0"/>
      </sharedItems>
    </cacheField>
    <cacheField name="InvDiscountAmt_SalesLine" numFmtId="0">
      <sharedItems containsSemiMixedTypes="0" containsString="0" containsNumber="1" containsInteger="1" minValue="0" maxValue="0" count="1">
        <n v="0"/>
      </sharedItems>
    </cacheField>
    <cacheField name="OutstandingAmt1_SalesLine" numFmtId="0">
      <sharedItems containsSemiMixedTypes="0" containsString="0" containsNumber="1" containsInteger="1" minValue="0" maxValue="0"/>
    </cacheField>
    <cacheField name="SalesLineDescription" numFmtId="0">
      <sharedItems/>
    </cacheField>
  </cacheFields>
  <extLst>
    <ext xmlns:x14="http://schemas.microsoft.com/office/spreadsheetml/2009/9/main" uri="{725AE2AE-9491-48be-B2B4-4EB974FC3084}">
      <x14:pivotCacheDefinition pivotCacheId="514050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
    <s v=""/>
    <s v=""/>
    <s v=""/>
    <x v="0"/>
    <x v="0"/>
    <n v="0"/>
    <m/>
    <m/>
    <m/>
    <m/>
    <x v="0"/>
    <x v="0"/>
    <x v="0"/>
    <x v="0"/>
    <n v="0"/>
    <n v="0"/>
    <x v="0"/>
    <x v="0"/>
    <x v="0"/>
    <n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BAED9-8953-433E-BE73-BD74E081C363}" name="PivotTable2" cacheId="12"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6:M9" firstHeaderRow="0" firstDataRow="1" firstDataCol="9"/>
  <pivotFields count="22">
    <pivotField compact="0" outline="0" showAll="0" defaultSubtotal="0"/>
    <pivotField compact="0" outline="0" showAll="0" defaultSubtotal="0"/>
    <pivotField compact="0" outline="0" showAll="0" defaultSubtotal="0"/>
    <pivotField compact="0" outline="0" showAll="0" defaultSubtotal="0"/>
    <pivotField name="$No_Item$" axis="axisRow" compact="0" outline="0" showAll="0" defaultSubtotal="0">
      <items count="1">
        <item x="0"/>
      </items>
    </pivotField>
    <pivotField name="$Description_Item$" axis="axisRow" compact="0" outline="0" showAll="0">
      <items count="2">
        <item x="0"/>
        <item t="default"/>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SalesLineDocumentNo$" axis="axisRow" compact="0" outline="0" showAll="0" defaultSubtotal="0">
      <items count="1">
        <item x="0"/>
      </items>
    </pivotField>
    <pivotField name="$SalesHeaderBilltoName$" axis="axisRow" compact="0" outline="0" showAll="0" defaultSubtotal="0">
      <items count="1">
        <item x="0"/>
      </items>
    </pivotField>
    <pivotField name="$ShipmentDateLabel$" axis="axisRow" compact="0" outline="0" showAll="0" defaultSubtotal="0">
      <items count="1">
        <item x="0"/>
      </items>
    </pivotField>
    <pivotField name="$Quantity_SalesLine$" axis="axisRow" compact="0" outline="0" showAll="0" defaultSubtotal="0">
      <items count="1">
        <item x="0"/>
      </items>
    </pivotField>
    <pivotField dataField="1" compact="0" outline="0" showAll="0" defaultSubtotal="0"/>
    <pivotField dataField="1" compact="0" outline="0" showAll="0" defaultSubtotal="0"/>
    <pivotField name="$SalesLineUnitPrice$" axis="axisRow" compact="0" outline="0" showAll="0" defaultSubtotal="0">
      <items count="1">
        <item x="0"/>
      </items>
    </pivotField>
    <pivotField name="$SalesLineLineDiscount$" axis="axisRow" compact="0" outline="0" showAll="0" defaultSubtotal="0">
      <items count="1">
        <item x="0"/>
      </items>
    </pivotField>
    <pivotField name="$InvDiscountAmt_SalesLine$" axis="axisRow" compact="0" outline="0" showAll="0" defaultSubtotal="0">
      <items count="1">
        <item x="0"/>
      </items>
    </pivotField>
    <pivotField dataField="1" compact="0" outline="0" showAll="0" defaultSubtotal="0"/>
    <pivotField compact="0" outline="0" showAll="0" defaultSubtotal="0"/>
  </pivotFields>
  <rowFields count="9">
    <field x="4"/>
    <field x="5"/>
    <field x="11"/>
    <field x="12"/>
    <field x="13"/>
    <field x="17"/>
    <field x="14"/>
    <field x="18"/>
    <field x="19"/>
  </rowFields>
  <rowItems count="3">
    <i>
      <x/>
      <x/>
      <x/>
      <x/>
      <x/>
      <x/>
      <x/>
      <x/>
      <x/>
    </i>
    <i t="default" r="1">
      <x/>
    </i>
    <i t="grand">
      <x/>
    </i>
  </rowItems>
  <colFields count="1">
    <field x="-2"/>
  </colFields>
  <colItems count="3">
    <i>
      <x/>
    </i>
    <i i="1">
      <x v="1"/>
    </i>
    <i i="2">
      <x v="2"/>
    </i>
  </colItems>
  <dataFields count="3">
    <dataField name="$OutstandingQty_SalesLine$" fld="15" baseField="0" baseItem="0"/>
    <dataField name="$BackOrderQtyLabel$" fld="16" baseField="0" baseItem="0"/>
    <dataField name="$OutstandingAmt1_SalesLine$" fld="20" baseField="0" baseItem="0"/>
  </dataFields>
  <formats count="77">
    <format dxfId="314">
      <pivotArea dataOnly="0" labelOnly="1" outline="0" fieldPosition="0">
        <references count="1">
          <reference field="4294967294" count="1">
            <x v="0"/>
          </reference>
        </references>
      </pivotArea>
    </format>
    <format dxfId="313">
      <pivotArea dataOnly="0" labelOnly="1" outline="0" fieldPosition="0">
        <references count="1">
          <reference field="4294967294" count="1">
            <x v="1"/>
          </reference>
        </references>
      </pivotArea>
    </format>
    <format dxfId="312">
      <pivotArea dataOnly="0" labelOnly="1" outline="0" fieldPosition="0">
        <references count="1">
          <reference field="4294967294" count="1">
            <x v="2"/>
          </reference>
        </references>
      </pivotArea>
    </format>
    <format dxfId="311">
      <pivotArea dataOnly="0" labelOnly="1" outline="0" fieldPosition="0">
        <references count="1">
          <reference field="4294967294" count="1">
            <x v="0"/>
          </reference>
        </references>
      </pivotArea>
    </format>
    <format dxfId="310">
      <pivotArea field="4" type="button" dataOnly="0" labelOnly="1" outline="0" axis="axisRow" fieldPosition="0"/>
    </format>
    <format dxfId="309">
      <pivotArea field="4" type="button" dataOnly="0" labelOnly="1" outline="0" axis="axisRow" fieldPosition="0"/>
    </format>
    <format dxfId="308">
      <pivotArea field="5" type="button" dataOnly="0" labelOnly="1" outline="0" axis="axisRow" fieldPosition="1"/>
    </format>
    <format dxfId="307">
      <pivotArea field="5" type="button" dataOnly="0" labelOnly="1" outline="0" axis="axisRow" fieldPosition="1"/>
    </format>
    <format dxfId="306">
      <pivotArea field="11" type="button" dataOnly="0" labelOnly="1" outline="0" axis="axisRow" fieldPosition="2"/>
    </format>
    <format dxfId="305">
      <pivotArea field="11" type="button" dataOnly="0" labelOnly="1" outline="0" axis="axisRow" fieldPosition="2"/>
    </format>
    <format dxfId="304">
      <pivotArea field="12" type="button" dataOnly="0" labelOnly="1" outline="0" axis="axisRow" fieldPosition="3"/>
    </format>
    <format dxfId="303">
      <pivotArea field="12" type="button" dataOnly="0" labelOnly="1" outline="0" axis="axisRow" fieldPosition="3"/>
    </format>
    <format dxfId="302">
      <pivotArea field="13" type="button" dataOnly="0" labelOnly="1" outline="0" axis="axisRow" fieldPosition="4"/>
    </format>
    <format dxfId="301">
      <pivotArea field="13" type="button" dataOnly="0" labelOnly="1" outline="0" axis="axisRow" fieldPosition="4"/>
    </format>
    <format dxfId="300">
      <pivotArea dataOnly="0" labelOnly="1" outline="0" fieldPosition="0">
        <references count="1">
          <reference field="4294967294" count="1">
            <x v="0"/>
          </reference>
        </references>
      </pivotArea>
    </format>
    <format dxfId="299">
      <pivotArea dataOnly="0" labelOnly="1" outline="0" fieldPosition="0">
        <references count="1">
          <reference field="4294967294" count="1">
            <x v="0"/>
          </reference>
        </references>
      </pivotArea>
    </format>
    <format dxfId="298">
      <pivotArea dataOnly="0" labelOnly="1" outline="0" fieldPosition="0">
        <references count="1">
          <reference field="4294967294" count="1">
            <x v="1"/>
          </reference>
        </references>
      </pivotArea>
    </format>
    <format dxfId="297">
      <pivotArea dataOnly="0" labelOnly="1" outline="0" fieldPosition="0">
        <references count="1">
          <reference field="4294967294" count="1">
            <x v="1"/>
          </reference>
        </references>
      </pivotArea>
    </format>
    <format dxfId="296">
      <pivotArea dataOnly="0" labelOnly="1" outline="0" fieldPosition="0">
        <references count="1">
          <reference field="4294967294" count="1">
            <x v="2"/>
          </reference>
        </references>
      </pivotArea>
    </format>
    <format dxfId="295">
      <pivotArea dataOnly="0" labelOnly="1" outline="0" fieldPosition="0">
        <references count="1">
          <reference field="4294967294" count="1">
            <x v="2"/>
          </reference>
        </references>
      </pivotArea>
    </format>
    <format dxfId="294">
      <pivotArea dataOnly="0" labelOnly="1" outline="0" fieldPosition="0">
        <references count="1">
          <reference field="4" count="0"/>
        </references>
      </pivotArea>
    </format>
    <format dxfId="293">
      <pivotArea dataOnly="0" labelOnly="1" outline="0" fieldPosition="0">
        <references count="1">
          <reference field="4" count="0"/>
        </references>
      </pivotArea>
    </format>
    <format dxfId="292">
      <pivotArea dataOnly="0" labelOnly="1" outline="0" fieldPosition="0">
        <references count="2">
          <reference field="4" count="0" selected="0"/>
          <reference field="5" count="0"/>
        </references>
      </pivotArea>
    </format>
    <format dxfId="291">
      <pivotArea dataOnly="0" labelOnly="1" outline="0" fieldPosition="0">
        <references count="2">
          <reference field="4" count="0" selected="0"/>
          <reference field="5" count="0"/>
        </references>
      </pivotArea>
    </format>
    <format dxfId="290">
      <pivotArea dataOnly="0" labelOnly="1" outline="0" fieldPosition="0">
        <references count="3">
          <reference field="4" count="0" selected="0"/>
          <reference field="5" count="0" selected="0"/>
          <reference field="11" count="0"/>
        </references>
      </pivotArea>
    </format>
    <format dxfId="289">
      <pivotArea dataOnly="0" labelOnly="1" outline="0" fieldPosition="0">
        <references count="3">
          <reference field="4" count="0" selected="0"/>
          <reference field="5" count="0" selected="0"/>
          <reference field="11" count="0"/>
        </references>
      </pivotArea>
    </format>
    <format dxfId="288">
      <pivotArea dataOnly="0" labelOnly="1" outline="0" fieldPosition="0">
        <references count="4">
          <reference field="4" count="0" selected="0"/>
          <reference field="5" count="0" selected="0"/>
          <reference field="11" count="0" selected="0"/>
          <reference field="12" count="0"/>
        </references>
      </pivotArea>
    </format>
    <format dxfId="287">
      <pivotArea dataOnly="0" labelOnly="1" outline="0" fieldPosition="0">
        <references count="4">
          <reference field="4" count="0" selected="0"/>
          <reference field="5" count="0" selected="0"/>
          <reference field="11" count="0" selected="0"/>
          <reference field="12" count="0"/>
        </references>
      </pivotArea>
    </format>
    <format dxfId="286">
      <pivotArea dataOnly="0" labelOnly="1" outline="0" fieldPosition="0">
        <references count="5">
          <reference field="4" count="0" selected="0"/>
          <reference field="5" count="0" selected="0"/>
          <reference field="11" count="0" selected="0"/>
          <reference field="12" count="0" selected="0"/>
          <reference field="13" count="0"/>
        </references>
      </pivotArea>
    </format>
    <format dxfId="285">
      <pivotArea dataOnly="0" labelOnly="1" outline="0" fieldPosition="0">
        <references count="5">
          <reference field="4" count="0" selected="0"/>
          <reference field="5" count="0" selected="0"/>
          <reference field="11" count="0" selected="0"/>
          <reference field="12" count="0" selected="0"/>
          <reference field="13" count="0"/>
        </references>
      </pivotArea>
    </format>
    <format dxfId="284">
      <pivotArea dataOnly="0" labelOnly="1" grandRow="1" outline="0" fieldPosition="0"/>
    </format>
    <format dxfId="283">
      <pivotArea dataOnly="0" labelOnly="1" grandRow="1" outline="0" fieldPosition="0"/>
    </format>
    <format dxfId="282">
      <pivotArea outline="0" fieldPosition="0">
        <references count="6">
          <reference field="4294967294" count="3" selected="0">
            <x v="0"/>
            <x v="1"/>
            <x v="2"/>
          </reference>
          <reference field="4" count="0" selected="0"/>
          <reference field="5" count="0" selected="0"/>
          <reference field="11" count="0" selected="0"/>
          <reference field="12" count="0" selected="0"/>
          <reference field="13" count="0" selected="0"/>
        </references>
      </pivotArea>
    </format>
    <format dxfId="281">
      <pivotArea field="4" grandRow="1" outline="0" axis="axisRow" fieldPosition="0">
        <references count="1">
          <reference field="4294967294" count="3" selected="0">
            <x v="0"/>
            <x v="1"/>
            <x v="2"/>
          </reference>
        </references>
      </pivotArea>
    </format>
    <format dxfId="280">
      <pivotArea field="4" grandRow="1" outline="0" axis="axisRow" fieldPosition="0">
        <references count="1">
          <reference field="4294967294" count="3" selected="0">
            <x v="0"/>
            <x v="1"/>
            <x v="2"/>
          </reference>
        </references>
      </pivotArea>
    </format>
    <format dxfId="279">
      <pivotArea outline="0" fieldPosition="0">
        <references count="6">
          <reference field="4294967294" count="3" selected="0">
            <x v="0"/>
            <x v="1"/>
            <x v="2"/>
          </reference>
          <reference field="4" count="0" selected="0"/>
          <reference field="5" count="0" selected="0"/>
          <reference field="11" count="0" selected="0"/>
          <reference field="12" count="0" selected="0"/>
          <reference field="13" count="0" selected="0"/>
        </references>
      </pivotArea>
    </format>
    <format dxfId="278">
      <pivotArea grandRow="1" outline="0" collapsedLevelsAreSubtotals="1" fieldPosition="0"/>
    </format>
    <format dxfId="277">
      <pivotArea dataOnly="0" labelOnly="1" grandRow="1" outline="0" fieldPosition="0"/>
    </format>
    <format dxfId="276">
      <pivotArea field="17" type="button" dataOnly="0" labelOnly="1" outline="0" axis="axisRow" fieldPosition="5"/>
    </format>
    <format dxfId="275">
      <pivotArea field="14" type="button" dataOnly="0" labelOnly="1" outline="0" axis="axisRow" fieldPosition="6"/>
    </format>
    <format dxfId="274">
      <pivotArea field="18" type="button" dataOnly="0" labelOnly="1" outline="0" axis="axisRow" fieldPosition="7"/>
    </format>
    <format dxfId="273">
      <pivotArea field="19" type="button" dataOnly="0" labelOnly="1" outline="0" axis="axisRow" fieldPosition="8"/>
    </format>
    <format dxfId="272">
      <pivotArea dataOnly="0" labelOnly="1" outline="0" fieldPosition="0">
        <references count="6">
          <reference field="4" count="0" selected="0"/>
          <reference field="5" count="0" selected="0"/>
          <reference field="11" count="0" selected="0"/>
          <reference field="12" count="0" selected="0"/>
          <reference field="13" count="0" selected="0"/>
          <reference field="17" count="0"/>
        </references>
      </pivotArea>
    </format>
    <format dxfId="271">
      <pivotArea dataOnly="0" labelOnly="1" outline="0" fieldPosition="0">
        <references count="7">
          <reference field="4" count="0" selected="0"/>
          <reference field="5" count="0" selected="0"/>
          <reference field="11" count="0" selected="0"/>
          <reference field="12" count="0" selected="0"/>
          <reference field="13" count="0" selected="0"/>
          <reference field="14" count="0"/>
          <reference field="17" count="0" selected="0"/>
        </references>
      </pivotArea>
    </format>
    <format dxfId="270">
      <pivotArea dataOnly="0" labelOnly="1" outline="0" fieldPosition="0">
        <references count="8">
          <reference field="4" count="0" selected="0"/>
          <reference field="5" count="0" selected="0"/>
          <reference field="11" count="0" selected="0"/>
          <reference field="12" count="0" selected="0"/>
          <reference field="13" count="0" selected="0"/>
          <reference field="14" count="0" selected="0"/>
          <reference field="17" count="0" selected="0"/>
          <reference field="18" count="0"/>
        </references>
      </pivotArea>
    </format>
    <format dxfId="269">
      <pivotArea dataOnly="0" labelOnly="1" outline="0" fieldPosition="0">
        <references count="9">
          <reference field="4" count="0" selected="0"/>
          <reference field="5" count="0" selected="0"/>
          <reference field="11" count="0" selected="0"/>
          <reference field="12" count="0" selected="0"/>
          <reference field="13" count="0" selected="0"/>
          <reference field="14" count="0" selected="0"/>
          <reference field="17" count="0" selected="0"/>
          <reference field="18" count="0" selected="0"/>
          <reference field="19" count="0"/>
        </references>
      </pivotArea>
    </format>
    <format dxfId="268">
      <pivotArea field="14" type="button" dataOnly="0" labelOnly="1" outline="0" axis="axisRow" fieldPosition="6"/>
    </format>
    <format dxfId="267">
      <pivotArea field="4" type="button" dataOnly="0" labelOnly="1" outline="0" axis="axisRow" fieldPosition="0"/>
    </format>
    <format dxfId="266">
      <pivotArea field="5" type="button" dataOnly="0" labelOnly="1" outline="0" axis="axisRow" fieldPosition="1"/>
    </format>
    <format dxfId="265">
      <pivotArea field="11" type="button" dataOnly="0" labelOnly="1" outline="0" axis="axisRow" fieldPosition="2"/>
    </format>
    <format dxfId="264">
      <pivotArea field="12" type="button" dataOnly="0" labelOnly="1" outline="0" axis="axisRow" fieldPosition="3"/>
    </format>
    <format dxfId="263">
      <pivotArea field="13" type="button" dataOnly="0" labelOnly="1" outline="0" axis="axisRow" fieldPosition="4"/>
    </format>
    <format dxfId="262">
      <pivotArea field="17" type="button" dataOnly="0" labelOnly="1" outline="0" axis="axisRow" fieldPosition="5"/>
    </format>
    <format dxfId="261">
      <pivotArea field="14" type="button" dataOnly="0" labelOnly="1" outline="0" axis="axisRow" fieldPosition="6"/>
    </format>
    <format dxfId="260">
      <pivotArea field="18" type="button" dataOnly="0" labelOnly="1" outline="0" axis="axisRow" fieldPosition="7"/>
    </format>
    <format dxfId="259">
      <pivotArea field="19" type="button" dataOnly="0" labelOnly="1" outline="0" axis="axisRow" fieldPosition="8"/>
    </format>
    <format dxfId="258">
      <pivotArea dataOnly="0" labelOnly="1" outline="0" fieldPosition="0">
        <references count="1">
          <reference field="4294967294" count="3">
            <x v="0"/>
            <x v="1"/>
            <x v="2"/>
          </reference>
        </references>
      </pivotArea>
    </format>
    <format dxfId="257">
      <pivotArea field="4" type="button" dataOnly="0" labelOnly="1" outline="0" axis="axisRow" fieldPosition="0"/>
    </format>
    <format dxfId="256">
      <pivotArea field="5" type="button" dataOnly="0" labelOnly="1" outline="0" axis="axisRow" fieldPosition="1"/>
    </format>
    <format dxfId="255">
      <pivotArea field="11" type="button" dataOnly="0" labelOnly="1" outline="0" axis="axisRow" fieldPosition="2"/>
    </format>
    <format dxfId="254">
      <pivotArea field="12" type="button" dataOnly="0" labelOnly="1" outline="0" axis="axisRow" fieldPosition="3"/>
    </format>
    <format dxfId="253">
      <pivotArea field="13" type="button" dataOnly="0" labelOnly="1" outline="0" axis="axisRow" fieldPosition="4"/>
    </format>
    <format dxfId="252">
      <pivotArea field="17" type="button" dataOnly="0" labelOnly="1" outline="0" axis="axisRow" fieldPosition="5"/>
    </format>
    <format dxfId="251">
      <pivotArea field="14" type="button" dataOnly="0" labelOnly="1" outline="0" axis="axisRow" fieldPosition="6"/>
    </format>
    <format dxfId="250">
      <pivotArea field="18" type="button" dataOnly="0" labelOnly="1" outline="0" axis="axisRow" fieldPosition="7"/>
    </format>
    <format dxfId="249">
      <pivotArea field="19" type="button" dataOnly="0" labelOnly="1" outline="0" axis="axisRow" fieldPosition="8"/>
    </format>
    <format dxfId="248">
      <pivotArea dataOnly="0" labelOnly="1" outline="0" fieldPosition="0">
        <references count="1">
          <reference field="4294967294" count="3">
            <x v="0"/>
            <x v="1"/>
            <x v="2"/>
          </reference>
        </references>
      </pivotArea>
    </format>
    <format dxfId="247">
      <pivotArea outline="0" fieldPosition="0">
        <references count="2">
          <reference field="4" count="0" selected="0"/>
          <reference field="5" count="0" selected="0" defaultSubtotal="1"/>
        </references>
      </pivotArea>
    </format>
    <format dxfId="246">
      <pivotArea dataOnly="0" labelOnly="1" outline="0" fieldPosition="0">
        <references count="1">
          <reference field="4" count="0"/>
        </references>
      </pivotArea>
    </format>
    <format dxfId="245">
      <pivotArea dataOnly="0" labelOnly="1" outline="0" fieldPosition="0">
        <references count="2">
          <reference field="4" count="0" selected="0"/>
          <reference field="5" count="0" defaultSubtotal="1"/>
        </references>
      </pivotArea>
    </format>
    <format dxfId="244">
      <pivotArea outline="0" fieldPosition="0">
        <references count="2">
          <reference field="4" count="0" selected="0"/>
          <reference field="5" count="0" selected="0" defaultSubtotal="1"/>
        </references>
      </pivotArea>
    </format>
    <format dxfId="243">
      <pivotArea dataOnly="0" labelOnly="1" outline="0" fieldPosition="0">
        <references count="1">
          <reference field="4" count="0"/>
        </references>
      </pivotArea>
    </format>
    <format dxfId="242">
      <pivotArea dataOnly="0" labelOnly="1" outline="0" fieldPosition="0">
        <references count="2">
          <reference field="4" count="0" selected="0"/>
          <reference field="5" count="0" defaultSubtotal="1"/>
        </references>
      </pivotArea>
    </format>
    <format dxfId="241">
      <pivotArea outline="0" fieldPosition="0">
        <references count="2">
          <reference field="4" count="0" selected="0"/>
          <reference field="5" count="0" selected="0" defaultSubtotal="1"/>
        </references>
      </pivotArea>
    </format>
    <format dxfId="240">
      <pivotArea dataOnly="0" labelOnly="1" outline="0" fieldPosition="0">
        <references count="1">
          <reference field="4" count="0"/>
        </references>
      </pivotArea>
    </format>
    <format dxfId="239">
      <pivotArea dataOnly="0" labelOnly="1" outline="0" fieldPosition="0">
        <references count="2">
          <reference field="4" count="0" selected="0"/>
          <reference field="5" count="0" defaultSubtotal="1"/>
        </references>
      </pivotArea>
    </format>
    <format dxfId="1">
      <pivotArea dataOnly="0" labelOnly="1" outline="0" fieldPosition="0">
        <references count="1">
          <reference field="4"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A96384-48C3-4B3F-9C25-86804AEEC740}" name="PivotTable2" cacheId="12"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M4" firstHeaderRow="0" firstDataRow="1" firstDataCol="9"/>
  <pivotFields count="22">
    <pivotField compact="0" outline="0" showAll="0" defaultSubtotal="0"/>
    <pivotField compact="0" outline="0" showAll="0" defaultSubtotal="0"/>
    <pivotField compact="0" outline="0" showAll="0" defaultSubtotal="0"/>
    <pivotField compact="0" outline="0" showAll="0" defaultSubtotal="0"/>
    <pivotField name="$No_Item$" axis="axisRow" compact="0" outline="0" showAll="0" defaultSubtotal="0">
      <items count="1">
        <item x="0"/>
      </items>
    </pivotField>
    <pivotField name="$Description_Item$" axis="axisRow" compact="0" outline="0" showAll="0">
      <items count="2">
        <item x="0"/>
        <item t="default"/>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SalesLineDocumentNo$" axis="axisRow" compact="0" outline="0" showAll="0" defaultSubtotal="0">
      <items count="1">
        <item x="0"/>
      </items>
    </pivotField>
    <pivotField name="$SalesHeaderBilltoName$" axis="axisRow" compact="0" outline="0" showAll="0" defaultSubtotal="0">
      <items count="1">
        <item x="0"/>
      </items>
    </pivotField>
    <pivotField name="$ShipmentDateLabel$" axis="axisRow" compact="0" outline="0" showAll="0" defaultSubtotal="0">
      <items count="1">
        <item x="0"/>
      </items>
    </pivotField>
    <pivotField name="$Quantity_SalesLine$" axis="axisRow" compact="0" outline="0" showAll="0" defaultSubtotal="0">
      <items count="1">
        <item x="0"/>
      </items>
    </pivotField>
    <pivotField dataField="1" compact="0" outline="0" showAll="0" defaultSubtotal="0"/>
    <pivotField dataField="1" compact="0" outline="0" showAll="0" defaultSubtotal="0"/>
    <pivotField name="$SalesLineUnitPrice$" axis="axisRow" compact="0" outline="0" showAll="0" defaultSubtotal="0">
      <items count="1">
        <item x="0"/>
      </items>
    </pivotField>
    <pivotField name="$SalesLineLineDiscount$" axis="axisRow" compact="0" outline="0" showAll="0" defaultSubtotal="0">
      <items count="1">
        <item x="0"/>
      </items>
    </pivotField>
    <pivotField name="$InvDiscountAmt_SalesLine$" axis="axisRow" compact="0" outline="0" showAll="0" defaultSubtotal="0">
      <items count="1">
        <item x="0"/>
      </items>
    </pivotField>
    <pivotField dataField="1" compact="0" outline="0" showAll="0" defaultSubtotal="0"/>
    <pivotField compact="0" outline="0" showAll="0" defaultSubtotal="0"/>
  </pivotFields>
  <rowFields count="9">
    <field x="4"/>
    <field x="5"/>
    <field x="11"/>
    <field x="12"/>
    <field x="13"/>
    <field x="14"/>
    <field x="17"/>
    <field x="18"/>
    <field x="19"/>
  </rowFields>
  <rowItems count="3">
    <i>
      <x/>
      <x/>
      <x/>
      <x/>
      <x/>
      <x/>
      <x/>
      <x/>
      <x/>
    </i>
    <i t="default" r="1">
      <x/>
    </i>
    <i t="grand">
      <x/>
    </i>
  </rowItems>
  <colFields count="1">
    <field x="-2"/>
  </colFields>
  <colItems count="3">
    <i>
      <x/>
    </i>
    <i i="1">
      <x v="1"/>
    </i>
    <i i="2">
      <x v="2"/>
    </i>
  </colItems>
  <dataFields count="3">
    <dataField name="$OutstandingQty_SalesLine$" fld="15" baseField="0" baseItem="0"/>
    <dataField name="$BackOrderQtyLabel$" fld="16" baseField="0" baseItem="0"/>
    <dataField name="$OutstandingAmt1_SalesLine$" fld="20" baseField="0" baseItem="0"/>
  </dataFields>
  <formats count="73">
    <format dxfId="238">
      <pivotArea dataOnly="0" labelOnly="1" outline="0" fieldPosition="0">
        <references count="1">
          <reference field="4294967294" count="3">
            <x v="0"/>
            <x v="1"/>
            <x v="2"/>
          </reference>
        </references>
      </pivotArea>
    </format>
    <format dxfId="237">
      <pivotArea field="4" type="button" dataOnly="0" labelOnly="1" outline="0" axis="axisRow" fieldPosition="0"/>
    </format>
    <format dxfId="236">
      <pivotArea field="5" type="button" dataOnly="0" labelOnly="1" outline="0" axis="axisRow" fieldPosition="1"/>
    </format>
    <format dxfId="235">
      <pivotArea field="11" type="button" dataOnly="0" labelOnly="1" outline="0" axis="axisRow" fieldPosition="2"/>
    </format>
    <format dxfId="234">
      <pivotArea field="12" type="button" dataOnly="0" labelOnly="1" outline="0" axis="axisRow" fieldPosition="3"/>
    </format>
    <format dxfId="233">
      <pivotArea field="13" type="button" dataOnly="0" labelOnly="1" outline="0" axis="axisRow" fieldPosition="4"/>
    </format>
    <format dxfId="232">
      <pivotArea dataOnly="0" labelOnly="1" outline="0" fieldPosition="0">
        <references count="1">
          <reference field="4" count="0"/>
        </references>
      </pivotArea>
    </format>
    <format dxfId="231">
      <pivotArea dataOnly="0" labelOnly="1" outline="0" fieldPosition="0">
        <references count="2">
          <reference field="4" count="0" selected="0"/>
          <reference field="5" count="0"/>
        </references>
      </pivotArea>
    </format>
    <format dxfId="230">
      <pivotArea dataOnly="0" labelOnly="1" outline="0" fieldPosition="0">
        <references count="3">
          <reference field="4" count="0" selected="0"/>
          <reference field="5" count="0" selected="0"/>
          <reference field="11" count="0"/>
        </references>
      </pivotArea>
    </format>
    <format dxfId="229">
      <pivotArea dataOnly="0" labelOnly="1" outline="0" fieldPosition="0">
        <references count="4">
          <reference field="4" count="0" selected="0"/>
          <reference field="5" count="0" selected="0"/>
          <reference field="11" count="0" selected="0"/>
          <reference field="12" count="0"/>
        </references>
      </pivotArea>
    </format>
    <format dxfId="228">
      <pivotArea dataOnly="0" labelOnly="1" outline="0" fieldPosition="0">
        <references count="5">
          <reference field="4" count="0" selected="0"/>
          <reference field="5" count="0" selected="0"/>
          <reference field="11" count="0" selected="0"/>
          <reference field="12" count="0" selected="0"/>
          <reference field="13" count="0"/>
        </references>
      </pivotArea>
    </format>
    <format dxfId="227">
      <pivotArea dataOnly="0" labelOnly="1" grandRow="1" outline="0" fieldPosition="0"/>
    </format>
    <format dxfId="226">
      <pivotArea dataOnly="0" labelOnly="1" outline="0" fieldPosition="0">
        <references count="5">
          <reference field="4" count="0" selected="0"/>
          <reference field="5" count="0" selected="0"/>
          <reference field="11" count="0" selected="0"/>
          <reference field="12" count="0" selected="0"/>
          <reference field="13" count="0"/>
        </references>
      </pivotArea>
    </format>
    <format dxfId="225">
      <pivotArea dataOnly="0" labelOnly="1" outline="0" fieldPosition="0">
        <references count="4">
          <reference field="4" count="0" selected="0"/>
          <reference field="5" count="0" selected="0"/>
          <reference field="11" count="0" selected="0"/>
          <reference field="12" count="0"/>
        </references>
      </pivotArea>
    </format>
    <format dxfId="224">
      <pivotArea dataOnly="0" labelOnly="1" outline="0" fieldPosition="0">
        <references count="3">
          <reference field="4" count="0" selected="0"/>
          <reference field="5" count="0" selected="0"/>
          <reference field="11" count="0"/>
        </references>
      </pivotArea>
    </format>
    <format dxfId="223">
      <pivotArea dataOnly="0" labelOnly="1" outline="0" fieldPosition="0">
        <references count="2">
          <reference field="4" count="0" selected="0"/>
          <reference field="5" count="0"/>
        </references>
      </pivotArea>
    </format>
    <format dxfId="222">
      <pivotArea dataOnly="0" labelOnly="1" outline="0" fieldPosition="0">
        <references count="1">
          <reference field="4" count="0"/>
        </references>
      </pivotArea>
    </format>
    <format dxfId="221">
      <pivotArea dataOnly="0" labelOnly="1" grandRow="1" outline="0" fieldPosition="0"/>
    </format>
    <format dxfId="220">
      <pivotArea outline="0" fieldPosition="0">
        <references count="6">
          <reference field="4294967294" count="3" selected="0">
            <x v="0"/>
            <x v="1"/>
            <x v="2"/>
          </reference>
          <reference field="4" count="0" selected="0"/>
          <reference field="5" count="0" selected="0"/>
          <reference field="11" count="0" selected="0"/>
          <reference field="12" count="0" selected="0"/>
          <reference field="13" count="0" selected="0"/>
        </references>
      </pivotArea>
    </format>
    <format dxfId="219">
      <pivotArea field="4" grandRow="1" outline="0" axis="axisRow" fieldPosition="0">
        <references count="1">
          <reference field="4294967294" count="3" selected="0">
            <x v="0"/>
            <x v="1"/>
            <x v="2"/>
          </reference>
        </references>
      </pivotArea>
    </format>
    <format dxfId="218">
      <pivotArea field="4" grandRow="1" outline="0" axis="axisRow" fieldPosition="0">
        <references count="1">
          <reference field="4294967294" count="3" selected="0">
            <x v="0"/>
            <x v="1"/>
            <x v="2"/>
          </reference>
        </references>
      </pivotArea>
    </format>
    <format dxfId="217">
      <pivotArea outline="0" fieldPosition="0">
        <references count="6">
          <reference field="4294967294" count="3" selected="0">
            <x v="0"/>
            <x v="1"/>
            <x v="2"/>
          </reference>
          <reference field="4" count="0" selected="0"/>
          <reference field="5" count="0" selected="0"/>
          <reference field="11" count="0" selected="0"/>
          <reference field="12" count="0" selected="0"/>
          <reference field="13" count="0" selected="0"/>
        </references>
      </pivotArea>
    </format>
    <format dxfId="216">
      <pivotArea field="14" type="button" dataOnly="0" labelOnly="1" outline="0" axis="axisRow" fieldPosition="5"/>
    </format>
    <format dxfId="215">
      <pivotArea field="17" type="button" dataOnly="0" labelOnly="1" outline="0" axis="axisRow" fieldPosition="6"/>
    </format>
    <format dxfId="214">
      <pivotArea field="18" type="button" dataOnly="0" labelOnly="1" outline="0" axis="axisRow" fieldPosition="7"/>
    </format>
    <format dxfId="213">
      <pivotArea field="19" type="button" dataOnly="0" labelOnly="1" outline="0" axis="axisRow" fieldPosition="8"/>
    </format>
    <format dxfId="212">
      <pivotArea dataOnly="0" labelOnly="1" outline="0" fieldPosition="0">
        <references count="6">
          <reference field="4" count="0" selected="0"/>
          <reference field="5" count="0" selected="0"/>
          <reference field="11" count="0" selected="0"/>
          <reference field="12" count="0" selected="0"/>
          <reference field="13" count="0" selected="0"/>
          <reference field="14" count="0"/>
        </references>
      </pivotArea>
    </format>
    <format dxfId="211">
      <pivotArea dataOnly="0" labelOnly="1" outline="0" fieldPosition="0">
        <references count="7">
          <reference field="4" count="0" selected="0"/>
          <reference field="5" count="0" selected="0"/>
          <reference field="11" count="0" selected="0"/>
          <reference field="12" count="0" selected="0"/>
          <reference field="13" count="0" selected="0"/>
          <reference field="14" count="0" selected="0"/>
          <reference field="17" count="0"/>
        </references>
      </pivotArea>
    </format>
    <format dxfId="210">
      <pivotArea dataOnly="0" labelOnly="1" outline="0" fieldPosition="0">
        <references count="8">
          <reference field="4" count="0" selected="0"/>
          <reference field="5" count="0" selected="0"/>
          <reference field="11" count="0" selected="0"/>
          <reference field="12" count="0" selected="0"/>
          <reference field="13" count="0" selected="0"/>
          <reference field="14" count="0" selected="0"/>
          <reference field="17" count="0" selected="0"/>
          <reference field="18" count="0"/>
        </references>
      </pivotArea>
    </format>
    <format dxfId="209">
      <pivotArea dataOnly="0" labelOnly="1" outline="0" fieldPosition="0">
        <references count="9">
          <reference field="4" count="0" selected="0"/>
          <reference field="5" count="0" selected="0"/>
          <reference field="11" count="0" selected="0"/>
          <reference field="12" count="0" selected="0"/>
          <reference field="13" count="0" selected="0"/>
          <reference field="14" count="0" selected="0"/>
          <reference field="17" count="0" selected="0"/>
          <reference field="18" count="0" selected="0"/>
          <reference field="19" count="0"/>
        </references>
      </pivotArea>
    </format>
    <format dxfId="208">
      <pivotArea field="4" type="button" dataOnly="0" labelOnly="1" outline="0" axis="axisRow" fieldPosition="0"/>
    </format>
    <format dxfId="207">
      <pivotArea field="5" type="button" dataOnly="0" labelOnly="1" outline="0" axis="axisRow" fieldPosition="1"/>
    </format>
    <format dxfId="206">
      <pivotArea field="11" type="button" dataOnly="0" labelOnly="1" outline="0" axis="axisRow" fieldPosition="2"/>
    </format>
    <format dxfId="205">
      <pivotArea field="12" type="button" dataOnly="0" labelOnly="1" outline="0" axis="axisRow" fieldPosition="3"/>
    </format>
    <format dxfId="204">
      <pivotArea field="13" type="button" dataOnly="0" labelOnly="1" outline="0" axis="axisRow" fieldPosition="4"/>
    </format>
    <format dxfId="203">
      <pivotArea field="17" type="button" dataOnly="0" labelOnly="1" outline="0" axis="axisRow" fieldPosition="6"/>
    </format>
    <format dxfId="202">
      <pivotArea dataOnly="0" labelOnly="1" outline="0" fieldPosition="0">
        <references count="1">
          <reference field="4294967294" count="3">
            <x v="0"/>
            <x v="1"/>
            <x v="2"/>
          </reference>
        </references>
      </pivotArea>
    </format>
    <format dxfId="201">
      <pivotArea field="14" type="button" dataOnly="0" labelOnly="1" outline="0" axis="axisRow" fieldPosition="5"/>
    </format>
    <format dxfId="200">
      <pivotArea field="18" type="button" dataOnly="0" labelOnly="1" outline="0" axis="axisRow" fieldPosition="7"/>
    </format>
    <format dxfId="199">
      <pivotArea dataOnly="0" labelOnly="1" outline="0" fieldPosition="0">
        <references count="1">
          <reference field="4294967294" count="1">
            <x v="0"/>
          </reference>
        </references>
      </pivotArea>
    </format>
    <format dxfId="198">
      <pivotArea field="19" type="button" dataOnly="0" labelOnly="1" outline="0" axis="axisRow" fieldPosition="8"/>
    </format>
    <format dxfId="197">
      <pivotArea dataOnly="0" labelOnly="1" outline="0" fieldPosition="0">
        <references count="1">
          <reference field="4294967294" count="1">
            <x v="1"/>
          </reference>
        </references>
      </pivotArea>
    </format>
    <format dxfId="196">
      <pivotArea dataOnly="0" labelOnly="1" outline="0" fieldPosition="0">
        <references count="1">
          <reference field="4294967294" count="1">
            <x v="2"/>
          </reference>
        </references>
      </pivotArea>
    </format>
    <format dxfId="195">
      <pivotArea field="4" type="button" dataOnly="0" labelOnly="1" outline="0" axis="axisRow" fieldPosition="0"/>
    </format>
    <format dxfId="194">
      <pivotArea field="5" type="button" dataOnly="0" labelOnly="1" outline="0" axis="axisRow" fieldPosition="1"/>
    </format>
    <format dxfId="193">
      <pivotArea field="11" type="button" dataOnly="0" labelOnly="1" outline="0" axis="axisRow" fieldPosition="2"/>
    </format>
    <format dxfId="192">
      <pivotArea field="12" type="button" dataOnly="0" labelOnly="1" outline="0" axis="axisRow" fieldPosition="3"/>
    </format>
    <format dxfId="191">
      <pivotArea field="13" type="button" dataOnly="0" labelOnly="1" outline="0" axis="axisRow" fieldPosition="4"/>
    </format>
    <format dxfId="190">
      <pivotArea field="14" type="button" dataOnly="0" labelOnly="1" outline="0" axis="axisRow" fieldPosition="5"/>
    </format>
    <format dxfId="189">
      <pivotArea field="17" type="button" dataOnly="0" labelOnly="1" outline="0" axis="axisRow" fieldPosition="6"/>
    </format>
    <format dxfId="188">
      <pivotArea field="18" type="button" dataOnly="0" labelOnly="1" outline="0" axis="axisRow" fieldPosition="7"/>
    </format>
    <format dxfId="187">
      <pivotArea field="19" type="button" dataOnly="0" labelOnly="1" outline="0" axis="axisRow" fieldPosition="8"/>
    </format>
    <format dxfId="186">
      <pivotArea dataOnly="0" labelOnly="1" outline="0" fieldPosition="0">
        <references count="1">
          <reference field="4294967294" count="3">
            <x v="0"/>
            <x v="1"/>
            <x v="2"/>
          </reference>
        </references>
      </pivotArea>
    </format>
    <format dxfId="185">
      <pivotArea field="4" type="button" dataOnly="0" labelOnly="1" outline="0" axis="axisRow" fieldPosition="0"/>
    </format>
    <format dxfId="184">
      <pivotArea field="5" type="button" dataOnly="0" labelOnly="1" outline="0" axis="axisRow" fieldPosition="1"/>
    </format>
    <format dxfId="183">
      <pivotArea field="11" type="button" dataOnly="0" labelOnly="1" outline="0" axis="axisRow" fieldPosition="2"/>
    </format>
    <format dxfId="182">
      <pivotArea field="12" type="button" dataOnly="0" labelOnly="1" outline="0" axis="axisRow" fieldPosition="3"/>
    </format>
    <format dxfId="181">
      <pivotArea field="13" type="button" dataOnly="0" labelOnly="1" outline="0" axis="axisRow" fieldPosition="4"/>
    </format>
    <format dxfId="180">
      <pivotArea field="14" type="button" dataOnly="0" labelOnly="1" outline="0" axis="axisRow" fieldPosition="5"/>
    </format>
    <format dxfId="179">
      <pivotArea field="17" type="button" dataOnly="0" labelOnly="1" outline="0" axis="axisRow" fieldPosition="6"/>
    </format>
    <format dxfId="178">
      <pivotArea field="18" type="button" dataOnly="0" labelOnly="1" outline="0" axis="axisRow" fieldPosition="7"/>
    </format>
    <format dxfId="177">
      <pivotArea field="19" type="button" dataOnly="0" labelOnly="1" outline="0" axis="axisRow" fieldPosition="8"/>
    </format>
    <format dxfId="176">
      <pivotArea dataOnly="0" labelOnly="1" outline="0" fieldPosition="0">
        <references count="1">
          <reference field="4294967294" count="3">
            <x v="0"/>
            <x v="1"/>
            <x v="2"/>
          </reference>
        </references>
      </pivotArea>
    </format>
    <format dxfId="175">
      <pivotArea outline="0" fieldPosition="0">
        <references count="2">
          <reference field="4" count="0" selected="0"/>
          <reference field="5" count="0" selected="0" defaultSubtotal="1"/>
        </references>
      </pivotArea>
    </format>
    <format dxfId="174">
      <pivotArea dataOnly="0" labelOnly="1" outline="0" fieldPosition="0">
        <references count="1">
          <reference field="4" count="0"/>
        </references>
      </pivotArea>
    </format>
    <format dxfId="173">
      <pivotArea dataOnly="0" labelOnly="1" outline="0" fieldPosition="0">
        <references count="2">
          <reference field="4" count="0" selected="0"/>
          <reference field="5" count="0" defaultSubtotal="1"/>
        </references>
      </pivotArea>
    </format>
    <format dxfId="172">
      <pivotArea outline="0" fieldPosition="0">
        <references count="2">
          <reference field="4" count="0" selected="0"/>
          <reference field="5" count="0" selected="0" defaultSubtotal="1"/>
        </references>
      </pivotArea>
    </format>
    <format dxfId="171">
      <pivotArea dataOnly="0" labelOnly="1" outline="0" fieldPosition="0">
        <references count="1">
          <reference field="4" count="0"/>
        </references>
      </pivotArea>
    </format>
    <format dxfId="170">
      <pivotArea dataOnly="0" labelOnly="1" outline="0" fieldPosition="0">
        <references count="2">
          <reference field="4" count="0" selected="0"/>
          <reference field="5" count="0" defaultSubtotal="1"/>
        </references>
      </pivotArea>
    </format>
    <format dxfId="169">
      <pivotArea outline="0" fieldPosition="0">
        <references count="2">
          <reference field="4" count="0" selected="0"/>
          <reference field="5" count="0" selected="0" defaultSubtotal="1"/>
        </references>
      </pivotArea>
    </format>
    <format dxfId="168">
      <pivotArea dataOnly="0" labelOnly="1" outline="0" fieldPosition="0">
        <references count="1">
          <reference field="4" count="0"/>
        </references>
      </pivotArea>
    </format>
    <format dxfId="167">
      <pivotArea dataOnly="0" labelOnly="1" outline="0" fieldPosition="0">
        <references count="2">
          <reference field="4" count="0" selected="0"/>
          <reference field="5" count="0" defaultSubtotal="1"/>
        </references>
      </pivotArea>
    </format>
    <format dxfId="0">
      <pivotArea dataOnly="0" labelOnly="1" outline="0" fieldPosition="0">
        <references count="1">
          <reference field="4"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CD3EFC45-955F-440D-875E-2DA8CA9CB7F9}" autoFormatId="16" applyNumberFormats="0" applyBorderFormats="0" applyFontFormats="0" applyPatternFormats="0" applyAlignmentFormats="0" applyWidthHeightFormats="0">
  <queryTableRefresh nextId="40">
    <queryTableFields count="22">
      <queryTableField id="2" name="ItemTableCaptItemFilter" tableColumnId="2"/>
      <queryTableField id="3" name="ItemFilter" tableColumnId="3"/>
      <queryTableField id="4" name="StrSbStNoSalOdrLnSalLnFlt" tableColumnId="4"/>
      <queryTableField id="5" name="SalesLineFilter" tableColumnId="5"/>
      <queryTableField id="6" name="No_Item" tableColumnId="6"/>
      <queryTableField id="7" name="Description_Item" tableColumnId="7"/>
      <queryTableField id="8" name="OutstandingAmt_SalesLine" tableColumnId="8"/>
      <queryTableField id="34" dataBound="0" tableColumnId="14"/>
      <queryTableField id="35" dataBound="0" tableColumnId="15"/>
      <queryTableField id="36" name="InventoryPostingGroup_Item" tableColumnId="16"/>
      <queryTableField id="37" name="AssemblyBOM_Item" tableColumnId="17"/>
      <queryTableField id="23" name="SalesLineDocumentNo" tableColumnId="23"/>
      <queryTableField id="24" name="SalesHeaderBilltoName" tableColumnId="24"/>
      <queryTableField id="25" name="ShipmentDate_SalesLine" tableColumnId="25"/>
      <queryTableField id="26" name="Quantity_SalesLine" tableColumnId="26"/>
      <queryTableField id="27" name="OutstandingQty_SalesLine" tableColumnId="27"/>
      <queryTableField id="28" name="BackOrderQty" tableColumnId="28"/>
      <queryTableField id="29" name="SalesLineUnitPrice" tableColumnId="29"/>
      <queryTableField id="30" name="SalesLineLineDiscount" tableColumnId="30"/>
      <queryTableField id="31" name="InvDiscountAmt_SalesLine" tableColumnId="31"/>
      <queryTableField id="32" name="OutstandingAmt1_SalesLine" tableColumnId="32"/>
      <queryTableField id="33" name="SalesLineDescription"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4A4E3D07-C59D-4CC3-A0F8-E94176C3F36B}" sourceName="No_Item">
  <pivotTables>
    <pivotTable tabId="8" name="PivotTable2"/>
  </pivotTables>
  <data>
    <tabular pivotCacheId="514050888"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LineDocumentNo" xr10:uid="{8E047920-0EA1-4DD5-B23F-CA431C44E914}" sourceName="SalesLineDocumentNo">
  <pivotTables>
    <pivotTable tabId="8" name="PivotTable2"/>
  </pivotTables>
  <data>
    <tabular pivotCacheId="514050888"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_Item$" xr10:uid="{711070A4-0307-4603-A677-57B68984BC31}" cache="Slicer_No_Item" caption="$No_Item$" style="Business Central Reports Slicer Style (Template)" rowHeight="273050"/>
  <slicer name="$SalesLineDocumentNo$" xr10:uid="{6DDBFC1E-7F88-4B38-979F-C2156C144705}" cache="Slicer_SalesLineDocumentNo" caption="$SalesLineDocumentNo$"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433065-AFC5-431F-8B69-F4F6DABA3FB2}" name="InventoryOrderDetails_Query" displayName="InventoryOrderDetails_Query" ref="A1:V2" tableType="queryTable" totalsRowShown="0">
  <autoFilter ref="A1:V2" xr:uid="{88433065-AFC5-431F-8B69-F4F6DABA3FB2}"/>
  <tableColumns count="22">
    <tableColumn id="2" xr3:uid="{3164457D-C4D7-43D2-AE52-46DB1EF86FA5}" uniqueName="2" name="ItemTableCaptItemFilter" queryTableFieldId="2" dataDxfId="166"/>
    <tableColumn id="3" xr3:uid="{70D778BF-7523-4C4E-A180-43EF625038E8}" uniqueName="3" name="ItemFilter" queryTableFieldId="3" dataDxfId="165"/>
    <tableColumn id="4" xr3:uid="{DC487C65-ED01-405A-A8FC-47184F43CA52}" uniqueName="4" name="StrSbStNoSalOdrLnSalLnFlt" queryTableFieldId="4" dataDxfId="164"/>
    <tableColumn id="5" xr3:uid="{FF3DFA8C-786C-44FE-943B-C2CD1097F308}" uniqueName="5" name="SalesLineFilter" queryTableFieldId="5" dataDxfId="163"/>
    <tableColumn id="6" xr3:uid="{4D72DC76-214B-4DA8-94D4-9DB285D78BB3}" uniqueName="6" name="No_Item" queryTableFieldId="6" dataDxfId="162"/>
    <tableColumn id="7" xr3:uid="{E7EF1F33-7C10-44CD-99F2-648824002950}" uniqueName="7" name="Description_Item" queryTableFieldId="7" dataDxfId="161"/>
    <tableColumn id="8" xr3:uid="{DD68AB1A-21A8-4676-86D2-5A6002592BC0}" uniqueName="8" name="OutstandingAmt_SalesLine" queryTableFieldId="8"/>
    <tableColumn id="14" xr3:uid="{5F8EC3D8-4A5A-4746-9C1B-402811B56837}" uniqueName="14" name="InventoryPostingGroup_Item" queryTableFieldId="34"/>
    <tableColumn id="15" xr3:uid="{A483B8C9-37FD-4EDD-86E3-3BDB79C0A70B}" uniqueName="15" name="AssemblyBOM_Item" queryTableFieldId="35"/>
    <tableColumn id="16" xr3:uid="{7087456F-EC6A-4CA2-85E2-3B55F15D3F0D}" uniqueName="16" name="InventoryPostingGroup_Item2" queryTableFieldId="36"/>
    <tableColumn id="17" xr3:uid="{9922EBAE-3E1A-4A13-9354-1C5AAFE8CF84}" uniqueName="17" name="AssemblyBOM_Item3" queryTableFieldId="37"/>
    <tableColumn id="23" xr3:uid="{579204B4-E51F-46FB-B514-A656E36ADA2E}" uniqueName="23" name="SalesLineDocumentNo" queryTableFieldId="23" dataDxfId="160"/>
    <tableColumn id="24" xr3:uid="{D7677D20-9FD2-45B2-A325-A90EDA9D31C5}" uniqueName="24" name="SalesHeaderBilltoName" queryTableFieldId="24" dataDxfId="159"/>
    <tableColumn id="25" xr3:uid="{A15B09E2-7E99-4EEC-B71B-6337241DD730}" uniqueName="25" name="ShipmentDate_SalesLine" queryTableFieldId="25" dataDxfId="158"/>
    <tableColumn id="26" xr3:uid="{71EAD99E-5567-4774-817B-4FBC27D13E1A}" uniqueName="26" name="Quantity_SalesLine" queryTableFieldId="26"/>
    <tableColumn id="27" xr3:uid="{00F5ECFD-8EF4-4CB0-9DFC-198FB632B7CA}" uniqueName="27" name="OutstandingQty_SalesLine" queryTableFieldId="27"/>
    <tableColumn id="28" xr3:uid="{2DD3E94A-FEF1-448C-A8F2-D1B1300F97DC}" uniqueName="28" name="BackOrderQty" queryTableFieldId="28"/>
    <tableColumn id="29" xr3:uid="{BE6E35A4-7CBC-4363-AE89-4126461D1317}" uniqueName="29" name="SalesLineUnitPrice" queryTableFieldId="29"/>
    <tableColumn id="30" xr3:uid="{94ACB9D9-76C9-41CE-A6A1-7412B534DF04}" uniqueName="30" name="SalesLineLineDiscount" queryTableFieldId="30"/>
    <tableColumn id="31" xr3:uid="{281CBD0A-1C17-4128-A656-F488F075992C}" uniqueName="31" name="InvDiscountAmt_SalesLine" queryTableFieldId="31"/>
    <tableColumn id="32" xr3:uid="{1A7F510A-F291-4391-A1D8-CA743290A83A}" uniqueName="32" name="OutstandingAmt1_SalesLine" queryTableFieldId="32"/>
    <tableColumn id="33" xr3:uid="{626431AE-C6EF-47AD-9068-4E2C5B47E246}" uniqueName="33" name="SalesLineDescription" queryTableFieldId="33" dataDxfId="1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T2" totalsRowShown="0" headerRowDxfId="156">
  <autoFilter ref="A1:T2" xr:uid="{41D726F2-778D-4B1C-A5EA-875FED73D050}"/>
  <tableColumns count="20">
    <tableColumn id="2" xr3:uid="{21867904-D69E-41E3-B5BE-D9B124B8D7E4}" name="ItemTableCaptItemFilter"/>
    <tableColumn id="3" xr3:uid="{21867904-D69E-41E3-B5BE-D9B124B8D7E4}" name="ItemFilter"/>
    <tableColumn id="4" xr3:uid="{21867904-D69E-41E3-B5BE-D9B124B8D7E4}" name="StrSbStNoSalOdrLnSalLnFlt"/>
    <tableColumn id="5" xr3:uid="{21867904-D69E-41E3-B5BE-D9B124B8D7E4}" name="SalesLineFilter"/>
    <tableColumn id="6" xr3:uid="{21867904-D69E-41E3-B5BE-D9B124B8D7E4}" name="No_Item"/>
    <tableColumn id="7" xr3:uid="{21867904-D69E-41E3-B5BE-D9B124B8D7E4}" name="Description_Item"/>
    <tableColumn id="8" xr3:uid="{21867904-D69E-41E3-B5BE-D9B124B8D7E4}" name="OutstandingAmt_SalesLine"/>
    <tableColumn id="34" xr3:uid="{862C719C-65D2-4101-B2E2-4172A56FEEB1}" name="InventoryPostingGroup_Item" dataDxfId="155"/>
    <tableColumn id="35" xr3:uid="{39E62E8E-25E4-427A-A504-2CC26945BCF1}" name="AssemblyBOM_Item" dataDxfId="154"/>
    <tableColumn id="23" xr3:uid="{21867904-D69E-41E3-B5BE-D9B124B8D7E4}" name="SalesLineDocumentNo"/>
    <tableColumn id="24" xr3:uid="{21867904-D69E-41E3-B5BE-D9B124B8D7E4}" name="SalesHeaderBilltoName"/>
    <tableColumn id="25" xr3:uid="{21867904-D69E-41E3-B5BE-D9B124B8D7E4}" name="ShipmentDate_SalesLine"/>
    <tableColumn id="26" xr3:uid="{21867904-D69E-41E3-B5BE-D9B124B8D7E4}" name="Quantity_SalesLine"/>
    <tableColumn id="27" xr3:uid="{21867904-D69E-41E3-B5BE-D9B124B8D7E4}" name="OutstandingQty_SalesLine"/>
    <tableColumn id="28" xr3:uid="{21867904-D69E-41E3-B5BE-D9B124B8D7E4}" name="BackOrderQty"/>
    <tableColumn id="29" xr3:uid="{21867904-D69E-41E3-B5BE-D9B124B8D7E4}" name="SalesLineUnitPrice"/>
    <tableColumn id="30" xr3:uid="{21867904-D69E-41E3-B5BE-D9B124B8D7E4}" name="SalesLineLineDiscount"/>
    <tableColumn id="31" xr3:uid="{21867904-D69E-41E3-B5BE-D9B124B8D7E4}" name="InvDiscountAmt_SalesLine"/>
    <tableColumn id="32" xr3:uid="{21867904-D69E-41E3-B5BE-D9B124B8D7E4}" name="OutstandingAmt1_SalesLine"/>
    <tableColumn id="33" xr3:uid="{21867904-D69E-41E3-B5BE-D9B124B8D7E4}" name="SalesLineDescriptio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53">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52">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51">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50">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0EBC-D499-4FCA-A3A5-92AB0E9FAE1D}">
  <sheetPr>
    <pageSetUpPr fitToPage="1"/>
  </sheetPr>
  <dimension ref="A2:M9"/>
  <sheetViews>
    <sheetView showGridLines="0" tabSelected="1" zoomScaleNormal="100" workbookViewId="0"/>
  </sheetViews>
  <sheetFormatPr defaultRowHeight="20.100000000000001" customHeight="1" x14ac:dyDescent="0.45"/>
  <cols>
    <col min="1" max="1" width="9.09765625" style="17" customWidth="1"/>
    <col min="2" max="2" width="11.5" customWidth="1"/>
    <col min="3" max="3" width="33.59765625" customWidth="1"/>
    <col min="4" max="4" width="14.3984375" customWidth="1"/>
    <col min="5" max="5" width="25.8984375" customWidth="1"/>
    <col min="6" max="6" width="15.59765625" customWidth="1"/>
    <col min="7" max="7" width="17.8984375" customWidth="1"/>
    <col min="8" max="8" width="9.59765625" customWidth="1"/>
    <col min="9" max="9" width="15.69921875" customWidth="1"/>
    <col min="10" max="10" width="25" customWidth="1"/>
    <col min="11" max="11" width="19.8984375" customWidth="1"/>
    <col min="12" max="12" width="21.5" customWidth="1"/>
    <col min="13" max="13" width="20.59765625" customWidth="1"/>
  </cols>
  <sheetData>
    <row r="2" spans="2:13" ht="20.100000000000001" customHeight="1" thickBot="1" x14ac:dyDescent="0.5">
      <c r="B2" s="3" t="s">
        <v>84</v>
      </c>
      <c r="M2" s="5" t="str" cm="1">
        <f t="array" ref="M2">ReportRequest.CompanyName</f>
        <v>Company name Value</v>
      </c>
    </row>
    <row r="3" spans="2:13" ht="20.100000000000001" customHeight="1" thickTop="1" x14ac:dyDescent="0.45"/>
    <row r="4" spans="2:13" ht="20.100000000000001" customHeight="1" x14ac:dyDescent="0.45">
      <c r="L4" s="7" t="e" cm="1">
        <f t="array" ref="L4">Caption.DataRetrieved</f>
        <v>#NAME?</v>
      </c>
      <c r="M4" s="8" t="str" cm="1">
        <f t="array" ref="M4">ReportRequest.DateLocal</f>
        <v>Date (Local) Value</v>
      </c>
    </row>
    <row r="6" spans="2:13" ht="20.100000000000001" customHeight="1" x14ac:dyDescent="0.45">
      <c r="B6" s="20" t="s">
        <v>85</v>
      </c>
      <c r="C6" s="20" t="s">
        <v>86</v>
      </c>
      <c r="D6" s="20" t="s">
        <v>87</v>
      </c>
      <c r="E6" s="20" t="s">
        <v>88</v>
      </c>
      <c r="F6" s="20" t="s">
        <v>102</v>
      </c>
      <c r="G6" s="22" t="s">
        <v>92</v>
      </c>
      <c r="H6" s="22" t="s">
        <v>89</v>
      </c>
      <c r="I6" s="22" t="s">
        <v>93</v>
      </c>
      <c r="J6" s="22" t="s">
        <v>94</v>
      </c>
      <c r="K6" s="21" t="s">
        <v>90</v>
      </c>
      <c r="L6" s="21" t="s">
        <v>91</v>
      </c>
      <c r="M6" s="21" t="s">
        <v>95</v>
      </c>
    </row>
    <row r="7" spans="2:13" ht="20.100000000000001" customHeight="1" x14ac:dyDescent="0.45">
      <c r="B7" s="9"/>
      <c r="C7" s="9"/>
      <c r="D7" s="9"/>
      <c r="E7" s="9"/>
      <c r="F7" s="9"/>
      <c r="G7" s="16">
        <v>0</v>
      </c>
      <c r="H7" s="16">
        <v>0</v>
      </c>
      <c r="I7" s="16">
        <v>0</v>
      </c>
      <c r="J7" s="16">
        <v>0</v>
      </c>
      <c r="K7" s="16">
        <v>0</v>
      </c>
      <c r="L7" s="16">
        <v>0</v>
      </c>
      <c r="M7" s="16">
        <v>0</v>
      </c>
    </row>
    <row r="8" spans="2:13" ht="20.100000000000001" customHeight="1" x14ac:dyDescent="0.45">
      <c r="B8" s="9"/>
      <c r="C8" s="23" t="s">
        <v>107</v>
      </c>
      <c r="D8" s="23"/>
      <c r="E8" s="23"/>
      <c r="F8" s="23"/>
      <c r="G8" s="23"/>
      <c r="H8" s="23"/>
      <c r="I8" s="23"/>
      <c r="J8" s="23"/>
      <c r="K8" s="27">
        <v>0</v>
      </c>
      <c r="L8" s="27">
        <v>0</v>
      </c>
      <c r="M8" s="27">
        <v>0</v>
      </c>
    </row>
    <row r="9" spans="2:13" ht="20.100000000000001" customHeight="1" x14ac:dyDescent="0.45">
      <c r="B9" s="9" t="s">
        <v>83</v>
      </c>
      <c r="C9" s="9"/>
      <c r="D9" s="9"/>
      <c r="E9" s="9"/>
      <c r="F9" s="9"/>
      <c r="G9" s="9"/>
      <c r="H9" s="9"/>
      <c r="I9" s="9"/>
      <c r="J9" s="9"/>
      <c r="K9" s="15">
        <v>0</v>
      </c>
      <c r="L9" s="15">
        <v>0</v>
      </c>
      <c r="M9" s="15">
        <v>0</v>
      </c>
    </row>
  </sheetData>
  <printOptions horizontalCentered="1"/>
  <pageMargins left="0.25" right="0.25" top="0.75" bottom="0.75" header="0.3" footer="0.3"/>
  <pageSetup paperSize="9" scale="56"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12F0-283B-4116-9932-0DB890365DBB}">
  <sheetPr>
    <pageSetUpPr fitToPage="1"/>
  </sheetPr>
  <dimension ref="A1:N4"/>
  <sheetViews>
    <sheetView showGridLines="0" zoomScaleNormal="100" workbookViewId="0"/>
  </sheetViews>
  <sheetFormatPr defaultRowHeight="20.100000000000001" customHeight="1" x14ac:dyDescent="0.45"/>
  <cols>
    <col min="1" max="1" width="50.69921875" style="17" customWidth="1"/>
    <col min="2" max="2" width="9.8984375" customWidth="1"/>
    <col min="3" max="3" width="33.59765625" customWidth="1"/>
    <col min="4" max="4" width="14.3984375" customWidth="1"/>
    <col min="5" max="5" width="27.3984375" customWidth="1"/>
    <col min="6" max="6" width="14.5" customWidth="1"/>
    <col min="7" max="7" width="9.59765625" customWidth="1"/>
    <col min="8" max="8" width="17.69921875" customWidth="1"/>
    <col min="9" max="9" width="15.69921875" style="19" customWidth="1"/>
    <col min="10" max="10" width="25" customWidth="1"/>
    <col min="11" max="11" width="19.8984375" customWidth="1"/>
    <col min="12" max="12" width="19.09765625" customWidth="1"/>
    <col min="13" max="13" width="18.59765625" customWidth="1"/>
  </cols>
  <sheetData>
    <row r="1" spans="2:14" ht="20.399999999999999" x14ac:dyDescent="0.45">
      <c r="B1" s="24" t="s">
        <v>85</v>
      </c>
      <c r="C1" s="24" t="s">
        <v>86</v>
      </c>
      <c r="D1" s="24" t="s">
        <v>87</v>
      </c>
      <c r="E1" s="24" t="s">
        <v>88</v>
      </c>
      <c r="F1" s="24" t="s">
        <v>102</v>
      </c>
      <c r="G1" s="25" t="s">
        <v>89</v>
      </c>
      <c r="H1" s="24" t="s">
        <v>92</v>
      </c>
      <c r="I1" s="25" t="s">
        <v>93</v>
      </c>
      <c r="J1" s="25" t="s">
        <v>94</v>
      </c>
      <c r="K1" s="26" t="s">
        <v>90</v>
      </c>
      <c r="L1" s="26" t="s">
        <v>91</v>
      </c>
      <c r="M1" s="26" t="s">
        <v>95</v>
      </c>
    </row>
    <row r="2" spans="2:14" ht="20.399999999999999" x14ac:dyDescent="0.45">
      <c r="B2" s="9"/>
      <c r="C2" s="9"/>
      <c r="D2" s="9"/>
      <c r="E2" s="9"/>
      <c r="F2" s="9"/>
      <c r="G2" s="15">
        <v>0</v>
      </c>
      <c r="H2" s="15">
        <v>0</v>
      </c>
      <c r="I2" s="15">
        <v>0</v>
      </c>
      <c r="J2" s="15">
        <v>0</v>
      </c>
      <c r="K2" s="15">
        <v>0</v>
      </c>
      <c r="L2" s="15">
        <v>0</v>
      </c>
      <c r="M2" s="15">
        <v>0</v>
      </c>
      <c r="N2" s="11"/>
    </row>
    <row r="3" spans="2:14" ht="20.399999999999999" x14ac:dyDescent="0.45">
      <c r="B3" s="9"/>
      <c r="C3" s="23" t="s">
        <v>107</v>
      </c>
      <c r="D3" s="23"/>
      <c r="E3" s="23"/>
      <c r="F3" s="23"/>
      <c r="G3" s="23"/>
      <c r="H3" s="23"/>
      <c r="I3" s="23"/>
      <c r="J3" s="23"/>
      <c r="K3" s="27">
        <v>0</v>
      </c>
      <c r="L3" s="27">
        <v>0</v>
      </c>
      <c r="M3" s="27">
        <v>0</v>
      </c>
      <c r="N3" s="11"/>
    </row>
    <row r="4" spans="2:14" ht="20.399999999999999" x14ac:dyDescent="0.45">
      <c r="B4" s="9" t="s">
        <v>83</v>
      </c>
      <c r="C4" s="9"/>
      <c r="D4" s="9"/>
      <c r="E4" s="9"/>
      <c r="F4" s="9"/>
      <c r="G4" s="9"/>
      <c r="H4" s="9"/>
      <c r="I4" s="9"/>
      <c r="J4" s="9"/>
      <c r="K4" s="15">
        <v>0</v>
      </c>
      <c r="L4" s="15">
        <v>0</v>
      </c>
      <c r="M4" s="15">
        <v>0</v>
      </c>
    </row>
  </sheetData>
  <printOptions horizontalCentered="1"/>
  <pageMargins left="0.25" right="0.25" top="0.75" bottom="0.75" header="0.3" footer="0.3"/>
  <pageSetup paperSize="9" scale="47"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01C1-C832-49B9-8B46-6D751AC373CE}">
  <sheetPr>
    <pageSetUpPr fitToPage="1"/>
  </sheetPr>
  <dimension ref="A1:C8"/>
  <sheetViews>
    <sheetView showGridLines="0" zoomScaleNormal="100" workbookViewId="0"/>
  </sheetViews>
  <sheetFormatPr defaultColWidth="8.59765625" defaultRowHeight="20.100000000000001" customHeight="1" x14ac:dyDescent="0.4"/>
  <cols>
    <col min="1" max="1" width="17.3984375" style="4" customWidth="1"/>
    <col min="2" max="2" width="25.59765625" style="4" customWidth="1"/>
    <col min="3" max="3" width="8.59765625" style="10"/>
    <col min="4" max="16384" width="8.59765625" style="4"/>
  </cols>
  <sheetData>
    <row r="1" spans="1:2" ht="20.100000000000001" customHeight="1" x14ac:dyDescent="0.4">
      <c r="A1" s="12" t="s">
        <v>96</v>
      </c>
      <c r="B1" s="6" t="str" cm="1">
        <f t="array" ref="B1">ReportRequest.EnvironmentName</f>
        <v>Environment name Value</v>
      </c>
    </row>
    <row r="2" spans="1:2" ht="20.100000000000001" customHeight="1" x14ac:dyDescent="0.4">
      <c r="A2" s="12" t="s">
        <v>97</v>
      </c>
      <c r="B2" s="6" t="str" cm="1">
        <f t="array" ref="B2">ReportRequest.CompanyName</f>
        <v>Company name Value</v>
      </c>
    </row>
    <row r="3" spans="1:2" ht="20.100000000000001" customHeight="1" x14ac:dyDescent="0.4">
      <c r="A3" s="12" t="s">
        <v>98</v>
      </c>
      <c r="B3" s="6" t="str" cm="1">
        <f t="array" ref="B3">ReportRequest.UserName</f>
        <v>User name Value</v>
      </c>
    </row>
    <row r="4" spans="1:2" ht="20.100000000000001" customHeight="1" x14ac:dyDescent="0.4">
      <c r="A4" s="12" t="s">
        <v>99</v>
      </c>
      <c r="B4" s="13" t="str" cm="1">
        <f t="array" ref="B4">ReportRequest.DateLocal</f>
        <v>Date (Local) Value</v>
      </c>
    </row>
    <row r="5" spans="1:2" ht="20.100000000000001" customHeight="1" x14ac:dyDescent="0.4">
      <c r="A5" s="12"/>
      <c r="B5" s="14" t="str" cm="1">
        <f t="array" ref="B5">ReportRequest.DateLocal</f>
        <v>Date (Local) Value</v>
      </c>
    </row>
    <row r="6" spans="1:2" ht="20.100000000000001" customHeight="1" x14ac:dyDescent="0.4">
      <c r="A6" s="12" t="s">
        <v>100</v>
      </c>
      <c r="B6" s="6" t="str" cm="1">
        <f t="array" ref="B6">ReportMetadata.ObjectCaption</f>
        <v>Object Caption Value</v>
      </c>
    </row>
    <row r="7" spans="1:2" ht="20.100000000000001" customHeight="1" x14ac:dyDescent="0.4">
      <c r="A7" s="12" t="s">
        <v>101</v>
      </c>
      <c r="B7" s="18" t="str">
        <f>HYPERLINK(_xlfn.CONCAT("https://learn.microsoft.com/dynamics365/business-central/reports/report-",ReportMetadata.ObjectID))</f>
        <v>https://learn.microsoft.com/dynamics365/business-central/reports/report-Object ID Value</v>
      </c>
    </row>
    <row r="8" spans="1:2" ht="20.100000000000001" customHeight="1" x14ac:dyDescent="0.4">
      <c r="A8" s="12"/>
      <c r="B8" s="9"/>
    </row>
  </sheetData>
  <printOptions horizontalCentered="1"/>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CC9-7A43-482E-8722-D606EDD966D2}">
  <dimension ref="A1:V2"/>
  <sheetViews>
    <sheetView workbookViewId="0"/>
  </sheetViews>
  <sheetFormatPr defaultRowHeight="16.8" x14ac:dyDescent="0.4"/>
  <cols>
    <col min="1" max="1" width="23.8984375" bestFit="1" customWidth="1"/>
    <col min="2" max="2" width="11.09765625" bestFit="1" customWidth="1"/>
    <col min="3" max="3" width="26.19921875" bestFit="1" customWidth="1"/>
    <col min="4" max="4" width="15.09765625" bestFit="1" customWidth="1"/>
    <col min="5" max="5" width="10" bestFit="1" customWidth="1"/>
    <col min="6" max="6" width="17.296875" bestFit="1" customWidth="1"/>
    <col min="7" max="7" width="25.8984375" bestFit="1" customWidth="1"/>
    <col min="8" max="8" width="27.8984375" bestFit="1" customWidth="1"/>
    <col min="9" max="9" width="20.09765625" bestFit="1" customWidth="1"/>
    <col min="10" max="10" width="28.8984375" bestFit="1" customWidth="1"/>
    <col min="11" max="11" width="21.09765625" bestFit="1" customWidth="1"/>
    <col min="12" max="12" width="22.19921875" bestFit="1" customWidth="1"/>
    <col min="13" max="13" width="23.19921875" bestFit="1" customWidth="1"/>
    <col min="14" max="14" width="23.796875" bestFit="1" customWidth="1"/>
    <col min="15" max="15" width="19.09765625" bestFit="1" customWidth="1"/>
    <col min="16" max="16" width="25.3984375" bestFit="1" customWidth="1"/>
    <col min="17" max="17" width="15.09765625" bestFit="1" customWidth="1"/>
    <col min="18" max="18" width="18.59765625" bestFit="1" customWidth="1"/>
    <col min="19" max="19" width="21.8984375" bestFit="1" customWidth="1"/>
    <col min="20" max="20" width="25.5" bestFit="1" customWidth="1"/>
    <col min="21" max="21" width="26.8984375" bestFit="1" customWidth="1"/>
    <col min="22" max="22" width="20.59765625" bestFit="1" customWidth="1"/>
    <col min="23" max="23" width="15.5" bestFit="1" customWidth="1"/>
    <col min="24" max="24" width="19.3984375" bestFit="1" customWidth="1"/>
    <col min="25" max="25" width="22.69921875" bestFit="1" customWidth="1"/>
    <col min="26" max="26" width="26.59765625" bestFit="1" customWidth="1"/>
    <col min="27" max="27" width="28.19921875" bestFit="1" customWidth="1"/>
    <col min="28" max="28" width="21.3984375" bestFit="1" customWidth="1"/>
    <col min="29" max="29" width="24.59765625" customWidth="1"/>
    <col min="30" max="30" width="19.59765625" customWidth="1"/>
    <col min="31" max="31" width="25.8984375" customWidth="1"/>
    <col min="32" max="32" width="15" customWidth="1"/>
    <col min="33" max="33" width="19.3984375" customWidth="1"/>
    <col min="34" max="34" width="22.3984375" customWidth="1"/>
    <col min="35" max="35" width="25.8984375" customWidth="1"/>
    <col min="36" max="36" width="27.5" customWidth="1"/>
    <col min="37" max="37" width="21" customWidth="1"/>
  </cols>
  <sheetData>
    <row r="1" spans="1:22" x14ac:dyDescent="0.4">
      <c r="A1" t="s">
        <v>64</v>
      </c>
      <c r="B1" t="s">
        <v>65</v>
      </c>
      <c r="C1" t="s">
        <v>66</v>
      </c>
      <c r="D1" t="s">
        <v>67</v>
      </c>
      <c r="E1" t="s">
        <v>68</v>
      </c>
      <c r="F1" t="s">
        <v>69</v>
      </c>
      <c r="G1" t="s">
        <v>70</v>
      </c>
      <c r="H1" t="s">
        <v>103</v>
      </c>
      <c r="I1" t="s">
        <v>104</v>
      </c>
      <c r="J1" t="s">
        <v>105</v>
      </c>
      <c r="K1" t="s">
        <v>106</v>
      </c>
      <c r="L1" t="s">
        <v>71</v>
      </c>
      <c r="M1" t="s">
        <v>72</v>
      </c>
      <c r="N1" t="s">
        <v>73</v>
      </c>
      <c r="O1" t="s">
        <v>74</v>
      </c>
      <c r="P1" t="s">
        <v>75</v>
      </c>
      <c r="Q1" t="s">
        <v>76</v>
      </c>
      <c r="R1" t="s">
        <v>77</v>
      </c>
      <c r="S1" t="s">
        <v>78</v>
      </c>
      <c r="T1" t="s">
        <v>79</v>
      </c>
      <c r="U1" t="s">
        <v>80</v>
      </c>
      <c r="V1" t="s">
        <v>81</v>
      </c>
    </row>
    <row r="2" spans="1:22" x14ac:dyDescent="0.4">
      <c r="A2" t="s">
        <v>82</v>
      </c>
      <c r="B2" t="s">
        <v>82</v>
      </c>
      <c r="C2" t="s">
        <v>82</v>
      </c>
      <c r="D2" t="s">
        <v>82</v>
      </c>
      <c r="E2" t="s">
        <v>82</v>
      </c>
      <c r="F2" t="s">
        <v>82</v>
      </c>
      <c r="G2">
        <v>0</v>
      </c>
      <c r="L2" t="s">
        <v>82</v>
      </c>
      <c r="M2" t="s">
        <v>82</v>
      </c>
      <c r="N2" t="s">
        <v>82</v>
      </c>
      <c r="O2">
        <v>0</v>
      </c>
      <c r="P2">
        <v>0</v>
      </c>
      <c r="Q2">
        <v>0</v>
      </c>
      <c r="R2">
        <v>0</v>
      </c>
      <c r="S2">
        <v>0</v>
      </c>
      <c r="T2">
        <v>0</v>
      </c>
      <c r="U2">
        <v>0</v>
      </c>
      <c r="V2" t="s">
        <v>82</v>
      </c>
    </row>
  </sheetData>
  <phoneticPr fontId="1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workbookViewId="0">
      <pane ySplit="1" topLeftCell="A2" activePane="bottomLeft" state="frozen"/>
      <selection pane="bottomLeft"/>
    </sheetView>
  </sheetViews>
  <sheetFormatPr defaultRowHeight="16.8" x14ac:dyDescent="0.4"/>
  <cols>
    <col min="1" max="1" width="25" bestFit="1" customWidth="1"/>
    <col min="2" max="2" width="11.69921875" bestFit="1" customWidth="1"/>
    <col min="3" max="3" width="27.19921875" bestFit="1" customWidth="1"/>
    <col min="4" max="4" width="15.69921875" bestFit="1" customWidth="1"/>
    <col min="5" max="5" width="10.59765625" bestFit="1" customWidth="1"/>
    <col min="6" max="6" width="18.09765625" bestFit="1" customWidth="1"/>
    <col min="7" max="7" width="27" bestFit="1" customWidth="1"/>
    <col min="8" max="8" width="29.09765625" bestFit="1" customWidth="1"/>
    <col min="9" max="9" width="21.09765625" bestFit="1" customWidth="1"/>
    <col min="10" max="10" width="23.09765625" bestFit="1" customWidth="1"/>
    <col min="11" max="11" width="24" bestFit="1" customWidth="1"/>
    <col min="12" max="12" width="24.69921875" bestFit="1" customWidth="1"/>
    <col min="13" max="13" width="19.69921875" bestFit="1" customWidth="1"/>
    <col min="14" max="14" width="26.19921875" bestFit="1" customWidth="1"/>
    <col min="15" max="15" width="15.5" bestFit="1" customWidth="1"/>
    <col min="16" max="16" width="19.3984375" bestFit="1" customWidth="1"/>
    <col min="17" max="17" width="22.69921875" bestFit="1" customWidth="1"/>
    <col min="18" max="18" width="26.59765625" bestFit="1" customWidth="1"/>
    <col min="19" max="19" width="28.19921875" bestFit="1" customWidth="1"/>
    <col min="20" max="20" width="21.3984375" bestFit="1" customWidth="1"/>
  </cols>
  <sheetData>
    <row r="1" spans="1:20" x14ac:dyDescent="0.4">
      <c r="A1" t="s">
        <v>64</v>
      </c>
      <c r="B1" t="s">
        <v>65</v>
      </c>
      <c r="C1" t="s">
        <v>66</v>
      </c>
      <c r="D1" t="s">
        <v>67</v>
      </c>
      <c r="E1" t="s">
        <v>68</v>
      </c>
      <c r="F1" t="s">
        <v>69</v>
      </c>
      <c r="G1" t="s">
        <v>70</v>
      </c>
      <c r="H1" t="s">
        <v>103</v>
      </c>
      <c r="I1" t="s">
        <v>104</v>
      </c>
      <c r="J1" t="s">
        <v>71</v>
      </c>
      <c r="K1" t="s">
        <v>72</v>
      </c>
      <c r="L1" t="s">
        <v>73</v>
      </c>
      <c r="M1" t="s">
        <v>74</v>
      </c>
      <c r="N1" t="s">
        <v>75</v>
      </c>
      <c r="O1" t="s">
        <v>76</v>
      </c>
      <c r="P1" t="s">
        <v>77</v>
      </c>
      <c r="Q1" t="s">
        <v>78</v>
      </c>
      <c r="R1" t="s">
        <v>79</v>
      </c>
      <c r="S1" t="s">
        <v>80</v>
      </c>
      <c r="T1" t="s">
        <v>81</v>
      </c>
    </row>
    <row r="2" spans="1:20" x14ac:dyDescent="0.4">
      <c r="A2" t="s">
        <v>82</v>
      </c>
      <c r="B2" t="s">
        <v>82</v>
      </c>
      <c r="C2" t="s">
        <v>82</v>
      </c>
      <c r="D2" t="s">
        <v>82</v>
      </c>
      <c r="E2" t="s">
        <v>82</v>
      </c>
      <c r="F2" t="s">
        <v>82</v>
      </c>
      <c r="G2" s="2">
        <v>0</v>
      </c>
      <c r="H2" s="2"/>
      <c r="I2" s="2"/>
      <c r="J2" t="s">
        <v>82</v>
      </c>
      <c r="K2" t="s">
        <v>82</v>
      </c>
      <c r="L2" t="s">
        <v>82</v>
      </c>
      <c r="M2" s="2">
        <v>0</v>
      </c>
      <c r="N2" s="2">
        <v>0</v>
      </c>
      <c r="O2" s="2">
        <v>0</v>
      </c>
      <c r="P2" s="2">
        <v>0</v>
      </c>
      <c r="Q2" s="2">
        <v>0</v>
      </c>
      <c r="R2" s="2">
        <v>0</v>
      </c>
      <c r="S2" s="2">
        <v>0</v>
      </c>
      <c r="T2" t="s">
        <v>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8" x14ac:dyDescent="0.4"/>
  <cols>
    <col min="1" max="1" width="16.8984375" customWidth="1"/>
    <col min="2" max="2" width="11.3984375" customWidth="1"/>
  </cols>
  <sheetData>
    <row r="1" spans="1:3" x14ac:dyDescent="0.4">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8" x14ac:dyDescent="0.4"/>
  <cols>
    <col min="1" max="1" width="10.09765625" customWidth="1"/>
    <col min="2" max="2" width="17.3984375" customWidth="1"/>
  </cols>
  <sheetData>
    <row r="1" spans="1:2" x14ac:dyDescent="0.4">
      <c r="A1" t="s">
        <v>3</v>
      </c>
      <c r="B1" t="s">
        <v>1</v>
      </c>
    </row>
    <row r="2" spans="1:2" x14ac:dyDescent="0.4">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8" x14ac:dyDescent="0.4"/>
  <cols>
    <col min="1" max="1" width="25.59765625" customWidth="1"/>
    <col min="2" max="2" width="40.59765625" customWidth="1"/>
    <col min="3" max="3" width="5.59765625" customWidth="1"/>
    <col min="4" max="4" width="25.59765625" customWidth="1"/>
    <col min="5" max="5" width="40.59765625" customWidth="1"/>
    <col min="6" max="6" width="5.59765625" customWidth="1"/>
    <col min="7" max="7" width="25.59765625" customWidth="1"/>
    <col min="8" max="8" width="40.59765625" customWidth="1"/>
    <col min="9" max="9" width="5.59765625" customWidth="1"/>
    <col min="10" max="10" width="40.59765625" customWidth="1"/>
    <col min="11" max="11" width="25.59765625" customWidth="1"/>
  </cols>
  <sheetData>
    <row r="1" spans="1:11" x14ac:dyDescent="0.4">
      <c r="A1" s="1" t="s">
        <v>6</v>
      </c>
      <c r="B1" s="1" t="s">
        <v>7</v>
      </c>
      <c r="D1" s="1" t="s">
        <v>26</v>
      </c>
      <c r="E1" s="1" t="s">
        <v>27</v>
      </c>
      <c r="G1" s="1" t="s">
        <v>4</v>
      </c>
      <c r="H1" s="1" t="s">
        <v>5</v>
      </c>
      <c r="J1" s="1" t="s">
        <v>45</v>
      </c>
      <c r="K1" s="1" t="s">
        <v>46</v>
      </c>
    </row>
    <row r="2" spans="1:11" x14ac:dyDescent="0.4">
      <c r="A2" t="s">
        <v>8</v>
      </c>
      <c r="B2" t="s">
        <v>9</v>
      </c>
      <c r="D2" t="s">
        <v>48</v>
      </c>
      <c r="E2" t="s">
        <v>49</v>
      </c>
      <c r="G2" t="s">
        <v>4</v>
      </c>
      <c r="H2" t="s">
        <v>5</v>
      </c>
      <c r="J2" t="s">
        <v>45</v>
      </c>
      <c r="K2" t="s">
        <v>46</v>
      </c>
    </row>
    <row r="3" spans="1:11" x14ac:dyDescent="0.4">
      <c r="A3" t="s">
        <v>10</v>
      </c>
      <c r="B3" t="s">
        <v>11</v>
      </c>
      <c r="D3" t="s">
        <v>28</v>
      </c>
      <c r="E3" t="s">
        <v>29</v>
      </c>
    </row>
    <row r="4" spans="1:11" x14ac:dyDescent="0.4">
      <c r="A4" t="s">
        <v>12</v>
      </c>
      <c r="B4" t="s">
        <v>13</v>
      </c>
      <c r="D4" t="s">
        <v>30</v>
      </c>
      <c r="E4" t="s">
        <v>31</v>
      </c>
    </row>
    <row r="5" spans="1:11" x14ac:dyDescent="0.4">
      <c r="A5" t="s">
        <v>14</v>
      </c>
      <c r="B5" t="s">
        <v>15</v>
      </c>
      <c r="D5" t="s">
        <v>32</v>
      </c>
      <c r="E5" t="s">
        <v>33</v>
      </c>
    </row>
    <row r="6" spans="1:11" x14ac:dyDescent="0.4">
      <c r="A6" t="s">
        <v>16</v>
      </c>
      <c r="B6" t="s">
        <v>17</v>
      </c>
      <c r="D6" t="s">
        <v>34</v>
      </c>
      <c r="E6" t="s">
        <v>35</v>
      </c>
    </row>
    <row r="7" spans="1:11" x14ac:dyDescent="0.4">
      <c r="A7" t="s">
        <v>18</v>
      </c>
      <c r="B7" t="s">
        <v>19</v>
      </c>
      <c r="D7" t="s">
        <v>50</v>
      </c>
      <c r="E7" t="s">
        <v>51</v>
      </c>
    </row>
    <row r="8" spans="1:11" x14ac:dyDescent="0.4">
      <c r="A8" t="s">
        <v>58</v>
      </c>
      <c r="B8" t="s">
        <v>59</v>
      </c>
      <c r="D8" t="s">
        <v>36</v>
      </c>
      <c r="E8" t="s">
        <v>37</v>
      </c>
    </row>
    <row r="9" spans="1:11" x14ac:dyDescent="0.4">
      <c r="A9" t="s">
        <v>20</v>
      </c>
      <c r="B9" t="s">
        <v>21</v>
      </c>
      <c r="D9" t="s">
        <v>38</v>
      </c>
      <c r="E9" t="s">
        <v>39</v>
      </c>
    </row>
    <row r="10" spans="1:11" x14ac:dyDescent="0.4">
      <c r="A10" t="s">
        <v>22</v>
      </c>
      <c r="B10" t="s">
        <v>23</v>
      </c>
      <c r="D10" t="s">
        <v>40</v>
      </c>
      <c r="E10" t="s">
        <v>41</v>
      </c>
    </row>
    <row r="11" spans="1:11" x14ac:dyDescent="0.4">
      <c r="A11" t="s">
        <v>24</v>
      </c>
      <c r="B11" t="s">
        <v>25</v>
      </c>
      <c r="D11" t="s">
        <v>60</v>
      </c>
      <c r="E11" t="s">
        <v>61</v>
      </c>
    </row>
    <row r="12" spans="1:11" x14ac:dyDescent="0.4">
      <c r="D12" t="s">
        <v>62</v>
      </c>
      <c r="E12" t="s">
        <v>63</v>
      </c>
    </row>
    <row r="13" spans="1:11" x14ac:dyDescent="0.4">
      <c r="D13" t="s">
        <v>0</v>
      </c>
      <c r="E13" t="s">
        <v>42</v>
      </c>
    </row>
    <row r="14" spans="1:11" x14ac:dyDescent="0.4">
      <c r="D14" t="s">
        <v>43</v>
      </c>
      <c r="E14" t="s">
        <v>44</v>
      </c>
    </row>
    <row r="15" spans="1:11" x14ac:dyDescent="0.4">
      <c r="D15" t="s">
        <v>52</v>
      </c>
      <c r="E15" t="s">
        <v>53</v>
      </c>
    </row>
    <row r="16" spans="1:11" x14ac:dyDescent="0.4">
      <c r="D16" t="s">
        <v>54</v>
      </c>
      <c r="E16" t="s">
        <v>55</v>
      </c>
    </row>
    <row r="17" spans="4:5" x14ac:dyDescent="0.4">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DA4BCC-173B-45E2-B80E-086A4F4BA9C1}">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$InventoryOrderDetailsPrint$</vt:lpstr>
      <vt:lpstr>$InvOrderDetailsAnalysis$</vt:lpstr>
      <vt:lpstr>$AboutTheReportLabel$</vt:lpstr>
      <vt:lpstr>InventoryOrderDetails_Query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Adeline Soerjonoto</cp:lastModifiedBy>
  <cp:lastPrinted>2025-07-18T00:13:49Z</cp:lastPrinted>
  <dcterms:modified xsi:type="dcterms:W3CDTF">2026-02-23T03:40:29Z</dcterms:modified>
</cp:coreProperties>
</file>
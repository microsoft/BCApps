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daniel.williams\Source\Gold\Yellowstone.Dan\app\Inventory\Reports\"/>
    </mc:Choice>
  </mc:AlternateContent>
  <xr:revisionPtr revIDLastSave="0" documentId="13_ncr:1_{2084FAF2-B1AE-4EB1-AD84-CBC63B3DC359}" xr6:coauthVersionLast="47" xr6:coauthVersionMax="47" xr10:uidLastSave="{00000000-0000-0000-0000-000000000000}"/>
  <bookViews>
    <workbookView xWindow="-14130" yWindow="-16320" windowWidth="29040" windowHeight="15720" xr2:uid="{00000000-000D-0000-FFFF-FFFF00000000}"/>
  </bookViews>
  <sheets>
    <sheet name="$InventoryTop10ListPrintLbl$" sheetId="7" r:id="rId1"/>
    <sheet name="$InventoryTop10ListAnalysisLbl$" sheetId="9" r:id="rId2"/>
    <sheet name="$AboutTheReportLbl$" sheetId="5" r:id="rId3"/>
    <sheet name="InventoryTop10List_Query" sheetId="8" state="hidden" r:id="rId4"/>
    <sheet name="Data" sheetId="1" state="hidden" r:id="rId5"/>
    <sheet name="TranslationData" sheetId="2" state="hidden" r:id="rId6"/>
    <sheet name="CaptionData" sheetId="3" state="hidden" r:id="rId7"/>
    <sheet name="Aggregated Metadata" sheetId="4" state="hidden" r:id="rId8"/>
  </sheets>
  <definedNames>
    <definedName name="Caption.AboutTheReportLabel" comment="Use this function to get the AboutTheReportLabel from the CaptionData table in the CaptionData worksheet">_xlfn.XLOOKUP("AboutTheReportLabel",#REF!,#REF!,"none",)</definedName>
    <definedName name="Caption.Capacity" comment="Use this function to get the Capacity from the CaptionData table in the CaptionData worksheet">_xlfn.XLOOKUP("Capacity",#REF!,#REF!,"none",)</definedName>
    <definedName name="Caption.CompanyLabel" comment="Use this function to get the CompanyLabel from the CaptionData table in the CaptionData worksheet">_xlfn.XLOOKUP("CompanyLabel",#REF!,#REF!,"none",)</definedName>
    <definedName name="Caption.Consumption" comment="Use this function to get the Consumption from the CaptionData table in the CaptionData worksheet">_xlfn.XLOOKUP("Consumption",#REF!,#REF!,"none",)</definedName>
    <definedName name="Caption.CostPostedToGL" comment="Use this function to get the CostPostedToGL from the CaptionData table in the CaptionData worksheet">_xlfn.XLOOKUP("CostPostedToGL",#REF!,#REF!,"none",)</definedName>
    <definedName name="Caption.CurrReportPageNo" comment="Use this function to get the CurrReportPageNo from the CaptionData table in the CaptionData worksheet">_xlfn.XLOOKUP("CurrReportPageNo",#REF!,#REF!,"none",)</definedName>
    <definedName name="Caption.Desc_ProductionOrder" comment="Use this function to get the Desc_ProductionOrder from the CaptionData table in the CaptionData worksheet">_xlfn.XLOOKUP("Desc_ProductionOrder",#REF!,#REF!,"none",)</definedName>
    <definedName name="Caption.DocumentationLabel" comment="Use this function to get the DocumentationLabel from the CaptionData table in the CaptionData worksheet">_xlfn.XLOOKUP("DocumentationLabel",#REF!,#REF!,"none",)</definedName>
    <definedName name="Caption.EndDate" comment="Use this function to get the EndDate from the CaptionData table in the CaptionData worksheet">_xlfn.XLOOKUP("EndDate",#REF!,#REF!,"none",)</definedName>
    <definedName name="Caption.EndDateHeader" comment="Use this function to get the EndDateHeader from the CaptionData table in the CaptionData worksheet">_xlfn.XLOOKUP("EndDateHeader",#REF!,#REF!,"none",)</definedName>
    <definedName name="Caption.EnvironmentLabel" comment="Use this function to get the EnvironmentLabel from the CaptionData table in the CaptionData worksheet">_xlfn.XLOOKUP("EnvironmentLabel",#REF!,#REF!,"none",)</definedName>
    <definedName name="Caption.InventoryValuationWIP" comment="Use this function to get the InventoryValuationWIP from the CaptionData table in the CaptionData worksheet">_xlfn.XLOOKUP("InventoryValuationWIP",#REF!,#REF!,"none",)</definedName>
    <definedName name="Caption.No_ProductionOrder" comment="Use this function to get the No_ProductionOrder from the CaptionData table in the CaptionData worksheet">_xlfn.XLOOKUP("No_ProductionOrder",#REF!,#REF!,"none",)</definedName>
    <definedName name="Caption.Output" comment="Use this function to get the Output from the CaptionData table in the CaptionData worksheet">_xlfn.XLOOKUP("Output",#REF!,#REF!,"none",)</definedName>
    <definedName name="Caption.ProdOrderWipLabel" comment="Use this function to get the ProdOrderWipLabel from the CaptionData table in the CaptionData worksheet">_xlfn.XLOOKUP("ProdOrderWipLabel",#REF!,#REF!,"none",)</definedName>
    <definedName name="Caption.ProdOrderWipPrintLabel" comment="Use this function to get the ProdOrderWipPrintLabel from the CaptionData table in the CaptionData worksheet">_xlfn.XLOOKUP("ProdOrderWipPrintLabel",#REF!,#REF!,"none",)</definedName>
    <definedName name="Caption.ReportNameLabel" comment="Use this function to get the ReportNameLabel from the CaptionData table in the CaptionData worksheet">_xlfn.XLOOKUP("ReportNameLabel",#REF!,#REF!,"none",)</definedName>
    <definedName name="Caption.RunOnLabel" comment="Use this function to get the RunOnLabel from the CaptionData table in the CaptionData worksheet">_xlfn.XLOOKUP("RunOnLabel",#REF!,#REF!,"none",)</definedName>
    <definedName name="Caption.SourceNo_ProductionOrder" comment="Use this function to get the SourceNo_ProductionOrder from the CaptionData table in the CaptionData worksheet">_xlfn.XLOOKUP("SourceNo_ProductionOrder",#REF!,#REF!,"none",)</definedName>
    <definedName name="Caption.SrcType_ProductionOrder" comment="Use this function to get the SrcType_ProductionOrder from the CaptionData table in the CaptionData worksheet">_xlfn.XLOOKUP("SrcType_ProductionOrder",#REF!,#REF!,"none",)</definedName>
    <definedName name="Caption.StartDate" comment="Use this function to get the StartDate from the CaptionData table in the CaptionData worksheet">_xlfn.XLOOKUP("StartDate",#REF!,#REF!,"none",)</definedName>
    <definedName name="Caption.StartDateHeader" comment="Use this function to get the StartDateHeader from the CaptionData table in the CaptionData worksheet">_xlfn.XLOOKUP("StartDateHeader",#REF!,#REF!,"none",)</definedName>
    <definedName name="Caption.Status_ProductionOrder" comment="Use this function to get the Status_ProductionOrder from the CaptionData table in the CaptionData worksheet">_xlfn.XLOOKUP("Status_ProductionOrder",#REF!,#REF!,"none",)</definedName>
    <definedName name="Caption.Total" comment="Use this function to get the Total from the CaptionData table in the CaptionData worksheet">_xlfn.XLOOKUP("Total",#REF!,#REF!,"none",)</definedName>
    <definedName name="Caption.UserLabel" comment="Use this function to get the UserLabel from the CaptionData table in the CaptionData worksheet">_xlfn.XLOOKUP("UserLabel",#REF!,#REF!,"none",)</definedName>
    <definedName name="CustFilterHeading" xml:space="preserve"> _xlfn.XLOOKUP("CustFilterHeading",#REF!,#REF!)</definedName>
    <definedName name="DataRetrieved">#REF!</definedName>
    <definedName name="DateFilter" xml:space="preserve"> _xlfn.XLOOKUP("DateFilter",#REF!,#REF!)</definedName>
    <definedName name="DatePeriod" xml:space="preserve"> _xlfn.XLOOKUP("PeriodText",#REF!,#REF!)</definedName>
    <definedName name="DuplicateEndDateFilter" xml:space="preserve"> _xlfn.XLOOKUP("BalanceAsOfDateFilter",#REF!,#REF!)</definedName>
    <definedName name="EndDateFilter" xml:space="preserve"> _xlfn.XLOOKUP("BalanceAsOfDateFilter",#REF!,#REF!)</definedName>
    <definedName name="ExternalData_1" localSheetId="3" hidden="1">InventoryTop10List_Query!$A$1:$J$2</definedName>
    <definedName name="ItemFilterHeading">_xlfn.XLOOKUP("ItemFilterHeading", ReportRequestPageValues[Request Page Option], ReportRequestPageValues[Request Page Option Value])</definedName>
    <definedName name="PrintAlsoIfZeroReq">_xlfn.XLOOKUP("PrintAlsoIfZeroReq", ReportRequestPageValues[Request Page Option], ReportRequestPageValues[Request Page Option Value])</definedName>
    <definedName name="PurchLineFilterHeading" xml:space="preserve"> _xlfn.XLOOKUP("PurchLineFilterHeading",#REF!,#REF!)</definedName>
    <definedName name="ReportMetadata.AboutThisReportText" comment="Use this function to get the About This Report Text from the ReportMetadataValues table in the Aggregated Metadata worksheet" localSheetId="1">_xlfn.XLOOKUP("About This Report Text",ReportMetadataValues[[#All],[Report Property]],ReportMetadataValues[[#All],[Report Property Value]],"none")</definedName>
    <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 localSheetId="1">_xlfn.XLOOKUP("About This Report Title",ReportMetadataValues[[#All],[Report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definedName>
    <definedName name="ReportMetadata.ExtensionID" comment="Use this function to get the Extension Id from the ReportMetadataValues table in the Aggregated Metadata worksheet" localSheetId="1">_xlfn.XLOOKUP("Extension ID",ReportMetadataValues[[#All],[Report Property]],ReportMetadataValues[[#All],[Report Property Value]],"none")</definedName>
    <definedName name="ReportMetadata.ExtensionID" comment="Use this function to get the Extension Id from the ReportMetadataValues table in the Aggregated Metadata worksheet">_xlfn.XLOOKUP("Extension ID",ReportMetadataValues[[#All],[Report Property]],ReportMetadataValues[[#All],[Report Property Value]],"none")</definedName>
    <definedName name="ReportMetadata.ExtensionName" comment="Use this function to get the Extension Name from the ReportMetadataValues table in the Aggregated Metadata worksheet" localSheetId="1">_xlfn.XLOOKUP("Extension Name",ReportMetadataValues[[#All],[Report Property]],ReportMetadataValues[[#All],[Report Property Value]],"none")</definedName>
    <definedName name="ReportMetadata.ExtensionName" comment="Use this function to get the Extension Name from the ReportMetadataValues table in the Aggregated Metadata worksheet">_xlfn.XLOOKUP("Extension Name",ReportMetadataValues[[#All],[Report Property]],ReportMetadataValues[[#All],[Report Property Value]],"none")</definedName>
    <definedName name="ReportMetadata.ExtensionPublisher" comment="Use this function to get the Extension Publisher from the ReportMetadataValues table in the Aggregated Metadata worksheet" localSheetId="1">_xlfn.XLOOKUP("Extension Publisher",ReportMetadataValues[[#All],[Report Property]],ReportMetadataValues[[#All],[Report Property Value]],"none")</definedName>
    <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definedName>
    <definedName name="ReportMetadata.ExtensionVersion" comment="Use this function to get the Extension Version from the ReportMetadataValues table in the Aggregated Metadata worksheet" localSheetId="1">_xlfn.XLOOKUP("Extension Version",ReportMetadataValues[[#All],[Report Property]],ReportMetadataValues[[#All],[Report Property Value]],"none")</definedName>
    <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definedName>
    <definedName name="ReportMetadata.ObjectCaption" comment="Use this function to get the Object Caption from the ReportMetadataValues table in the Aggregated Metadata worksheet" localSheetId="1">_xlfn.XLOOKUP("Object Caption",ReportMetadataValues[[#All],[Report Property]],ReportMetadataValues[[#All],[Report Property Value]],"none")</definedName>
    <definedName name="ReportMetadata.ObjectCaption" comment="Use this function to get the Object Caption from the ReportMetadataValues table in the Aggregated Metadata worksheet">_xlfn.XLOOKUP("Object Caption",ReportMetadataValues[[#All],[Report Property]],ReportMetadataValues[[#All],[Report Property Value]],"none")</definedName>
    <definedName name="ReportMetadata.ObjectID" comment="Use this function to get the Object ID from the ReportMetadataValues table in the Aggregated Metadata worksheet" localSheetId="1">_xlfn.XLOOKUP("Object ID",ReportMetadataValues[[#All],[Report Property]],ReportMetadataValues[[#All],[Report Property Value]],"none")</definedName>
    <definedName name="ReportMetadata.ObjectID" comment="Use this function to get the Object ID from the ReportMetadataValues table in the Aggregated Metadata worksheet">_xlfn.XLOOKUP("Object ID",ReportMetadataValues[[#All],[Report Property]],ReportMetadataValues[[#All],[Report Property Value]],"none")</definedName>
    <definedName name="ReportMetadata.ObjectName" comment="Use this function to get the Object Name from the ReportMetadataValues table in the Aggregated Metadata worksheet" localSheetId="1">_xlfn.XLOOKUP("Object Name",ReportMetadataValues[[#All],[Report Property]],ReportMetadataValues[[#All],[Report Property Value]],"none")</definedName>
    <definedName name="ReportMetadata.ObjectName" comment="Use this function to get the Object Name from the ReportMetadataValues table in the Aggregated Metadata worksheet">_xlfn.XLOOKUP("Object Name",ReportMetadataValues[[#All],[Report Property]],ReportMetadataValues[[#All],[Report Property Value]],"none")</definedName>
    <definedName name="ReportMetadata.ReportHelpLink" comment="Use this function to get the Report help link from the ReportMetadataValues table in the Aggregated Metadata worksheet" localSheetId="1">_xlfn.XLOOKUP("Report help link",ReportMetadataValues[[#All],[Report Property]],ReportMetadataValues[[#All],[Report Property Value]],"none")</definedName>
    <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definedName>
    <definedName name="ReportRequest.CompanyDisplayName" comment="Use this function to get the Company Display name from the ReportRequestValues table in the Aggregated Metadata worksheet" localSheetId="1">_xlfn.XLOOKUP("Company display name",ReportRequestValues[[#All],[Request Property]],ReportRequestValues[[#All],[Request Property Value]],"none")</definedName>
    <definedName name="ReportRequest.CompanyDisplayName" comment="Use this function to get the Company Display name from the ReportRequestValues table in the Aggregated Metadata worksheet">_xlfn.XLOOKUP("Company display name",ReportRequestValues[[#All],[Request Property]],ReportRequestValues[[#All],[Request Property Value]],"none")</definedName>
    <definedName name="ReportRequest.CompanyId" comment="Use this function to get the Company Id from the ReportRequestValues table in the Aggregated Metadata worksheet" localSheetId="1">_xlfn.XLOOKUP("Company Id",ReportRequestValues[[#All],[Request Property]],ReportRequestValues[[#All],[Request Property Value]],"none")</definedName>
    <definedName name="ReportRequest.CompanyId" comment="Use this function to get the Company Id from the ReportRequestValues table in the Aggregated Metadata worksheet">_xlfn.XLOOKUP("Company Id",ReportRequestValues[[#All],[Request Property]],ReportRequestValues[[#All],[Request Property Value]],"none")</definedName>
    <definedName name="ReportRequest.CompanyName" localSheetId="1">_xlfn.XLOOKUP("Company name",ReportRequestValues[[#All],[Request Property]],ReportRequestValues[[#All],[Request Property Value]],"none")</definedName>
    <definedName name="ReportRequest.CompanyName" comment="Use this function to get the Company name from the ReportRequestValues table in the Aggregated Metadata worksheet">_xlfn.XLOOKUP("Company name",ReportRequestValues[[#All],[Request Property]],ReportRequestValues[[#All],[Request Property Value]],"none")</definedName>
    <definedName name="ReportRequest.Date" comment="Use this function to get the Date from the ReportRequestValues table in the Aggregated Metadata worksheet" localSheetId="1">_xlfn.XLOOKUP("Date",ReportRequestValues[[#All],[Request Property]],ReportRequestValues[[#All],[Request Property Value]],"none")</definedName>
    <definedName name="ReportRequest.Date" comment="Use this function to get the Date from the ReportRequestValues table in the Aggregated Metadata worksheet">_xlfn.XLOOKUP("Date",ReportRequestValues[[#All],[Request Property]],ReportRequestValues[[#All],[Request Property Value]],"none")</definedName>
    <definedName name="ReportRequest.DateLocal" localSheetId="1">_xlfn.XLOOKUP("Date (Local)",ReportRequestValues[[#All],[Request Property]],ReportRequestValues[[#All],[Request Property Value]],"none")</definedName>
    <definedName name="ReportRequest.DateLocal" comment="Use this function to get the Date (Local) from the ReportRequestValues table in the Aggregated Metadata worksheet">_xlfn.XLOOKUP("Date (Local)",ReportRequestValues[[#All],[Request Property]],ReportRequestValues[[#All],[Request Property Value]],"none")</definedName>
    <definedName name="ReportRequest.EnvironmentName" comment="Use this function to get the Environment name from the ReportRequestValues table in the Aggregated Metadata worksheet" localSheetId="1">_xlfn.XLOOKUP("Environment name",ReportRequestValues[[#All],[Request Property]],ReportRequestValues[[#All],[Request Property Value]],"none")</definedName>
    <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definedName>
    <definedName name="ReportRequest.EnvironmentType" comment="Use this function to get the Environment type from the ReportRequestValues table in the Aggregated Metadata worksheet" localSheetId="1">_xlfn.XLOOKUP("Environment type",ReportRequestValues[[#All],[Request Property]],ReportRequestValues[[#All],[Request Property Value]],"none")</definedName>
    <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definedName>
    <definedName name="ReportRequest.FormatRegion" comment="Use this function to get the Format Region from the ReportRequestValues table in the Aggregated Metadata worksheet" localSheetId="1">_xlfn.XLOOKUP("Format Region",ReportRequestValues[[#All],[Request Property]],ReportRequestValues[[#All],[Request Property Value]],"none")</definedName>
    <definedName name="ReportRequest.FormatRegion" comment="Use this function to get the Format Region from the ReportRequestValues table in the Aggregated Metadata worksheet">_xlfn.XLOOKUP("Format Region",ReportRequestValues[[#All],[Request Property]],ReportRequestValues[[#All],[Request Property Value]],"none")</definedName>
    <definedName name="ReportRequest.Language" comment="Use this function to get the Language from the ReportRequestValues table in the Aggregated Metadata worksheet" localSheetId="1">_xlfn.XLOOKUP("Language",ReportRequestValues[[#All],[Request Property]],ReportRequestValues[[#All],[Request Property Value]],"none")</definedName>
    <definedName name="ReportRequest.Language" comment="Use this function to get the Language from the ReportRequestValues table in the Aggregated Metadata worksheet">_xlfn.XLOOKUP("Language",ReportRequestValues[[#All],[Request Property]],ReportRequestValues[[#All],[Request Property Value]],"none")</definedName>
    <definedName name="ReportRequest.LayoutCaption" comment="Use this function to get the Layout caption from the ReportRequestValues table in the Aggregated Metadata worksheet" localSheetId="1">_xlfn.XLOOKUP("Layout caption",ReportRequestValues[[#All],[Request Property]],ReportRequestValues[[#All],[Request Property Value]],"none")</definedName>
    <definedName name="ReportRequest.LayoutCaption" comment="Use this function to get the Layout caption from the ReportRequestValues table in the Aggregated Metadata worksheet">_xlfn.XLOOKUP("Layout caption",ReportRequestValues[[#All],[Request Property]],ReportRequestValues[[#All],[Request Property Value]],"none")</definedName>
    <definedName name="ReportRequest.LayoutId" comment="Use this function to get the Layout id from the ReportRequestValues table in the Aggregated Metadata worksheet" localSheetId="1">_xlfn.XLOOKUP("Layout id",ReportRequestValues[[#All],[Request Property]],ReportRequestValues[[#All],[Request Property Value]],"none")</definedName>
    <definedName name="ReportRequest.LayoutId" comment="Use this function to get the Layout id from the ReportRequestValues table in the Aggregated Metadata worksheet">_xlfn.XLOOKUP("Layout id",ReportRequestValues[[#All],[Request Property]],ReportRequestValues[[#All],[Request Property Value]],"none")</definedName>
    <definedName name="ReportRequest.LayoutName" comment="Use this function to get the Layout name from the ReportRequestValues table in the Aggregated Metadata worksheet" localSheetId="1">_xlfn.XLOOKUP("Layout name",ReportRequestValues[[#All],[Request Property]],ReportRequestValues[[#All],[Request Property Value]],"none")</definedName>
    <definedName name="ReportRequest.LayoutName" comment="Use this function to get the Layout name from the ReportRequestValues table in the Aggregated Metadata worksheet">_xlfn.XLOOKUP("Layout name",ReportRequestValues[[#All],[Request Property]],ReportRequestValues[[#All],[Request Property Value]],"none")</definedName>
    <definedName name="ReportRequest.TenantEntraId" comment="Use this function to get the Tenant Entra Id from the ReportRequestValues table in the Aggregated Metadata worksheet" localSheetId="1">_xlfn.XLOOKUP("Tenant Entra Id",ReportRequestValues[[#All],[Request Property]],ReportRequestValues[[#All],[Request Property Value]],"none")</definedName>
    <definedName name="ReportRequest.TenantEntraId" comment="Use this function to get the Tenant Entra Id from the ReportRequestValues table in the Aggregated Metadata worksheet">_xlfn.XLOOKUP("Tenant Entra Id",ReportRequestValues[[#All],[Request Property]],ReportRequestValues[[#All],[Request Property Value]],"none")</definedName>
    <definedName name="ReportRequest.TenantId" comment="Use this function to get the Tenant Id from the ReportRequestValues table in the Aggregated Metadata worksheet" localSheetId="1">_xlfn.XLOOKUP("Tenant Id",ReportRequestValues[[#All],[Request Property]],ReportRequestValues[[#All],[Request Property Value]],"none")</definedName>
    <definedName name="ReportRequest.TenantId" comment="Use this function to get the Tenant Id from the ReportRequestValues table in the Aggregated Metadata worksheet">_xlfn.XLOOKUP("Tenant Id",ReportRequestValues[[#All],[Request Property]],ReportRequestValues[[#All],[Request Property Value]],"none")</definedName>
    <definedName name="ReportRequest.UserName" comment="Use this function to get the User name from the ReportRequestValues table in the Aggregated Metadata worksheet" localSheetId="1">_xlfn.XLOOKUP("User name",ReportRequestValues[[#All],[Request Property]],ReportRequestValues[[#All],[Request Property Value]],"none")</definedName>
    <definedName name="ReportRequest.UserName" comment="Use this function to get the User name from the ReportRequestValues table in the Aggregated Metadata worksheet">_xlfn.XLOOKUP("User name",ReportRequestValues[[#All],[Request Property]],ReportRequestValues[[#All],[Request Property Value]],"none")</definedName>
    <definedName name="ReportRequest.UTCOffset" comment="Use this function to get the UTC Offset from the ReportRequestValues table in the Aggregated Metadata worksheet" localSheetId="1">_xlfn.XLOOKUP("UTC Offset",ReportRequestValues[[#All],[Request Property]],ReportRequestValues[[#All],[Request Property Value]],"none")</definedName>
    <definedName name="ReportRequest.UTCOffset" comment="Use this function to get the UTC Offset from the ReportRequestValues table in the Aggregated Metadata worksheet">_xlfn.XLOOKUP("UTC Offset",ReportRequestValues[[#All],[Request Property]],ReportRequestValues[[#All],[Request Property Value]],"none")</definedName>
    <definedName name="ShowSortingReq">_xlfn.XLOOKUP("ShowSortingReq", ReportRequestPageValues[Request Page Option], ReportRequestPageValues[Request Page Option Value])</definedName>
    <definedName name="ShowTypeReq">_xlfn.XLOOKUP("ShowTypeReq", ReportRequestPageValues[Request Page Option], ReportRequestPageValues[Request Page Option Value])</definedName>
    <definedName name="Slicer_Integer_Number">#N/A</definedName>
    <definedName name="Slicer_Item__No__">#N/A</definedName>
    <definedName name="Slicer_Item_Description">#N/A</definedName>
    <definedName name="StartDate" xml:space="preserve"> _xlfn.XLOOKUP("StartDate",#REF!,#REF!)</definedName>
    <definedName name="ValueEntryFilterHeading" xml:space="preserve"> _xlfn.XLOOKUP("ValueEntryFilterHeading",#REF!,#REF!)</definedName>
  </definedNames>
  <calcPr calcId="191029"/>
  <pivotCaches>
    <pivotCache cacheId="13"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7" l="1" a="1"/>
  <c r="B5" i="7" s="1"/>
  <c r="B4" i="7"/>
  <c r="B6" i="7" a="1"/>
  <c r="B6" i="7" s="1"/>
  <c r="F1" i="9"/>
  <c r="E1" i="9"/>
  <c r="F8" i="7"/>
  <c r="E8" i="7"/>
  <c r="F4" i="7" a="1"/>
  <c r="F4" i="7" s="1"/>
  <c r="F2" i="7" a="1"/>
  <c r="F2" i="7" s="1"/>
  <c r="B7" i="5"/>
  <c r="B6" i="5" a="1"/>
  <c r="B6" i="5" s="1"/>
  <c r="B5" i="5" a="1"/>
  <c r="B5" i="5" s="1"/>
  <c r="B4" i="5" a="1"/>
  <c r="B4" i="5" s="1"/>
  <c r="B3" i="5" a="1"/>
  <c r="B3" i="5" s="1"/>
  <c r="B2" i="5" a="1"/>
  <c r="B2" i="5" s="1"/>
  <c r="B1" i="5" a="1"/>
  <c r="B1" i="5" s="1"/>
  <c r="F2" i="9"/>
  <c r="E9" i="7"/>
  <c r="F9" i="7"/>
  <c r="E2"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8A7A0D-7E2F-41F1-A453-100E274D5EA6}" keepAlive="1" name="Query - InventoryTop10List_Query" description="Connection to the 'InventoryTop10List_Query' query in the workbook." type="5" refreshedVersion="8" refreshOnLoad="1" saveData="1">
    <dbPr connection="Provider=Microsoft.Mashup.OleDb.1;Data Source=$Workbook$;Location=InventoryTop10List_Query;Extended Properties=&quot;&quot;" command="SELECT * FROM [InventoryTop10List_Quer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<sst xmlns="http://schemas.openxmlformats.org/spreadsheetml/2006/main" count="120" uniqueCount="92">
  <si>
    <t>Language</t>
  </si>
  <si>
    <t>Value</t>
  </si>
  <si>
    <t>CaptionKey</t>
  </si>
  <si>
    <t>Caption</t>
  </si>
  <si>
    <t>Request Page Option</t>
  </si>
  <si>
    <t>Request Page Option Value</t>
  </si>
  <si>
    <t>Report Property</t>
  </si>
  <si>
    <t>Report Property Value</t>
  </si>
  <si>
    <t>Extension ID</t>
  </si>
  <si>
    <t>Extension ID Value</t>
  </si>
  <si>
    <t>Extension Name</t>
  </si>
  <si>
    <t>Extension Name Value</t>
  </si>
  <si>
    <t>Extension Publisher</t>
  </si>
  <si>
    <t>Extension Publisher Value</t>
  </si>
  <si>
    <t>Extension Version</t>
  </si>
  <si>
    <t>Extension Version Value</t>
  </si>
  <si>
    <t>Object ID</t>
  </si>
  <si>
    <t>Object ID Value</t>
  </si>
  <si>
    <t>Object Name</t>
  </si>
  <si>
    <t>Object Name Value</t>
  </si>
  <si>
    <t>About This Report Title</t>
  </si>
  <si>
    <t>About This Report Title Value</t>
  </si>
  <si>
    <t>About This Report Text</t>
  </si>
  <si>
    <t>About This Report Text Value</t>
  </si>
  <si>
    <t>Report help link</t>
  </si>
  <si>
    <t>Report help link Value</t>
  </si>
  <si>
    <t>Request Property</t>
  </si>
  <si>
    <t>Request Property Value</t>
  </si>
  <si>
    <t>Tenant Id</t>
  </si>
  <si>
    <t>Tenant Id Value</t>
  </si>
  <si>
    <t>Environment name</t>
  </si>
  <si>
    <t>Environment name Value</t>
  </si>
  <si>
    <t>Environment type</t>
  </si>
  <si>
    <t>Environment type Value</t>
  </si>
  <si>
    <t>Company name</t>
  </si>
  <si>
    <t>Company name Value</t>
  </si>
  <si>
    <t>Company Id</t>
  </si>
  <si>
    <t>Company Id Value</t>
  </si>
  <si>
    <t>User name</t>
  </si>
  <si>
    <t>User name Value</t>
  </si>
  <si>
    <t>Date</t>
  </si>
  <si>
    <t>Date Value</t>
  </si>
  <si>
    <t>Language Value</t>
  </si>
  <si>
    <t>Format Region</t>
  </si>
  <si>
    <t>Format Region Value</t>
  </si>
  <si>
    <t>Filter</t>
  </si>
  <si>
    <t>Filter Value</t>
  </si>
  <si>
    <t>CaptionValue</t>
  </si>
  <si>
    <t>Tenant Entra Id</t>
  </si>
  <si>
    <t>Tenant Entra Id Value</t>
  </si>
  <si>
    <t>Company display name</t>
  </si>
  <si>
    <t>Company display name Value</t>
  </si>
  <si>
    <t>Layout name</t>
  </si>
  <si>
    <t>Layout name Value</t>
  </si>
  <si>
    <t>Layout caption</t>
  </si>
  <si>
    <t>Layout caption Value</t>
  </si>
  <si>
    <t>Layout id</t>
  </si>
  <si>
    <t>Layout id Value</t>
  </si>
  <si>
    <t>Object Caption</t>
  </si>
  <si>
    <t>Object Caption Value</t>
  </si>
  <si>
    <t>Date (Local)</t>
  </si>
  <si>
    <t>Date (Local) Value</t>
  </si>
  <si>
    <t>UTC Offset</t>
  </si>
  <si>
    <t>UTC Offset Value</t>
  </si>
  <si>
    <t>PrintAlsoIfZero</t>
  </si>
  <si>
    <t>Integer_Number</t>
  </si>
  <si>
    <t>Item__No__</t>
  </si>
  <si>
    <t>Item_Description</t>
  </si>
  <si>
    <t>Item__Sales__LCY__</t>
  </si>
  <si>
    <t>Item_Inventory</t>
  </si>
  <si>
    <t>ItemSales</t>
  </si>
  <si>
    <t>QtyOnHand</t>
  </si>
  <si>
    <t>TotalItemBalance</t>
  </si>
  <si>
    <t>TotalItemSales</t>
  </si>
  <si>
    <t>False</t>
  </si>
  <si>
    <t/>
  </si>
  <si>
    <t>$EnvironmentLbl$</t>
  </si>
  <si>
    <t>$CompanyLbl$</t>
  </si>
  <si>
    <t>$UserLbl$</t>
  </si>
  <si>
    <t>$RunOnLbl$</t>
  </si>
  <si>
    <t>$ReportNameLbl$</t>
  </si>
  <si>
    <t>$DocumentationLbl$</t>
  </si>
  <si>
    <t>Grand Total</t>
  </si>
  <si>
    <t>$InventoryTop10ListLbl$</t>
  </si>
  <si>
    <t>$Item__No__$</t>
  </si>
  <si>
    <t>$Item_Description$</t>
  </si>
  <si>
    <t>$Item__Sales__LCY__$</t>
  </si>
  <si>
    <t>$Item_Inventory$</t>
  </si>
  <si>
    <t>$RankLbl$</t>
  </si>
  <si>
    <t>$PercentOfTotalSalesLbl$</t>
  </si>
  <si>
    <t>$TotalSalesLbl$</t>
  </si>
  <si>
    <t>$DataRetrievedLbl$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</si>
</sst>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F400]h:mm:ss\ AM/PM"/>
  </numFmts>
  <fonts count="13" x14ac:knownFonts="1">
    <font>
      <sz val="11"/>
      <name val="Segoe UI"/>
      <family val="2"/>
      <scheme val="minor"/>
    </font>
    <font>
      <sz val="11"/>
      <color theme="1"/>
      <name val="Segoe UI"/>
      <family val="2"/>
      <scheme val="minor"/>
    </font>
    <font>
      <b/>
      <sz val="11"/>
      <name val="Segoe UI"/>
      <family val="2"/>
      <scheme val="minor"/>
    </font>
    <font>
      <sz val="10"/>
      <color theme="1"/>
      <name val="Segoe UI Semibold"/>
      <family val="2"/>
      <scheme val="major"/>
    </font>
    <font>
      <sz val="10"/>
      <name val="Segoe UI"/>
      <family val="2"/>
      <scheme val="minor"/>
    </font>
    <font>
      <u/>
      <sz val="11"/>
      <color theme="10"/>
      <name val="Segoe UI"/>
      <family val="2"/>
      <scheme val="minor"/>
    </font>
    <font>
      <u/>
      <sz val="10"/>
      <color theme="10"/>
      <name val="Segoe UI"/>
      <family val="2"/>
      <scheme val="minor"/>
    </font>
    <font>
      <sz val="14"/>
      <name val="Segoe UI"/>
      <family val="2"/>
      <scheme val="minor"/>
    </font>
    <font>
      <b/>
      <sz val="13"/>
      <color theme="1"/>
      <name val="Segoe UI"/>
      <family val="2"/>
      <scheme val="minor"/>
    </font>
    <font>
      <b/>
      <sz val="10"/>
      <color theme="1"/>
      <name val="Segoe UI Semibold"/>
      <family val="2"/>
      <scheme val="major"/>
    </font>
    <font>
      <sz val="10"/>
      <color rgb="FF212121"/>
      <name val="Segoe UI"/>
      <family val="2"/>
      <scheme val="minor"/>
    </font>
    <font>
      <b/>
      <sz val="18"/>
      <color rgb="FF212121"/>
      <name val="Segoe UI Semibold"/>
      <family val="2"/>
      <scheme val="major"/>
    </font>
    <font>
      <sz val="10"/>
      <name val="Segoe UI Semibold"/>
      <family val="2"/>
      <scheme val="major"/>
    </font>
  </fonts>
  <fills count="4">
    <fill>
      <patternFill patternType="none"/>
    </fill>
    <fill>
      <patternFill patternType="gray125"/>
    </fill>
    <fill>
      <patternFill patternType="solid">
        <fgColor rgb="FFC0C0C0"/>
        <bgColor indexed="64"/>
      </patternFill>
    </fill>
    <fill>
      <patternFill patternType="solid">
        <fgColor theme="5"/>
        <bgColor indexed="64"/>
      </patternFill>
    </fill>
  </fills>
  <borders count="3">
    <border>
      <left/>
      <right/>
      <top/>
      <bottom/>
      <diagonal/>
    </border>
    <border>
      <left/>
      <right/>
      <top/>
      <bottom style="thick">
        <color theme="4" tint="0.499984740745262"/>
      </bottom>
      <diagonal/>
    </border>
    <border>
      <left/>
      <right/>
      <top style="thin">
        <color theme="4"/>
      </top>
      <bottom style="thin">
        <color theme="4"/>
      </bottom>
      <diagonal/>
    </border>
  </borders>
  <cellStyleXfs count="4">
    <xf numFmtId="0" fontId="0" fillId="0" borderId="0"/>
    <xf numFmtId="0" fontId="5" fillId="0" borderId="0" applyNumberFormat="0" applyFill="0" applyBorder="0" applyAlignment="0" applyProtection="0"/>
    <xf numFmtId="0" fontId="8" fillId="0" borderId="1" applyNumberFormat="0" applyFill="0" applyAlignment="0" applyProtection="0"/>
    <xf numFmtId="0" fontId="1" fillId="0" borderId="0"/>
  </cellStyleXfs>
  <cellXfs count="23">
    <xf numFmtId="0" fontId="0" fillId="0" borderId="0" xfId="0"/>
    <xf numFmtId="49" fontId="2" fillId="2" borderId="0" xfId="0" applyNumberFormat="1" applyFont="1" applyFill="1"/>
    <xf numFmtId="1" fontId="0" fillId="0" borderId="0" xfId="0" applyNumberFormat="1"/>
    <xf numFmtId="4" fontId="0" fillId="0" borderId="0" xfId="0" applyNumberFormat="1"/>
    <xf numFmtId="0" fontId="3" fillId="0" borderId="0" xfId="0" applyFont="1" applyAlignment="1">
      <alignment vertical="center"/>
    </xf>
    <xf numFmtId="0" fontId="4" fillId="0" borderId="0" xfId="0" applyFont="1" applyAlignment="1">
      <alignment horizontal="left" vertical="center"/>
    </xf>
    <xf numFmtId="164" fontId="4" fillId="0" borderId="0" xfId="0" applyNumberFormat="1" applyFont="1" applyAlignment="1">
      <alignment horizontal="left" vertical="center"/>
    </xf>
    <xf numFmtId="165" fontId="4" fillId="0" borderId="0" xfId="0" applyNumberFormat="1" applyFont="1" applyAlignment="1">
      <alignment horizontal="left" vertical="center"/>
    </xf>
    <xf numFmtId="0" fontId="4" fillId="0" borderId="0" xfId="0" applyFont="1" applyAlignment="1">
      <alignment vertical="center"/>
    </xf>
    <xf numFmtId="0" fontId="0" fillId="0" borderId="0" xfId="0" applyAlignment="1">
      <alignment vertical="center"/>
    </xf>
    <xf numFmtId="0" fontId="7" fillId="0" borderId="0" xfId="0" applyFont="1" applyAlignment="1">
      <alignment vertical="center"/>
    </xf>
    <xf numFmtId="0" fontId="9" fillId="0" borderId="1" xfId="2" applyFont="1" applyAlignment="1">
      <alignment horizontal="right" vertical="center"/>
    </xf>
    <xf numFmtId="0" fontId="10" fillId="0" borderId="0" xfId="0" applyFont="1" applyAlignment="1">
      <alignment horizontal="right" vertical="center"/>
    </xf>
    <xf numFmtId="164" fontId="10" fillId="0" borderId="0" xfId="0" applyNumberFormat="1" applyFont="1" applyAlignment="1">
      <alignment horizontal="right" vertical="center"/>
    </xf>
    <xf numFmtId="0" fontId="11" fillId="0" borderId="0" xfId="3" applyFont="1" applyAlignment="1">
      <alignment vertical="center"/>
    </xf>
    <xf numFmtId="4" fontId="4" fillId="0" borderId="0" xfId="0" applyNumberFormat="1" applyFont="1" applyAlignment="1">
      <alignment vertical="center"/>
    </xf>
    <xf numFmtId="0" fontId="3" fillId="3" borderId="2" xfId="0" applyFont="1" applyFill="1" applyBorder="1" applyAlignment="1">
      <alignment horizontal="left" vertical="center"/>
    </xf>
    <xf numFmtId="0" fontId="12" fillId="0" borderId="0" xfId="0" pivotButton="1" applyFont="1" applyAlignment="1">
      <alignment vertical="center"/>
    </xf>
    <xf numFmtId="0" fontId="12" fillId="0" borderId="0" xfId="0" applyFont="1" applyAlignment="1">
      <alignment horizontal="right" vertical="center"/>
    </xf>
    <xf numFmtId="0" fontId="6" fillId="0" borderId="0" xfId="1" applyFont="1" applyAlignment="1">
      <alignment vertical="center"/>
    </xf>
    <xf numFmtId="2" fontId="10" fillId="0" borderId="0" xfId="0" applyNumberFormat="1" applyFont="1" applyAlignment="1">
      <alignment horizontal="right" vertical="center"/>
    </xf>
    <xf numFmtId="0" fontId="4" fillId="0" borderId="0" xfId="0" applyNumberFormat="1" applyFont="1" applyAlignment="1">
      <alignment vertical="center"/>
    </xf>
    <xf numFmtId="2" fontId="12" fillId="0" borderId="2" xfId="0" applyNumberFormat="1" applyFont="1" applyBorder="1" applyAlignment="1">
      <alignment horizontal="right" vertical="center"/>
    </xf>
  </cellXfs>
  <cellStyles count="4">
    <cellStyle name="Heading 2 2" xfId="2" xr:uid="{FEEC89AA-B04D-4C50-B240-0BB91ACCDEA1}"/>
    <cellStyle name="Hyperlink" xfId="1" builtinId="8"/>
    <cellStyle name="Normal" xfId="0" builtinId="0"/>
    <cellStyle name="Normal 2" xfId="3" xr:uid="{72EDE847-D77D-4028-8B07-A820ED4E488F}"/>
  </cellStyles>
  <dxfs count="93">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0" formatCode="General"/>
    </dxf>
    <dxf>
      <numFmt numFmtId="0" formatCode="Genera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horizontal="righ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alignment horizontal="righ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10"/>
      </font>
    </dxf>
    <dxf>
      <font>
        <sz val="10"/>
      </font>
    </dxf>
    <dxf>
      <font>
        <sz val="10"/>
      </font>
    </dxf>
    <dxf>
      <font>
        <sz val="10"/>
      </font>
    </dxf>
    <dxf>
      <font>
        <name val="Segoe UI Semibold"/>
        <scheme val="major"/>
      </font>
    </dxf>
    <dxf>
      <font>
        <name val="Segoe UI Semibold"/>
        <scheme val="major"/>
      </font>
    </dxf>
    <dxf>
      <font>
        <name val="Segoe UI Semibold"/>
        <scheme val="major"/>
      </font>
    </dxf>
    <dxf>
      <font>
        <name val="Segoe UI Semibold"/>
        <scheme val="major"/>
      </font>
    </dxf>
    <dxf>
      <font>
        <sz val="10"/>
        <color theme="1"/>
        <name val="Segoe UI Semibold"/>
        <family val="2"/>
        <scheme val="major"/>
      </font>
    </dxf>
    <dxf>
      <font>
        <sz val="10"/>
        <color theme="1"/>
        <name val="Segoe UI"/>
        <family val="2"/>
        <scheme val="minor"/>
      </font>
      <border diagonalUp="1">
        <left style="thin">
          <color theme="6"/>
        </left>
        <right style="thin">
          <color theme="6"/>
        </right>
        <top style="thin">
          <color theme="6"/>
        </top>
        <bottom style="thin">
          <color theme="6"/>
        </bottom>
        <diagonal style="thin">
          <color theme="6"/>
        </diagonal>
      </border>
    </dxf>
    <dxf>
      <fill>
        <patternFill>
          <bgColor rgb="FFF6F7F8"/>
        </patternFill>
      </fill>
    </dxf>
    <dxf>
      <font>
        <b/>
        <i val="0"/>
      </font>
      <border>
        <top style="thin">
          <color theme="1"/>
        </top>
        <bottom style="thick">
          <color theme="1"/>
        </bottom>
      </border>
    </dxf>
    <dxf>
      <font>
        <color theme="1"/>
      </font>
      <fill>
        <patternFill>
          <bgColor theme="5"/>
        </patternFill>
      </fill>
      <border diagonalUp="0" diagonalDown="0">
        <left/>
        <right/>
        <top style="thin">
          <color theme="4"/>
        </top>
        <bottom style="thin">
          <color theme="4"/>
        </bottom>
        <vertical/>
        <horizontal/>
      </border>
    </dxf>
    <dxf>
      <border>
        <horizontal style="thin">
          <color theme="4"/>
        </horizontal>
      </border>
    </dxf>
  </dxfs>
  <tableStyles count="2" defaultTableStyle="TableStyleMedium2" defaultPivotStyle="PivotStyleLight16">
    <tableStyle name="Business Central PivotTable Style (Template)" table="0" count="4" xr9:uid="{8E776ACA-B3F2-4631-8F15-EB05F52546FD}">
      <tableStyleElement type="wholeTable" dxfId="92"/>
      <tableStyleElement type="headerRow" dxfId="91"/>
      <tableStyleElement type="totalRow" dxfId="90"/>
      <tableStyleElement type="secondRowStripe" dxfId="89"/>
    </tableStyle>
    <tableStyle name="Business Central Reports Slicer Style (Template)" pivot="0" table="0" count="10" xr9:uid="{25E8FF11-310D-40EB-BD85-77849DD124FA}">
      <tableStyleElement type="wholeTable" dxfId="88"/>
      <tableStyleElement type="headerRow" dxfId="87"/>
    </tableStyle>
  </tableStyles>
  <extLst>
    <ext xmlns:x14="http://schemas.microsoft.com/office/spreadsheetml/2009/9/main" uri="{46F421CA-312F-682f-3DD2-61675219B42D}">
      <x14:dxfs count="8">
        <dxf>
          <font>
            <sz val="10"/>
          </font>
          <border diagonalUp="0" diagonalDown="0">
            <left style="thin">
              <color rgb="FF212121"/>
            </left>
            <right style="thin">
              <color rgb="FF212121"/>
            </right>
            <top style="thin">
              <color rgb="FF212121"/>
            </top>
            <bottom style="thin">
              <color rgb="FF212121"/>
            </bottom>
            <vertical/>
            <horizontal/>
          </border>
        </dxf>
        <dxf>
          <font>
            <sz val="10"/>
          </font>
          <border>
            <left style="thin">
              <color rgb="FF212121"/>
            </left>
            <right style="thin">
              <color rgb="FF212121"/>
            </right>
            <top style="thin">
              <color rgb="FF212121"/>
            </top>
            <bottom style="thin">
              <color rgb="FF212121"/>
            </bottom>
          </border>
        </dxf>
        <dxf>
          <font>
            <sz val="10"/>
          </font>
          <border>
            <left style="thin">
              <color rgb="FF212121"/>
            </left>
            <right style="thin">
              <color rgb="FF212121"/>
            </right>
            <top style="thin">
              <color rgb="FF212121"/>
            </top>
            <bottom style="thin">
              <color rgb="FF212121"/>
            </bottom>
          </border>
        </dxf>
        <dxf>
          <font>
            <sz val="10"/>
          </font>
          <border diagonalUp="0" diagonalDown="0">
            <left style="thin">
              <color rgb="FF212121"/>
            </left>
            <right style="thin">
              <color rgb="FF212121"/>
            </right>
            <top style="thin">
              <color rgb="FF212121"/>
            </top>
            <bottom style="thin">
              <color rgb="FF212121"/>
            </bottom>
            <vertical/>
            <horizontal/>
          </border>
        </dxf>
        <dxf>
          <font>
            <b val="0"/>
            <i/>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sz val="10"/>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b val="0"/>
            <i/>
            <sz val="10"/>
            <name val="Segoe UI"/>
            <family val="2"/>
            <scheme val="minor"/>
          </font>
          <fill>
            <patternFill>
              <bgColor rgb="FFF5F7F8"/>
            </patternFill>
          </fill>
        </dxf>
        <dxf>
          <font>
            <sz val="10"/>
          </font>
          <fill>
            <patternFill>
              <bgColor rgb="FFB2E9ED"/>
            </patternFill>
          </fill>
        </dxf>
      </x14:dxfs>
    </ext>
    <ext xmlns:x14="http://schemas.microsoft.com/office/spreadsheetml/2009/9/main" uri="{EB79DEF2-80B8-43e5-95BD-54CBDDF9020C}">
      <x14:slicerStyles defaultSlicerStyle="SlicerStyleLight1">
        <x14:slicerStyle name="Business Central Reports Slicer Style (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[InventoryTop10List.xlsx]$InventoryTop10ListAnalysisLbl$!PivotTable1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'$InventoryTop10ListAnalysisLbl$'!$E$3</c:f>
              <c:strCache>
                <c:ptCount val="1"/>
                <c:pt idx="0">
                  <c:v>$Item__Sales__LCY__$</c:v>
                </c:pt>
              </c:strCache>
            </c:strRef>
          </c:tx>
          <c:spPr>
            <a:solidFill>
              <a:schemeClr val="accent1"/>
            </a:solidFill>
            <a:ln>
              <a:noFill/>
            </a:ln>
            <a:effectLst/>
          </c:spPr>
          <c:invertIfNegative val="0"/>
          <c:cat>
            <c:multiLvlStrRef>
              <c:f>'$InventoryTop10ListAnalysisLbl$'!$B$4:$D$5</c:f>
              <c:multiLvlStrCache>
                <c:ptCount val="1"/>
                <c:lvl/>
                <c:lvl/>
                <c:lvl>
                  <c:pt idx="0">
                    <c:v>0</c:v>
                  </c:pt>
                </c:lvl>
              </c:multiLvlStrCache>
            </c:multiLvlStrRef>
          </c:cat>
          <c:val>
            <c:numRef>
              <c:f>'$InventoryTop10ListAnalysisLbl$'!$E$4:$E$5</c:f>
              <c:numCache>
                <c:formatCode>General</c:formatCode>
                <c:ptCount val="1"/>
                <c:pt idx="0">
                  <c:v>0</c:v>
                </c:pt>
              </c:numCache>
            </c:numRef>
          </c:val>
          <c:extLst>
            <c:ext xmlns:c16="http://schemas.microsoft.com/office/drawing/2014/chart" uri="{C3380CC4-5D6E-409C-BE32-E72D297353CC}">
              <c16:uniqueId val="{00000000-2A92-44E7-AD62-0826EADB75A1}"/>
            </c:ext>
          </c:extLst>
        </c:ser>
        <c:ser>
          <c:idx val="1"/>
          <c:order val="1"/>
          <c:tx>
            <c:strRef>
              <c:f>'$InventoryTop10ListAnalysisLbl$'!$F$3</c:f>
              <c:strCache>
                <c:ptCount val="1"/>
                <c:pt idx="0">
                  <c:v>$Item_Inventory$</c:v>
                </c:pt>
              </c:strCache>
            </c:strRef>
          </c:tx>
          <c:spPr>
            <a:solidFill>
              <a:schemeClr val="accent2"/>
            </a:solidFill>
            <a:ln>
              <a:noFill/>
            </a:ln>
            <a:effectLst/>
          </c:spPr>
          <c:invertIfNegative val="0"/>
          <c:cat>
            <c:multiLvlStrRef>
              <c:f>'$InventoryTop10ListAnalysisLbl$'!$B$4:$D$5</c:f>
              <c:multiLvlStrCache>
                <c:ptCount val="1"/>
                <c:lvl/>
                <c:lvl/>
                <c:lvl>
                  <c:pt idx="0">
                    <c:v>0</c:v>
                  </c:pt>
                </c:lvl>
              </c:multiLvlStrCache>
            </c:multiLvlStrRef>
          </c:cat>
          <c:val>
            <c:numRef>
              <c:f>'$InventoryTop10ListAnalysisLbl$'!$F$4:$F$5</c:f>
              <c:numCache>
                <c:formatCode>General</c:formatCode>
                <c:ptCount val="1"/>
                <c:pt idx="0">
                  <c:v>0</c:v>
                </c:pt>
              </c:numCache>
            </c:numRef>
          </c:val>
          <c:extLst>
            <c:ext xmlns:c16="http://schemas.microsoft.com/office/drawing/2014/chart" uri="{C3380CC4-5D6E-409C-BE32-E72D297353CC}">
              <c16:uniqueId val="{00000001-2A92-44E7-AD62-0826EADB75A1}"/>
            </c:ext>
          </c:extLst>
        </c:ser>
        <c:dLbls>
          <c:showLegendKey val="0"/>
          <c:showVal val="0"/>
          <c:showCatName val="0"/>
          <c:showSerName val="0"/>
          <c:showPercent val="0"/>
          <c:showBubbleSize val="0"/>
        </c:dLbls>
        <c:gapWidth val="219"/>
        <c:overlap val="-27"/>
        <c:axId val="906329103"/>
        <c:axId val="906318063"/>
      </c:barChart>
      <c:catAx>
        <c:axId val="90632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318063"/>
        <c:crosses val="autoZero"/>
        <c:auto val="1"/>
        <c:lblAlgn val="ctr"/>
        <c:lblOffset val="100"/>
        <c:noMultiLvlLbl val="0"/>
      </c:catAx>
      <c:valAx>
        <c:axId val="90631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32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1818000</xdr:colOff>
      <xdr:row>9</xdr:row>
      <xdr:rowOff>209700</xdr:rowOff>
    </xdr:to>
    <mc:AlternateContent xmlns:mc="http://schemas.openxmlformats.org/markup-compatibility/2006" xmlns:a14="http://schemas.microsoft.com/office/drawing/2010/main">
      <mc:Choice Requires="a14">
        <xdr:graphicFrame macro="">
          <xdr:nvGraphicFramePr>
            <xdr:cNvPr id="2" name="$RankLbl$">
              <a:extLst>
                <a:ext uri="{FF2B5EF4-FFF2-40B4-BE49-F238E27FC236}">
                  <a16:creationId xmlns:a16="http://schemas.microsoft.com/office/drawing/2014/main" id="{CC6945AA-2482-1F55-85F1-25AECE78DD25}"/>
                </a:ext>
              </a:extLst>
            </xdr:cNvPr>
            <xdr:cNvGraphicFramePr/>
          </xdr:nvGraphicFramePr>
          <xdr:xfrm>
            <a:off x="0" y="0"/>
            <a:ext cx="0" cy="0"/>
          </xdr:xfrm>
          <a:graphic>
            <a:graphicData uri="http://schemas.microsoft.com/office/drawing/2010/slicer">
              <sle:slicer xmlns:sle="http://schemas.microsoft.com/office/drawing/2010/slicer" name="$RankLbl$"/>
            </a:graphicData>
          </a:graphic>
        </xdr:graphicFrame>
      </mc:Choice>
      <mc:Fallback xmlns="">
        <xdr:sp macro="" textlink="">
          <xdr:nvSpPr>
            <xdr:cNvPr id="0" name=""/>
            <xdr:cNvSpPr>
              <a:spLocks noTextEdit="1"/>
            </xdr:cNvSpPr>
          </xdr:nvSpPr>
          <xdr:spPr>
            <a:xfrm>
              <a:off x="0" y="0"/>
              <a:ext cx="1821175"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1866900</xdr:colOff>
      <xdr:row>0</xdr:row>
      <xdr:rowOff>0</xdr:rowOff>
    </xdr:from>
    <xdr:to>
      <xdr:col>0</xdr:col>
      <xdr:colOff>3688075</xdr:colOff>
      <xdr:row>9</xdr:row>
      <xdr:rowOff>209700</xdr:rowOff>
    </xdr:to>
    <mc:AlternateContent xmlns:mc="http://schemas.openxmlformats.org/markup-compatibility/2006" xmlns:a14="http://schemas.microsoft.com/office/drawing/2010/main">
      <mc:Choice Requires="a14">
        <xdr:graphicFrame macro="">
          <xdr:nvGraphicFramePr>
            <xdr:cNvPr id="3" name="$Item__No__$">
              <a:extLst>
                <a:ext uri="{FF2B5EF4-FFF2-40B4-BE49-F238E27FC236}">
                  <a16:creationId xmlns:a16="http://schemas.microsoft.com/office/drawing/2014/main" id="{0FAE99F7-B756-5153-76F4-7352D70C281C}"/>
                </a:ext>
              </a:extLst>
            </xdr:cNvPr>
            <xdr:cNvGraphicFramePr/>
          </xdr:nvGraphicFramePr>
          <xdr:xfrm>
            <a:off x="0" y="0"/>
            <a:ext cx="0" cy="0"/>
          </xdr:xfrm>
          <a:graphic>
            <a:graphicData uri="http://schemas.microsoft.com/office/drawing/2010/slicer">
              <sle:slicer xmlns:sle="http://schemas.microsoft.com/office/drawing/2010/slicer" name="$Item__No__$"/>
            </a:graphicData>
          </a:graphic>
        </xdr:graphicFrame>
      </mc:Choice>
      <mc:Fallback xmlns="">
        <xdr:sp macro="" textlink="">
          <xdr:nvSpPr>
            <xdr:cNvPr id="0" name=""/>
            <xdr:cNvSpPr>
              <a:spLocks noTextEdit="1"/>
            </xdr:cNvSpPr>
          </xdr:nvSpPr>
          <xdr:spPr>
            <a:xfrm>
              <a:off x="1866900" y="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9</xdr:row>
      <xdr:rowOff>254000</xdr:rowOff>
    </xdr:from>
    <xdr:to>
      <xdr:col>0</xdr:col>
      <xdr:colOff>1818000</xdr:colOff>
      <xdr:row>19</xdr:row>
      <xdr:rowOff>197000</xdr:rowOff>
    </xdr:to>
    <mc:AlternateContent xmlns:mc="http://schemas.openxmlformats.org/markup-compatibility/2006" xmlns:a14="http://schemas.microsoft.com/office/drawing/2010/main">
      <mc:Choice Requires="a14">
        <xdr:graphicFrame macro="">
          <xdr:nvGraphicFramePr>
            <xdr:cNvPr id="4" name="$Item_Description$">
              <a:extLst>
                <a:ext uri="{FF2B5EF4-FFF2-40B4-BE49-F238E27FC236}">
                  <a16:creationId xmlns:a16="http://schemas.microsoft.com/office/drawing/2014/main" id="{D6C12296-9814-8D26-9350-DEF726D66DA1}"/>
                </a:ext>
              </a:extLst>
            </xdr:cNvPr>
            <xdr:cNvGraphicFramePr/>
          </xdr:nvGraphicFramePr>
          <xdr:xfrm>
            <a:off x="0" y="0"/>
            <a:ext cx="0" cy="0"/>
          </xdr:xfrm>
          <a:graphic>
            <a:graphicData uri="http://schemas.microsoft.com/office/drawing/2010/slicer">
              <sle:slicer xmlns:sle="http://schemas.microsoft.com/office/drawing/2010/slicer" name="$Item_Description$"/>
            </a:graphicData>
          </a:graphic>
        </xdr:graphicFrame>
      </mc:Choice>
      <mc:Fallback xmlns="">
        <xdr:sp macro="" textlink="">
          <xdr:nvSpPr>
            <xdr:cNvPr id="0" name=""/>
            <xdr:cNvSpPr>
              <a:spLocks noTextEdit="1"/>
            </xdr:cNvSpPr>
          </xdr:nvSpPr>
          <xdr:spPr>
            <a:xfrm>
              <a:off x="0" y="2657475"/>
              <a:ext cx="1821175"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177800</xdr:colOff>
      <xdr:row>0</xdr:row>
      <xdr:rowOff>0</xdr:rowOff>
    </xdr:from>
    <xdr:to>
      <xdr:col>20</xdr:col>
      <xdr:colOff>161925</xdr:colOff>
      <xdr:row>19</xdr:row>
      <xdr:rowOff>50799</xdr:rowOff>
    </xdr:to>
    <xdr:graphicFrame macro="">
      <xdr:nvGraphicFramePr>
        <xdr:cNvPr id="5" name="Chart 4">
          <a:extLst>
            <a:ext uri="{FF2B5EF4-FFF2-40B4-BE49-F238E27FC236}">
              <a16:creationId xmlns:a16="http://schemas.microsoft.com/office/drawing/2014/main" id="{F6F11717-13BE-18E4-A666-D09CDD1FA4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aniel Williams" refreshedDate="45980.672158217596" createdVersion="8" refreshedVersion="8" minRefreshableVersion="3" recordCount="1" xr:uid="{F73BA1B4-796F-4840-BBD5-E0E2E1204C70}">
  <cacheSource type="worksheet">
    <worksheetSource name="InventoryTop10List_Query"/>
  </cacheSource>
  <cacheFields count="10">
    <cacheField name="PrintAlsoIfZero" numFmtId="0">
      <sharedItems/>
    </cacheField>
    <cacheField name="Integer_Number" numFmtId="0">
      <sharedItems containsSemiMixedTypes="0" containsString="0" containsNumber="1" containsInteger="1" minValue="0" maxValue="0" count="1">
        <n v="0"/>
      </sharedItems>
    </cacheField>
    <cacheField name="Item__No__" numFmtId="0">
      <sharedItems count="1">
        <s v=""/>
      </sharedItems>
    </cacheField>
    <cacheField name="Item_Description" numFmtId="0">
      <sharedItems count="1">
        <s v=""/>
      </sharedItems>
    </cacheField>
    <cacheField name="Item__Sales__LCY__" numFmtId="0">
      <sharedItems containsSemiMixedTypes="0" containsString="0" containsNumber="1" containsInteger="1" minValue="0" maxValue="0"/>
    </cacheField>
    <cacheField name="Item_Inventory" numFmtId="0">
      <sharedItems containsSemiMixedTypes="0" containsString="0" containsNumber="1" containsInteger="1" minValue="0" maxValue="0"/>
    </cacheField>
    <cacheField name="ItemSales" numFmtId="0">
      <sharedItems containsSemiMixedTypes="0" containsString="0" containsNumber="1" containsInteger="1" minValue="0" maxValue="0"/>
    </cacheField>
    <cacheField name="QtyOnHand" numFmtId="0">
      <sharedItems containsSemiMixedTypes="0" containsString="0" containsNumber="1" containsInteger="1" minValue="0" maxValue="0"/>
    </cacheField>
    <cacheField name="TotalItemBalance" numFmtId="0">
      <sharedItems containsSemiMixedTypes="0" containsString="0" containsNumber="1" containsInteger="1" minValue="0" maxValue="0"/>
    </cacheField>
    <cacheField name="TotalItemSales" numFmtId="0">
      <sharedItems containsSemiMixedTypes="0" containsString="0" containsNumber="1" containsInteger="1" minValue="0" maxValue="0"/>
    </cacheField>
  </cacheFields>
  <extLst>
    <ext xmlns:x14="http://schemas.microsoft.com/office/spreadsheetml/2009/9/main" uri="{725AE2AE-9491-48be-B2B4-4EB974FC3084}">
      <x14:pivotCacheDefinition pivotCacheId="8834973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b v="0"/>
    <x v="0"/>
    <x v="0"/>
    <x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BAF415-844D-405D-9073-96E8A778EF4E}" name="PivotTable1" cacheId="13"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B10:F12" firstHeaderRow="0" firstDataRow="1" firstDataCol="3"/>
  <pivotFields count="10">
    <pivotField compact="0" outline="0" showAll="0" defaultSubtotal="0"/>
    <pivotField name="$RankLbl$" axis="axisRow" compact="0" outline="0" showAll="0" defaultSubtotal="0">
      <items count="1">
        <item x="0"/>
      </items>
    </pivotField>
    <pivotField name="$Item__No__$" axis="axisRow" compact="0" outline="0" showAll="0" defaultSubtotal="0">
      <items count="1">
        <item x="0"/>
      </items>
    </pivotField>
    <pivotField name="$Item_Description$" axis="axisRow" compact="0" outline="0" showAll="0" defaultSubtotal="0">
      <items count="1">
        <item x="0"/>
      </items>
    </pivotField>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3">
    <field x="1"/>
    <field x="2"/>
    <field x="3"/>
  </rowFields>
  <rowItems count="2">
    <i>
      <x/>
      <x/>
      <x/>
    </i>
    <i t="grand">
      <x/>
    </i>
  </rowItems>
  <colFields count="1">
    <field x="-2"/>
  </colFields>
  <colItems count="2">
    <i>
      <x/>
    </i>
    <i i="1">
      <x v="1"/>
    </i>
  </colItems>
  <dataFields count="2">
    <dataField name="$Item__Sales__LCY__$" fld="4" baseField="0" baseItem="0"/>
    <dataField name="$Item_Inventory$" fld="5" baseField="0" baseItem="0"/>
  </dataFields>
  <formats count="40">
    <format dxfId="86">
      <pivotArea field="1" type="button" dataOnly="0" labelOnly="1" outline="0" axis="axisRow" fieldPosition="0"/>
    </format>
    <format dxfId="85">
      <pivotArea field="2" type="button" dataOnly="0" labelOnly="1" outline="0" axis="axisRow" fieldPosition="1"/>
    </format>
    <format dxfId="84">
      <pivotArea field="3" type="button" dataOnly="0" labelOnly="1" outline="0" axis="axisRow" fieldPosition="2"/>
    </format>
    <format dxfId="83">
      <pivotArea dataOnly="0" labelOnly="1" outline="0" fieldPosition="0">
        <references count="1">
          <reference field="4294967294" count="2">
            <x v="0"/>
            <x v="1"/>
          </reference>
        </references>
      </pivotArea>
    </format>
    <format dxfId="82">
      <pivotArea field="1" type="button" dataOnly="0" labelOnly="1" outline="0" axis="axisRow" fieldPosition="0"/>
    </format>
    <format dxfId="81">
      <pivotArea field="2" type="button" dataOnly="0" labelOnly="1" outline="0" axis="axisRow" fieldPosition="1"/>
    </format>
    <format dxfId="80">
      <pivotArea field="3" type="button" dataOnly="0" labelOnly="1" outline="0" axis="axisRow" fieldPosition="2"/>
    </format>
    <format dxfId="79">
      <pivotArea dataOnly="0" labelOnly="1" outline="0" fieldPosition="0">
        <references count="1">
          <reference field="4294967294" count="2">
            <x v="0"/>
            <x v="1"/>
          </reference>
        </references>
      </pivotArea>
    </format>
    <format dxfId="78">
      <pivotArea type="all" dataOnly="0" outline="0" fieldPosition="0"/>
    </format>
    <format dxfId="77">
      <pivotArea outline="0" collapsedLevelsAreSubtotals="1" fieldPosition="0"/>
    </format>
    <format dxfId="76">
      <pivotArea field="1" type="button" dataOnly="0" labelOnly="1" outline="0" axis="axisRow" fieldPosition="0"/>
    </format>
    <format dxfId="75">
      <pivotArea field="2" type="button" dataOnly="0" labelOnly="1" outline="0" axis="axisRow" fieldPosition="1"/>
    </format>
    <format dxfId="74">
      <pivotArea field="3" type="button" dataOnly="0" labelOnly="1" outline="0" axis="axisRow" fieldPosition="2"/>
    </format>
    <format dxfId="73">
      <pivotArea dataOnly="0" labelOnly="1" outline="0" fieldPosition="0">
        <references count="1">
          <reference field="1" count="0"/>
        </references>
      </pivotArea>
    </format>
    <format dxfId="72">
      <pivotArea dataOnly="0" labelOnly="1" grandRow="1" outline="0" fieldPosition="0"/>
    </format>
    <format dxfId="71">
      <pivotArea dataOnly="0" labelOnly="1" outline="0" fieldPosition="0">
        <references count="2">
          <reference field="1" count="0" selected="0"/>
          <reference field="2" count="0"/>
        </references>
      </pivotArea>
    </format>
    <format dxfId="70">
      <pivotArea dataOnly="0" labelOnly="1" outline="0" fieldPosition="0">
        <references count="3">
          <reference field="1" count="0" selected="0"/>
          <reference field="2" count="0" selected="0"/>
          <reference field="3" count="0"/>
        </references>
      </pivotArea>
    </format>
    <format dxfId="69">
      <pivotArea dataOnly="0" labelOnly="1" outline="0" fieldPosition="0">
        <references count="1">
          <reference field="4294967294" count="2">
            <x v="0"/>
            <x v="1"/>
          </reference>
        </references>
      </pivotArea>
    </format>
    <format dxfId="68">
      <pivotArea dataOnly="0" labelOnly="1" outline="0" fieldPosition="0">
        <references count="1">
          <reference field="1" count="0"/>
        </references>
      </pivotArea>
    </format>
    <format dxfId="67">
      <pivotArea dataOnly="0" labelOnly="1" outline="0" fieldPosition="0">
        <references count="1">
          <reference field="4294967294" count="2">
            <x v="0"/>
            <x v="1"/>
          </reference>
        </references>
      </pivotArea>
    </format>
    <format dxfId="66">
      <pivotArea type="all" dataOnly="0" outline="0" fieldPosition="0"/>
    </format>
    <format dxfId="65">
      <pivotArea outline="0" collapsedLevelsAreSubtotals="1" fieldPosition="0"/>
    </format>
    <format dxfId="64">
      <pivotArea field="1" type="button" dataOnly="0" labelOnly="1" outline="0" axis="axisRow" fieldPosition="0"/>
    </format>
    <format dxfId="63">
      <pivotArea field="2" type="button" dataOnly="0" labelOnly="1" outline="0" axis="axisRow" fieldPosition="1"/>
    </format>
    <format dxfId="62">
      <pivotArea field="3" type="button" dataOnly="0" labelOnly="1" outline="0" axis="axisRow" fieldPosition="2"/>
    </format>
    <format dxfId="61">
      <pivotArea dataOnly="0" labelOnly="1" outline="0" fieldPosition="0">
        <references count="1">
          <reference field="1" count="0"/>
        </references>
      </pivotArea>
    </format>
    <format dxfId="60">
      <pivotArea dataOnly="0" labelOnly="1" grandRow="1" outline="0" fieldPosition="0"/>
    </format>
    <format dxfId="59">
      <pivotArea dataOnly="0" labelOnly="1" outline="0" fieldPosition="0">
        <references count="2">
          <reference field="1" count="0" selected="0"/>
          <reference field="2" count="0"/>
        </references>
      </pivotArea>
    </format>
    <format dxfId="58">
      <pivotArea dataOnly="0" labelOnly="1" outline="0" fieldPosition="0">
        <references count="3">
          <reference field="1" count="0" selected="0"/>
          <reference field="2" count="0" selected="0"/>
          <reference field="3" count="0"/>
        </references>
      </pivotArea>
    </format>
    <format dxfId="57">
      <pivotArea dataOnly="0" labelOnly="1" outline="0" fieldPosition="0">
        <references count="1">
          <reference field="4294967294" count="2">
            <x v="0"/>
            <x v="1"/>
          </reference>
        </references>
      </pivotArea>
    </format>
    <format dxfId="56">
      <pivotArea type="all" dataOnly="0" outline="0" fieldPosition="0"/>
    </format>
    <format dxfId="55">
      <pivotArea outline="0" collapsedLevelsAreSubtotals="1" fieldPosition="0"/>
    </format>
    <format dxfId="54">
      <pivotArea field="1" type="button" dataOnly="0" labelOnly="1" outline="0" axis="axisRow" fieldPosition="0"/>
    </format>
    <format dxfId="53">
      <pivotArea field="2" type="button" dataOnly="0" labelOnly="1" outline="0" axis="axisRow" fieldPosition="1"/>
    </format>
    <format dxfId="52">
      <pivotArea field="3" type="button" dataOnly="0" labelOnly="1" outline="0" axis="axisRow" fieldPosition="2"/>
    </format>
    <format dxfId="51">
      <pivotArea dataOnly="0" labelOnly="1" outline="0" fieldPosition="0">
        <references count="1">
          <reference field="1" count="0"/>
        </references>
      </pivotArea>
    </format>
    <format dxfId="50">
      <pivotArea dataOnly="0" labelOnly="1" grandRow="1" outline="0" fieldPosition="0"/>
    </format>
    <format dxfId="49">
      <pivotArea dataOnly="0" labelOnly="1" outline="0" fieldPosition="0">
        <references count="2">
          <reference field="1" count="0" selected="0"/>
          <reference field="2" count="0"/>
        </references>
      </pivotArea>
    </format>
    <format dxfId="48">
      <pivotArea dataOnly="0" labelOnly="1" outline="0" fieldPosition="0">
        <references count="3">
          <reference field="1" count="0" selected="0"/>
          <reference field="2" count="0" selected="0"/>
          <reference field="3" count="0"/>
        </references>
      </pivotArea>
    </format>
    <format dxfId="47">
      <pivotArea dataOnly="0" labelOnly="1" outline="0" fieldPosition="0">
        <references count="1">
          <reference field="4294967294" count="2">
            <x v="0"/>
            <x v="1"/>
          </reference>
        </references>
      </pivotArea>
    </format>
  </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562FD1-3D00-432A-AC63-515E1C840107}" name="PivotTable1" cacheId="13"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chartFormat="3">
  <location ref="B3:F5" firstHeaderRow="0" firstDataRow="1" firstDataCol="3"/>
  <pivotFields count="10">
    <pivotField compact="0" outline="0" showAll="0" defaultSubtotal="0"/>
    <pivotField name="$RankLbl$" axis="axisRow" compact="0" outline="0" showAll="0" defaultSubtotal="0">
      <items count="1">
        <item x="0"/>
      </items>
    </pivotField>
    <pivotField name="$Item__No__$" axis="axisRow" compact="0" outline="0" showAll="0" defaultSubtotal="0">
      <items count="1">
        <item x="0"/>
      </items>
    </pivotField>
    <pivotField name="$Item_Description$" axis="axisRow" compact="0" outline="0" showAll="0" defaultSubtotal="0">
      <items count="1">
        <item x="0"/>
      </items>
    </pivotField>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3">
    <field x="1"/>
    <field x="2"/>
    <field x="3"/>
  </rowFields>
  <rowItems count="2">
    <i>
      <x/>
      <x/>
      <x/>
    </i>
    <i t="grand">
      <x/>
    </i>
  </rowItems>
  <colFields count="1">
    <field x="-2"/>
  </colFields>
  <colItems count="2">
    <i>
      <x/>
    </i>
    <i i="1">
      <x v="1"/>
    </i>
  </colItems>
  <dataFields count="2">
    <dataField name="$Item__Sales__LCY__$" fld="4" baseField="0" baseItem="0"/>
    <dataField name="$Item_Inventory$" fld="5" baseField="0" baseItem="0"/>
  </dataFields>
  <formats count="40">
    <format dxfId="46">
      <pivotArea field="1" type="button" dataOnly="0" labelOnly="1" outline="0" axis="axisRow" fieldPosition="0"/>
    </format>
    <format dxfId="45">
      <pivotArea field="2" type="button" dataOnly="0" labelOnly="1" outline="0" axis="axisRow" fieldPosition="1"/>
    </format>
    <format dxfId="44">
      <pivotArea field="3" type="button" dataOnly="0" labelOnly="1" outline="0" axis="axisRow" fieldPosition="2"/>
    </format>
    <format dxfId="43">
      <pivotArea dataOnly="0" labelOnly="1" outline="0" fieldPosition="0">
        <references count="1">
          <reference field="4294967294" count="2">
            <x v="0"/>
            <x v="1"/>
          </reference>
        </references>
      </pivotArea>
    </format>
    <format dxfId="42">
      <pivotArea field="1" type="button" dataOnly="0" labelOnly="1" outline="0" axis="axisRow" fieldPosition="0"/>
    </format>
    <format dxfId="41">
      <pivotArea field="2" type="button" dataOnly="0" labelOnly="1" outline="0" axis="axisRow" fieldPosition="1"/>
    </format>
    <format dxfId="40">
      <pivotArea field="3" type="button" dataOnly="0" labelOnly="1" outline="0" axis="axisRow" fieldPosition="2"/>
    </format>
    <format dxfId="39">
      <pivotArea dataOnly="0" labelOnly="1" outline="0" fieldPosition="0">
        <references count="1">
          <reference field="4294967294" count="2">
            <x v="0"/>
            <x v="1"/>
          </reference>
        </references>
      </pivotArea>
    </format>
    <format dxfId="38">
      <pivotArea type="all" dataOnly="0" outline="0" fieldPosition="0"/>
    </format>
    <format dxfId="37">
      <pivotArea outline="0" collapsedLevelsAreSubtotals="1" fieldPosition="0"/>
    </format>
    <format dxfId="36">
      <pivotArea field="1" type="button" dataOnly="0" labelOnly="1" outline="0" axis="axisRow" fieldPosition="0"/>
    </format>
    <format dxfId="35">
      <pivotArea field="2" type="button" dataOnly="0" labelOnly="1" outline="0" axis="axisRow" fieldPosition="1"/>
    </format>
    <format dxfId="34">
      <pivotArea field="3" type="button" dataOnly="0" labelOnly="1" outline="0" axis="axisRow" fieldPosition="2"/>
    </format>
    <format dxfId="33">
      <pivotArea dataOnly="0" labelOnly="1" outline="0" fieldPosition="0">
        <references count="1">
          <reference field="1" count="0"/>
        </references>
      </pivotArea>
    </format>
    <format dxfId="32">
      <pivotArea dataOnly="0" labelOnly="1" grandRow="1" outline="0" fieldPosition="0"/>
    </format>
    <format dxfId="31">
      <pivotArea dataOnly="0" labelOnly="1" outline="0" fieldPosition="0">
        <references count="2">
          <reference field="1" count="0" selected="0"/>
          <reference field="2" count="0"/>
        </references>
      </pivotArea>
    </format>
    <format dxfId="30">
      <pivotArea dataOnly="0" labelOnly="1" outline="0" fieldPosition="0">
        <references count="3">
          <reference field="1" count="0" selected="0"/>
          <reference field="2" count="0" selected="0"/>
          <reference field="3" count="0"/>
        </references>
      </pivotArea>
    </format>
    <format dxfId="29">
      <pivotArea dataOnly="0" labelOnly="1" outline="0" fieldPosition="0">
        <references count="1">
          <reference field="4294967294" count="2">
            <x v="0"/>
            <x v="1"/>
          </reference>
        </references>
      </pivotArea>
    </format>
    <format dxfId="28">
      <pivotArea dataOnly="0" labelOnly="1" outline="0" fieldPosition="0">
        <references count="1">
          <reference field="1" count="0"/>
        </references>
      </pivotArea>
    </format>
    <format dxfId="27">
      <pivotArea dataOnly="0" labelOnly="1" outline="0" fieldPosition="0">
        <references count="1">
          <reference field="4294967294" count="2">
            <x v="0"/>
            <x v="1"/>
          </reference>
        </references>
      </pivotArea>
    </format>
    <format dxfId="26">
      <pivotArea type="all" dataOnly="0" outline="0" fieldPosition="0"/>
    </format>
    <format dxfId="25">
      <pivotArea outline="0" collapsedLevelsAreSubtotals="1" fieldPosition="0"/>
    </format>
    <format dxfId="24">
      <pivotArea field="1" type="button" dataOnly="0" labelOnly="1" outline="0" axis="axisRow" fieldPosition="0"/>
    </format>
    <format dxfId="23">
      <pivotArea field="2" type="button" dataOnly="0" labelOnly="1" outline="0" axis="axisRow" fieldPosition="1"/>
    </format>
    <format dxfId="22">
      <pivotArea field="3" type="button" dataOnly="0" labelOnly="1" outline="0" axis="axisRow" fieldPosition="2"/>
    </format>
    <format dxfId="21">
      <pivotArea dataOnly="0" labelOnly="1" outline="0" fieldPosition="0">
        <references count="1">
          <reference field="1" count="0"/>
        </references>
      </pivotArea>
    </format>
    <format dxfId="20">
      <pivotArea dataOnly="0" labelOnly="1" grandRow="1" outline="0" fieldPosition="0"/>
    </format>
    <format dxfId="19">
      <pivotArea dataOnly="0" labelOnly="1" outline="0" fieldPosition="0">
        <references count="2">
          <reference field="1" count="0" selected="0"/>
          <reference field="2" count="0"/>
        </references>
      </pivotArea>
    </format>
    <format dxfId="18">
      <pivotArea dataOnly="0" labelOnly="1" outline="0" fieldPosition="0">
        <references count="3">
          <reference field="1" count="0" selected="0"/>
          <reference field="2" count="0" selected="0"/>
          <reference field="3" count="0"/>
        </references>
      </pivotArea>
    </format>
    <format dxfId="17">
      <pivotArea dataOnly="0" labelOnly="1" outline="0" fieldPosition="0">
        <references count="1">
          <reference field="4294967294" count="2">
            <x v="0"/>
            <x v="1"/>
          </reference>
        </references>
      </pivotArea>
    </format>
    <format dxfId="16">
      <pivotArea type="all" dataOnly="0" outline="0" fieldPosition="0"/>
    </format>
    <format dxfId="15">
      <pivotArea outline="0" collapsedLevelsAreSubtotals="1" fieldPosition="0"/>
    </format>
    <format dxfId="14">
      <pivotArea field="1" type="button" dataOnly="0" labelOnly="1" outline="0" axis="axisRow" fieldPosition="0"/>
    </format>
    <format dxfId="13">
      <pivotArea field="2" type="button" dataOnly="0" labelOnly="1" outline="0" axis="axisRow" fieldPosition="1"/>
    </format>
    <format dxfId="12">
      <pivotArea field="3" type="button" dataOnly="0" labelOnly="1" outline="0" axis="axisRow" fieldPosition="2"/>
    </format>
    <format dxfId="11">
      <pivotArea dataOnly="0" labelOnly="1" outline="0" fieldPosition="0">
        <references count="1">
          <reference field="1" count="0"/>
        </references>
      </pivotArea>
    </format>
    <format dxfId="10">
      <pivotArea dataOnly="0" labelOnly="1" grandRow="1" outline="0" fieldPosition="0"/>
    </format>
    <format dxfId="9">
      <pivotArea dataOnly="0" labelOnly="1" outline="0" fieldPosition="0">
        <references count="2">
          <reference field="1" count="0" selected="0"/>
          <reference field="2" count="0"/>
        </references>
      </pivotArea>
    </format>
    <format dxfId="8">
      <pivotArea dataOnly="0" labelOnly="1" outline="0" fieldPosition="0">
        <references count="3">
          <reference field="1" count="0" selected="0"/>
          <reference field="2" count="0" selected="0"/>
          <reference field="3" count="0"/>
        </references>
      </pivotArea>
    </format>
    <format dxfId="7">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Business Central Pivot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1" xr16:uid="{2EC0C1D0-FBCF-4178-8C6C-CE5A49C5CDB2}" autoFormatId="16" applyNumberFormats="0" applyBorderFormats="0" applyFontFormats="0" applyPatternFormats="0" applyAlignmentFormats="0" applyWidthHeightFormats="0">
  <queryTableRefresh nextId="11">
    <queryTableFields count="10">
      <queryTableField id="1" name="PrintAlsoIfZero" tableColumnId="1"/>
      <queryTableField id="2" name="Integer_Number" tableColumnId="2"/>
      <queryTableField id="3" name="Item__No__" tableColumnId="3"/>
      <queryTableField id="4" name="Item_Description" tableColumnId="4"/>
      <queryTableField id="5" name="Item__Sales__LCY__" tableColumnId="5"/>
      <queryTableField id="6" name="Item_Inventory" tableColumnId="6"/>
      <queryTableField id="7" name="ItemSales" tableColumnId="7"/>
      <queryTableField id="8" name="QtyOnHand" tableColumnId="8"/>
      <queryTableField id="9" name="TotalItemBalance" tableColumnId="9"/>
      <queryTableField id="10" name="TotalItemSales"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ger_Number" xr10:uid="{3B579C27-501B-4048-8C91-8EF65FD34D30}" sourceName="Integer_Number">
  <pivotTables>
    <pivotTable tabId="9" name="PivotTable1"/>
  </pivotTables>
  <data>
    <tabular pivotCacheId="883497365" showMissing="0">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_No__" xr10:uid="{82816741-5571-4D8E-8EEE-280D144C1929}" sourceName="Item__No__">
  <pivotTables>
    <pivotTable tabId="9" name="PivotTable1"/>
  </pivotTables>
  <data>
    <tabular pivotCacheId="883497365" showMissing="0">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Description" xr10:uid="{222B1BB1-E728-4D41-B065-7A516580ADAB}" sourceName="Item_Description">
  <pivotTables>
    <pivotTable tabId="9" name="PivotTable1"/>
  </pivotTables>
  <data>
    <tabular pivotCacheId="883497365" showMissing="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nkLbl$" xr10:uid="{37B022DA-214C-44FA-BD74-CB1FBD6E1B07}" cache="Slicer_Integer_Number" caption="$RankLbl$" style="Business Central Reports Slicer Style (Template)" rowHeight="273050"/>
  <slicer name="$Item__No__$" xr10:uid="{DAA1FCEB-988B-40C4-A396-31B02E53BD9E}" cache="Slicer_Item__No__" caption="$Item__No__$" style="Business Central Reports Slicer Style (Template)" rowHeight="273050"/>
  <slicer name="$Item_Description$" xr10:uid="{D3C85D11-A1ED-4104-9645-63B2599276A2}" cache="Slicer_Item_Description" caption="$Item_Description$" style="Business Central Reports Slicer Style (Template)"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88AA237-0123-4CDB-B2CD-E9D68F8B8D3E}" name="InventoryTop10List_Query" displayName="InventoryTop10List_Query" ref="A1:J2" tableType="queryTable" totalsRowShown="0">
  <autoFilter ref="A1:J2" xr:uid="{388AA237-0123-4CDB-B2CD-E9D68F8B8D3E}"/>
  <tableColumns count="10">
    <tableColumn id="1" xr3:uid="{799C3678-DE39-43BC-8DCB-D31F95B06C05}" uniqueName="1" name="PrintAlsoIfZero" queryTableFieldId="1"/>
    <tableColumn id="2" xr3:uid="{D5416083-D0CE-4B6D-BB25-24F0081EB1BC}" uniqueName="2" name="Integer_Number" queryTableFieldId="2"/>
    <tableColumn id="3" xr3:uid="{C94F269F-135D-449D-A7FD-2A5AF89FB288}" uniqueName="3" name="Item__No__" queryTableFieldId="3" dataDxfId="6"/>
    <tableColumn id="4" xr3:uid="{90B777B3-E1FE-4A62-88BA-E0570BF07405}" uniqueName="4" name="Item_Description" queryTableFieldId="4" dataDxfId="5"/>
    <tableColumn id="5" xr3:uid="{8762FEC8-71F7-440C-B57D-21C6ACABFEFE}" uniqueName="5" name="Item__Sales__LCY__" queryTableFieldId="5"/>
    <tableColumn id="6" xr3:uid="{90C06BA8-ECCA-4946-9EC6-94BA1FC184D0}" uniqueName="6" name="Item_Inventory" queryTableFieldId="6"/>
    <tableColumn id="7" xr3:uid="{56EB072E-3E7A-4C20-A9C8-48DB6AED2E53}" uniqueName="7" name="ItemSales" queryTableFieldId="7"/>
    <tableColumn id="8" xr3:uid="{525EAE9A-5C8E-4D99-B742-9D333FE254B4}" uniqueName="8" name="QtyOnHand" queryTableFieldId="8"/>
    <tableColumn id="9" xr3:uid="{B225C0D7-CC62-4C39-8F84-7281BFB75F42}" uniqueName="9" name="TotalItemBalance" queryTableFieldId="9"/>
    <tableColumn id="10" xr3:uid="{8233AC01-6B48-4C93-A44A-C9DDF21961EB}" uniqueName="10" name="TotalItemSales"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D726F2-778D-4B1C-A5EA-875FED73D050}" name="Data" displayName="Data" ref="A1:J2" totalsRowShown="0" headerRowDxfId="4">
  <autoFilter ref="A1:J2" xr:uid="{41D726F2-778D-4B1C-A5EA-875FED73D050}"/>
  <tableColumns count="10">
    <tableColumn id="1" xr3:uid="{21867904-D69E-41E3-B5BE-D9B124B8D7E4}" name="PrintAlsoIfZero"/>
    <tableColumn id="2" xr3:uid="{21867904-D69E-41E3-B5BE-D9B124B8D7E4}" name="Integer_Number"/>
    <tableColumn id="3" xr3:uid="{21867904-D69E-41E3-B5BE-D9B124B8D7E4}" name="Item__No__"/>
    <tableColumn id="4" xr3:uid="{21867904-D69E-41E3-B5BE-D9B124B8D7E4}" name="Item_Description"/>
    <tableColumn id="5" xr3:uid="{21867904-D69E-41E3-B5BE-D9B124B8D7E4}" name="Item__Sales__LCY__"/>
    <tableColumn id="6" xr3:uid="{21867904-D69E-41E3-B5BE-D9B124B8D7E4}" name="Item_Inventory"/>
    <tableColumn id="7" xr3:uid="{21867904-D69E-41E3-B5BE-D9B124B8D7E4}" name="ItemSales"/>
    <tableColumn id="8" xr3:uid="{21867904-D69E-41E3-B5BE-D9B124B8D7E4}" name="QtyOnHand"/>
    <tableColumn id="9" xr3:uid="{21867904-D69E-41E3-B5BE-D9B124B8D7E4}" name="TotalItemBalance"/>
    <tableColumn id="10" xr3:uid="{21867904-D69E-41E3-B5BE-D9B124B8D7E4}" name="TotalItemSales"/>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1CF61-B374-4F0B-84B3-23694D65F56E}" name="TranslationData" displayName="TranslationData" ref="A1:C2" totalsRowShown="0">
  <autoFilter ref="A1:C2" xr:uid="{DC11CF61-B374-4F0B-84B3-23694D65F56E}"/>
  <tableColumns count="3">
    <tableColumn id="1" xr3:uid="{8F1461C4-E348-4166-87E9-8D4925AB342B}" name="CaptionKey"/>
    <tableColumn id="2" xr3:uid="{B1350A6A-8E59-4E2C-AACD-14E037DDCF40}" name="Language"/>
    <tableColumn id="3" xr3:uid="{8218ECD7-CE7E-4E5C-ACDE-0ADC9D0CE65E}" name="Value"/>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2A179-C226-4470-BF2E-AC1BEBC8C0D4}" name="CaptionData" displayName="CaptionData" ref="A1:B2" totalsRowShown="0">
  <autoFilter ref="A1:B2" xr:uid="{EF02A179-C226-4470-BF2E-AC1BEBC8C0D4}"/>
  <tableColumns count="2">
    <tableColumn id="1" xr3:uid="{9C04E6DA-1D54-48CA-A030-6BAD61CB0617}" name="Caption"/>
    <tableColumn id="2" xr3:uid="{89582DF0-EB9B-41CD-8C22-DFBA8F8BD440}" name="Value"/>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EB915-8B19-4838-BDED-CECBACACF4F9}" name="ReportMetadataValues" displayName="ReportMetadataValues" ref="A1:B11" totalsRowShown="0" headerRowDxfId="3">
  <autoFilter ref="A1:B11" xr:uid="{134EB915-8B19-4838-BDED-CECBACACF4F9}"/>
  <tableColumns count="2">
    <tableColumn id="1" xr3:uid="{5CBC1C08-5A8D-42BB-92CA-C3F1D0EF0A4D}" name="Report Property"/>
    <tableColumn id="2" xr3:uid="{920E2177-8B70-4968-B161-4C2CF0A824C6}" name="Report Property Valu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F5EE2-2A86-40DE-9DFD-1E96553323F6}" name="ReportRequestValues" displayName="ReportRequestValues" ref="D1:E17" totalsRowShown="0" headerRowDxfId="2">
  <autoFilter ref="D1:E17" xr:uid="{1DFF5EE2-2A86-40DE-9DFD-1E96553323F6}"/>
  <tableColumns count="2">
    <tableColumn id="1" xr3:uid="{E6EF2D44-8AB2-42E8-A7E3-9B148922AA59}" name="Request Property"/>
    <tableColumn id="2" xr3:uid="{FA31CE16-2D0E-4E4D-BC19-2B03E00E4B08}" name="Request Property Value"/>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3A40BA-47FA-41F3-82A4-C5BD4909C0B4}" name="ReportRequestPageValues" displayName="ReportRequestPageValues" ref="G1:H2" totalsRowShown="0" headerRowDxfId="1">
  <autoFilter ref="G1:H2" xr:uid="{8D3A40BA-47FA-41F3-82A4-C5BD4909C0B4}"/>
  <tableColumns count="2">
    <tableColumn id="1" xr3:uid="{023648B2-C225-4580-B767-C48467418032}" name="Request Page Option"/>
    <tableColumn id="2" xr3:uid="{BBB51944-3368-483F-9ECA-E66C489A7E1A}" name="Request Page Option Value"/>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69260C-C433-478B-84A3-3CB73C333872}" name="ReportFilterValues" displayName="ReportFilterValues" ref="J1:K2" totalsRowShown="0" headerRowDxfId="0">
  <autoFilter ref="J1:K2" xr:uid="{D269260C-C433-478B-84A3-3CB73C333872}"/>
  <tableColumns count="2">
    <tableColumn id="1" xr3:uid="{D710F0AA-F8F4-4DB2-BC43-E65C2054A321}" name="Filter"/>
    <tableColumn id="2" xr3:uid="{F291234F-EE76-4AF1-A03D-6D3FB6737920}" name="Filter Value"/>
  </tableColumns>
  <tableStyleInfo name="TableStyleMedium9" showFirstColumn="0" showLastColumn="0" showRowStripes="1" showColumnStripes="0"/>
</table>
</file>

<file path=xl/theme/theme1.xml><?xml version="1.0" encoding="utf-8"?>
<a:theme xmlns:a="http://schemas.openxmlformats.org/drawingml/2006/main" name="Theme1">
  <a:themeElements>
    <a:clrScheme name="Business Central Reports Theme Colors">
      <a:dk1>
        <a:srgbClr val="212121"/>
      </a:dk1>
      <a:lt1>
        <a:sysClr val="window" lastClr="FFFFFF"/>
      </a:lt1>
      <a:dk2>
        <a:srgbClr val="00838F"/>
      </a:dk2>
      <a:lt2>
        <a:srgbClr val="F6F7F8"/>
      </a:lt2>
      <a:accent1>
        <a:srgbClr val="D3D6DA"/>
      </a:accent1>
      <a:accent2>
        <a:srgbClr val="D9F0F2"/>
      </a:accent2>
      <a:accent3>
        <a:srgbClr val="A5A5A5"/>
      </a:accent3>
      <a:accent4>
        <a:srgbClr val="FFC000"/>
      </a:accent4>
      <a:accent5>
        <a:srgbClr val="66D4DB"/>
      </a:accent5>
      <a:accent6>
        <a:srgbClr val="00B7C3"/>
      </a:accent6>
      <a:hlink>
        <a:srgbClr val="00838F"/>
      </a:hlink>
      <a:folHlink>
        <a:srgbClr val="C00000"/>
      </a:folHlink>
    </a:clrScheme>
    <a:fontScheme name="Business Central Reports Theme Font">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A44B5-71ED-4C6B-BA88-16ADB3BEADA6}">
  <sheetPr>
    <pageSetUpPr fitToPage="1"/>
  </sheetPr>
  <dimension ref="A2:F12"/>
  <sheetViews>
    <sheetView showGridLines="0" tabSelected="1" workbookViewId="0"/>
  </sheetViews>
  <sheetFormatPr defaultRowHeight="21" x14ac:dyDescent="0.45"/>
  <cols>
    <col min="1" max="1" width="9.08203125" style="10" customWidth="1"/>
    <col min="2" max="2" width="13.08203125" style="9" bestFit="1" customWidth="1"/>
    <col min="3" max="3" width="22.58203125" style="9" bestFit="1" customWidth="1"/>
    <col min="4" max="4" width="24.5" style="9" bestFit="1" customWidth="1"/>
    <col min="5" max="5" width="21.58203125" style="9" bestFit="1" customWidth="1"/>
    <col min="6" max="6" width="25.58203125" style="9" customWidth="1"/>
    <col min="7" max="16384" width="8.6640625" style="9"/>
  </cols>
  <sheetData>
    <row r="2" spans="2:6" ht="26.5" thickBot="1" x14ac:dyDescent="0.5">
      <c r="B2" s="14" t="s">
        <v>83</v>
      </c>
      <c r="F2" s="11" t="str" cm="1">
        <f t="array" ref="F2">ReportRequest.CompanyName</f>
        <v>Company name Value</v>
      </c>
    </row>
    <row r="3" spans="2:6" ht="21.5" thickTop="1" x14ac:dyDescent="0.45"/>
    <row r="4" spans="2:6" x14ac:dyDescent="0.45">
      <c r="B4" s="5" t="e">
        <f>_xlfn.CONCAT(Caption.RankAccordingToLbl, " ", ShowSortingReq, " ", ShowTypeReq)</f>
        <v>#NAME?</v>
      </c>
      <c r="C4" s="8"/>
      <c r="D4" s="8"/>
      <c r="E4" s="12" t="s">
        <v>91</v>
      </c>
      <c r="F4" s="13" t="str" cm="1">
        <f t="array" ref="F4">ReportRequest.DateLocal</f>
        <v>Date (Local) Value</v>
      </c>
    </row>
    <row r="5" spans="2:6" x14ac:dyDescent="0.45">
      <c r="B5" s="5" t="e" cm="1">
        <f t="array" ref="B5">IF(PrintAlsoIfZeroReq="Yes", Caption.IncludeNonInventoryItemsLbl, "")</f>
        <v>#N/A</v>
      </c>
      <c r="D5" s="8"/>
      <c r="E5" s="12"/>
      <c r="F5" s="13"/>
    </row>
    <row r="6" spans="2:6" x14ac:dyDescent="0.45">
      <c r="B6" s="5" t="e" cm="1">
        <f t="array" ref="B6">ItemFilterHeading</f>
        <v>#N/A</v>
      </c>
      <c r="C6" s="8"/>
      <c r="D6" s="8"/>
      <c r="E6" s="12"/>
      <c r="F6" s="13"/>
    </row>
    <row r="7" spans="2:6" x14ac:dyDescent="0.45">
      <c r="B7" s="8"/>
      <c r="C7" s="8"/>
      <c r="D7" s="8"/>
      <c r="E7" s="12"/>
      <c r="F7" s="13"/>
    </row>
    <row r="8" spans="2:6" x14ac:dyDescent="0.45">
      <c r="C8" s="8"/>
      <c r="D8" s="16" t="s">
        <v>90</v>
      </c>
      <c r="E8" s="22">
        <f>Data!J2</f>
        <v>0</v>
      </c>
      <c r="F8" s="22">
        <f>Data!I2</f>
        <v>0</v>
      </c>
    </row>
    <row r="9" spans="2:6" x14ac:dyDescent="0.45">
      <c r="B9" s="8"/>
      <c r="C9" s="8"/>
      <c r="D9" s="16" t="s">
        <v>89</v>
      </c>
      <c r="E9" s="22" t="e">
        <f>GETPIVOTDATA("Sales (LCY)",$B$10)/E8*100</f>
        <v>#REF!</v>
      </c>
      <c r="F9" s="22" t="e">
        <f>GETPIVOTDATA("Inventory",$B$10)/F8*100</f>
        <v>#REF!</v>
      </c>
    </row>
    <row r="10" spans="2:6" x14ac:dyDescent="0.45">
      <c r="B10" s="17" t="s">
        <v>88</v>
      </c>
      <c r="C10" s="17" t="s">
        <v>84</v>
      </c>
      <c r="D10" s="17" t="s">
        <v>85</v>
      </c>
      <c r="E10" s="18" t="s">
        <v>86</v>
      </c>
      <c r="F10" s="18" t="s">
        <v>87</v>
      </c>
    </row>
    <row r="11" spans="2:6" x14ac:dyDescent="0.45">
      <c r="B11" s="5">
        <v>0</v>
      </c>
      <c r="C11" s="8"/>
      <c r="D11" s="8"/>
      <c r="E11" s="21">
        <v>0</v>
      </c>
      <c r="F11" s="21">
        <v>0</v>
      </c>
    </row>
    <row r="12" spans="2:6" x14ac:dyDescent="0.45">
      <c r="B12" s="8" t="s">
        <v>82</v>
      </c>
      <c r="C12" s="8"/>
      <c r="D12" s="8"/>
      <c r="E12" s="21">
        <v>0</v>
      </c>
      <c r="F12" s="21">
        <v>0</v>
      </c>
    </row>
  </sheetData>
  <pageMargins left="0.25" right="0.25" top="0.75" bottom="0.75" header="0.3" footer="0.3"/>
  <pageSetup paperSize="9" scale="79" fitToHeight="0"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B0E37-98B1-465F-B39D-2D6E60E488B1}">
  <dimension ref="A1:F5"/>
  <sheetViews>
    <sheetView showGridLines="0" workbookViewId="0"/>
  </sheetViews>
  <sheetFormatPr defaultRowHeight="21" x14ac:dyDescent="0.45"/>
  <cols>
    <col min="1" max="1" width="50.58203125" style="10" customWidth="1"/>
    <col min="2" max="2" width="13.08203125" style="9" bestFit="1" customWidth="1"/>
    <col min="3" max="3" width="22.58203125" style="9" bestFit="1" customWidth="1"/>
    <col min="4" max="4" width="24.5" style="9" bestFit="1" customWidth="1"/>
    <col min="5" max="5" width="21.58203125" style="9" bestFit="1" customWidth="1"/>
    <col min="6" max="6" width="25.58203125" style="9" customWidth="1"/>
    <col min="7" max="16384" width="8.6640625" style="9"/>
  </cols>
  <sheetData>
    <row r="1" spans="2:6" x14ac:dyDescent="0.45">
      <c r="B1" s="8"/>
      <c r="C1" s="8"/>
      <c r="D1" s="16" t="s">
        <v>90</v>
      </c>
      <c r="E1" s="15">
        <f>Data!J2</f>
        <v>0</v>
      </c>
      <c r="F1" s="15">
        <f>Data!I2</f>
        <v>0</v>
      </c>
    </row>
    <row r="2" spans="2:6" x14ac:dyDescent="0.45">
      <c r="B2" s="8"/>
      <c r="C2" s="8"/>
      <c r="D2" s="16" t="s">
        <v>89</v>
      </c>
      <c r="E2" s="20" t="e">
        <f>GETPIVOTDATA("Sales (LCY)",$B$3)/E1*100</f>
        <v>#REF!</v>
      </c>
      <c r="F2" s="20" t="e">
        <f>GETPIVOTDATA("Inventory",$B$3)/F1*100</f>
        <v>#REF!</v>
      </c>
    </row>
    <row r="3" spans="2:6" x14ac:dyDescent="0.45">
      <c r="B3" s="17" t="s">
        <v>88</v>
      </c>
      <c r="C3" s="17" t="s">
        <v>84</v>
      </c>
      <c r="D3" s="17" t="s">
        <v>85</v>
      </c>
      <c r="E3" s="18" t="s">
        <v>86</v>
      </c>
      <c r="F3" s="18" t="s">
        <v>87</v>
      </c>
    </row>
    <row r="4" spans="2:6" x14ac:dyDescent="0.45">
      <c r="B4" s="5">
        <v>0</v>
      </c>
      <c r="C4" s="8"/>
      <c r="D4" s="8"/>
      <c r="E4" s="21">
        <v>0</v>
      </c>
      <c r="F4" s="21">
        <v>0</v>
      </c>
    </row>
    <row r="5" spans="2:6" x14ac:dyDescent="0.45">
      <c r="B5" s="8" t="s">
        <v>82</v>
      </c>
      <c r="C5" s="8"/>
      <c r="D5" s="8"/>
      <c r="E5" s="21">
        <v>0</v>
      </c>
      <c r="F5" s="21">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A181D-8644-470D-AAF1-CF0D5FB3449D}">
  <dimension ref="A1:B8"/>
  <sheetViews>
    <sheetView showGridLines="0" workbookViewId="0"/>
  </sheetViews>
  <sheetFormatPr defaultRowHeight="20" customHeight="1" x14ac:dyDescent="0.45"/>
  <cols>
    <col min="1" max="1" width="17.33203125" customWidth="1"/>
    <col min="2" max="2" width="25.58203125" customWidth="1"/>
  </cols>
  <sheetData>
    <row r="1" spans="1:2" ht="20" customHeight="1" x14ac:dyDescent="0.45">
      <c r="A1" s="4" t="s">
        <v>76</v>
      </c>
      <c r="B1" s="5" t="str" cm="1">
        <f t="array" ref="B1">ReportRequest.EnvironmentName</f>
        <v>Environment name Value</v>
      </c>
    </row>
    <row r="2" spans="1:2" ht="20" customHeight="1" x14ac:dyDescent="0.45">
      <c r="A2" s="4" t="s">
        <v>77</v>
      </c>
      <c r="B2" s="5" t="str" cm="1">
        <f t="array" ref="B2">ReportRequest.CompanyName</f>
        <v>Company name Value</v>
      </c>
    </row>
    <row r="3" spans="1:2" ht="20" customHeight="1" x14ac:dyDescent="0.45">
      <c r="A3" s="4" t="s">
        <v>78</v>
      </c>
      <c r="B3" s="5" t="str" cm="1">
        <f t="array" ref="B3">ReportRequest.UserName</f>
        <v>User name Value</v>
      </c>
    </row>
    <row r="4" spans="1:2" ht="20" customHeight="1" x14ac:dyDescent="0.45">
      <c r="A4" s="4" t="s">
        <v>79</v>
      </c>
      <c r="B4" s="6" t="str" cm="1">
        <f t="array" ref="B4">ReportRequest.DateLocal</f>
        <v>Date (Local) Value</v>
      </c>
    </row>
    <row r="5" spans="1:2" ht="20" customHeight="1" x14ac:dyDescent="0.45">
      <c r="A5" s="4"/>
      <c r="B5" s="7" t="str" cm="1">
        <f t="array" ref="B5">ReportRequest.DateLocal</f>
        <v>Date (Local) Value</v>
      </c>
    </row>
    <row r="6" spans="1:2" ht="20" customHeight="1" x14ac:dyDescent="0.45">
      <c r="A6" s="4" t="s">
        <v>80</v>
      </c>
      <c r="B6" s="5" t="str" cm="1">
        <f t="array" ref="B6">ReportMetadata.ObjectCaption</f>
        <v>Object Caption Value</v>
      </c>
    </row>
    <row r="7" spans="1:2" ht="20" customHeight="1" x14ac:dyDescent="0.45">
      <c r="A7" s="4" t="s">
        <v>81</v>
      </c>
      <c r="B7" s="19" t="str">
        <f>HYPERLINK(_xlfn.CONCAT("https://learn.microsoft.com/dynamics365/business-central/reports/report-",ReportMetadata.ObjectID))</f>
        <v>https://learn.microsoft.com/dynamics365/business-central/reports/report-Object ID Value</v>
      </c>
    </row>
    <row r="8" spans="1:2" ht="20" customHeight="1" x14ac:dyDescent="0.45">
      <c r="A8" s="4"/>
      <c r="B8" s="8"/>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0DDBF-FE66-42BC-8152-A929A80E2098}">
  <dimension ref="A1:J2"/>
  <sheetViews>
    <sheetView workbookViewId="0">
      <selection sqref="A1:J2"/>
    </sheetView>
  </sheetViews>
  <sheetFormatPr defaultRowHeight="16.5" x14ac:dyDescent="0.45"/>
  <cols>
    <col min="1" max="1" width="16.83203125" bestFit="1" customWidth="1"/>
    <col min="2" max="2" width="17.75" bestFit="1" customWidth="1"/>
    <col min="3" max="3" width="13" bestFit="1" customWidth="1"/>
    <col min="4" max="4" width="18.25" bestFit="1" customWidth="1"/>
    <col min="5" max="5" width="19.75" bestFit="1" customWidth="1"/>
    <col min="6" max="6" width="16.75" bestFit="1" customWidth="1"/>
    <col min="7" max="7" width="11.75" bestFit="1" customWidth="1"/>
    <col min="8" max="8" width="13.5" bestFit="1" customWidth="1"/>
    <col min="9" max="9" width="18.75" bestFit="1" customWidth="1"/>
    <col min="10" max="10" width="16.33203125" bestFit="1" customWidth="1"/>
  </cols>
  <sheetData>
    <row r="1" spans="1:10" x14ac:dyDescent="0.45">
      <c r="A1" t="s">
        <v>64</v>
      </c>
      <c r="B1" t="s">
        <v>65</v>
      </c>
      <c r="C1" t="s">
        <v>66</v>
      </c>
      <c r="D1" t="s">
        <v>67</v>
      </c>
      <c r="E1" t="s">
        <v>68</v>
      </c>
      <c r="F1" t="s">
        <v>69</v>
      </c>
      <c r="G1" t="s">
        <v>70</v>
      </c>
      <c r="H1" t="s">
        <v>71</v>
      </c>
      <c r="I1" t="s">
        <v>72</v>
      </c>
      <c r="J1" t="s">
        <v>73</v>
      </c>
    </row>
    <row r="2" spans="1:10" x14ac:dyDescent="0.45">
      <c r="A2" t="b">
        <v>0</v>
      </c>
      <c r="B2">
        <v>0</v>
      </c>
      <c r="C2" t="s">
        <v>75</v>
      </c>
      <c r="D2" t="s">
        <v>75</v>
      </c>
      <c r="E2">
        <v>0</v>
      </c>
      <c r="F2">
        <v>0</v>
      </c>
      <c r="G2">
        <v>0</v>
      </c>
      <c r="H2">
        <v>0</v>
      </c>
      <c r="I2">
        <v>0</v>
      </c>
      <c r="J2">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
  <sheetViews>
    <sheetView workbookViewId="0">
      <pane ySplit="1" topLeftCell="A2" activePane="bottomLeft" state="frozen"/>
      <selection pane="bottomLeft"/>
    </sheetView>
  </sheetViews>
  <sheetFormatPr defaultRowHeight="16.5" x14ac:dyDescent="0.45"/>
  <cols>
    <col min="1" max="1" width="16.83203125" bestFit="1" customWidth="1"/>
    <col min="2" max="2" width="17.75" bestFit="1" customWidth="1"/>
    <col min="3" max="3" width="13" bestFit="1" customWidth="1"/>
    <col min="4" max="4" width="18.25" bestFit="1" customWidth="1"/>
    <col min="5" max="5" width="19.75" bestFit="1" customWidth="1"/>
    <col min="6" max="6" width="16.75" bestFit="1" customWidth="1"/>
    <col min="7" max="7" width="11.75" bestFit="1" customWidth="1"/>
    <col min="8" max="8" width="13.5" bestFit="1" customWidth="1"/>
    <col min="9" max="9" width="18.75" bestFit="1" customWidth="1"/>
    <col min="10" max="10" width="16.33203125" bestFit="1" customWidth="1"/>
  </cols>
  <sheetData>
    <row r="1" spans="1:10" x14ac:dyDescent="0.45">
      <c r="A1" t="s">
        <v>64</v>
      </c>
      <c r="B1" t="s">
        <v>65</v>
      </c>
      <c r="C1" t="s">
        <v>66</v>
      </c>
      <c r="D1" t="s">
        <v>67</v>
      </c>
      <c r="E1" t="s">
        <v>68</v>
      </c>
      <c r="F1" t="s">
        <v>69</v>
      </c>
      <c r="G1" t="s">
        <v>70</v>
      </c>
      <c r="H1" t="s">
        <v>71</v>
      </c>
      <c r="I1" t="s">
        <v>72</v>
      </c>
      <c r="J1" t="s">
        <v>73</v>
      </c>
    </row>
    <row r="2" spans="1:10" x14ac:dyDescent="0.45">
      <c r="A2" t="s">
        <v>74</v>
      </c>
      <c r="B2" s="2">
        <v>0</v>
      </c>
      <c r="C2" t="s">
        <v>75</v>
      </c>
      <c r="D2" t="s">
        <v>75</v>
      </c>
      <c r="E2" s="3">
        <v>0</v>
      </c>
      <c r="F2" s="3">
        <v>0</v>
      </c>
      <c r="G2" s="3">
        <v>0</v>
      </c>
      <c r="H2" s="3">
        <v>0</v>
      </c>
      <c r="I2" s="3">
        <v>0</v>
      </c>
      <c r="J2" s="3">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60A3C-AF79-49CD-9630-9BBF64CB79D9}">
  <dimension ref="A1:C1"/>
  <sheetViews>
    <sheetView workbookViewId="0">
      <selection activeCell="A2" sqref="A2"/>
    </sheetView>
  </sheetViews>
  <sheetFormatPr defaultRowHeight="16.5" x14ac:dyDescent="0.45"/>
  <cols>
    <col min="1" max="1" width="16.9140625" customWidth="1"/>
    <col min="2" max="2" width="11.4140625" customWidth="1"/>
  </cols>
  <sheetData>
    <row r="1" spans="1:3" x14ac:dyDescent="0.45">
      <c r="A1" t="s">
        <v>2</v>
      </c>
      <c r="B1" t="s">
        <v>0</v>
      </c>
      <c r="C1" t="s">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D9D77-FE1A-4986-8555-546CEA41E376}">
  <dimension ref="A1:B2"/>
  <sheetViews>
    <sheetView workbookViewId="0">
      <selection activeCell="A2" sqref="A2"/>
    </sheetView>
  </sheetViews>
  <sheetFormatPr defaultRowHeight="16.5" x14ac:dyDescent="0.45"/>
  <cols>
    <col min="1" max="1" width="10.1640625" customWidth="1"/>
    <col min="2" max="2" width="17.4140625" customWidth="1"/>
  </cols>
  <sheetData>
    <row r="1" spans="1:2" x14ac:dyDescent="0.45">
      <c r="A1" t="s">
        <v>3</v>
      </c>
      <c r="B1" t="s">
        <v>1</v>
      </c>
    </row>
    <row r="2" spans="1:2" x14ac:dyDescent="0.45">
      <c r="A2" t="s">
        <v>2</v>
      </c>
      <c r="B2" t="s">
        <v>47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37DBB-4AC2-46F2-B64A-5C237CE209EB}">
  <dimension ref="A1:K17"/>
  <sheetViews>
    <sheetView workbookViewId="0">
      <selection activeCell="D16" sqref="D16"/>
    </sheetView>
  </sheetViews>
  <sheetFormatPr defaultRowHeight="16.5" x14ac:dyDescent="0.45"/>
  <cols>
    <col min="1" max="1" width="25.6640625" customWidth="1"/>
    <col min="2" max="2" width="40.6640625" customWidth="1"/>
    <col min="3" max="3" width="5.6640625" customWidth="1"/>
    <col min="4" max="4" width="25.6640625" customWidth="1"/>
    <col min="5" max="5" width="40.6640625" customWidth="1"/>
    <col min="6" max="6" width="5.6640625" customWidth="1"/>
    <col min="7" max="7" width="25.6640625" customWidth="1"/>
    <col min="8" max="8" width="40.6640625" customWidth="1"/>
    <col min="9" max="9" width="5.6640625" customWidth="1"/>
    <col min="10" max="10" width="40.6640625" customWidth="1"/>
    <col min="11" max="11" width="25.6640625" customWidth="1"/>
  </cols>
  <sheetData>
    <row r="1" spans="1:11" x14ac:dyDescent="0.45">
      <c r="A1" s="1" t="s">
        <v>6</v>
      </c>
      <c r="B1" s="1" t="s">
        <v>7</v>
      </c>
      <c r="D1" s="1" t="s">
        <v>26</v>
      </c>
      <c r="E1" s="1" t="s">
        <v>27</v>
      </c>
      <c r="G1" s="1" t="s">
        <v>4</v>
      </c>
      <c r="H1" s="1" t="s">
        <v>5</v>
      </c>
      <c r="J1" s="1" t="s">
        <v>45</v>
      </c>
      <c r="K1" s="1" t="s">
        <v>46</v>
      </c>
    </row>
    <row r="2" spans="1:11" x14ac:dyDescent="0.45">
      <c r="A2" t="s">
        <v>8</v>
      </c>
      <c r="B2" t="s">
        <v>9</v>
      </c>
      <c r="D2" t="s">
        <v>48</v>
      </c>
      <c r="E2" t="s">
        <v>49</v>
      </c>
      <c r="G2" t="s">
        <v>4</v>
      </c>
      <c r="H2" t="s">
        <v>5</v>
      </c>
      <c r="J2" t="s">
        <v>45</v>
      </c>
      <c r="K2" t="s">
        <v>46</v>
      </c>
    </row>
    <row r="3" spans="1:11" x14ac:dyDescent="0.45">
      <c r="A3" t="s">
        <v>10</v>
      </c>
      <c r="B3" t="s">
        <v>11</v>
      </c>
      <c r="D3" t="s">
        <v>28</v>
      </c>
      <c r="E3" t="s">
        <v>29</v>
      </c>
    </row>
    <row r="4" spans="1:11" x14ac:dyDescent="0.45">
      <c r="A4" t="s">
        <v>12</v>
      </c>
      <c r="B4" t="s">
        <v>13</v>
      </c>
      <c r="D4" t="s">
        <v>30</v>
      </c>
      <c r="E4" t="s">
        <v>31</v>
      </c>
    </row>
    <row r="5" spans="1:11" x14ac:dyDescent="0.45">
      <c r="A5" t="s">
        <v>14</v>
      </c>
      <c r="B5" t="s">
        <v>15</v>
      </c>
      <c r="D5" t="s">
        <v>32</v>
      </c>
      <c r="E5" t="s">
        <v>33</v>
      </c>
    </row>
    <row r="6" spans="1:11" x14ac:dyDescent="0.45">
      <c r="A6" t="s">
        <v>16</v>
      </c>
      <c r="B6" t="s">
        <v>17</v>
      </c>
      <c r="D6" t="s">
        <v>34</v>
      </c>
      <c r="E6" t="s">
        <v>35</v>
      </c>
    </row>
    <row r="7" spans="1:11" x14ac:dyDescent="0.45">
      <c r="A7" t="s">
        <v>18</v>
      </c>
      <c r="B7" t="s">
        <v>19</v>
      </c>
      <c r="D7" t="s">
        <v>50</v>
      </c>
      <c r="E7" t="s">
        <v>51</v>
      </c>
    </row>
    <row r="8" spans="1:11" x14ac:dyDescent="0.45">
      <c r="A8" t="s">
        <v>58</v>
      </c>
      <c r="B8" t="s">
        <v>59</v>
      </c>
      <c r="D8" t="s">
        <v>36</v>
      </c>
      <c r="E8" t="s">
        <v>37</v>
      </c>
    </row>
    <row r="9" spans="1:11" x14ac:dyDescent="0.45">
      <c r="A9" t="s">
        <v>20</v>
      </c>
      <c r="B9" t="s">
        <v>21</v>
      </c>
      <c r="D9" t="s">
        <v>38</v>
      </c>
      <c r="E9" t="s">
        <v>39</v>
      </c>
    </row>
    <row r="10" spans="1:11" x14ac:dyDescent="0.45">
      <c r="A10" t="s">
        <v>22</v>
      </c>
      <c r="B10" t="s">
        <v>23</v>
      </c>
      <c r="D10" t="s">
        <v>40</v>
      </c>
      <c r="E10" t="s">
        <v>41</v>
      </c>
    </row>
    <row r="11" spans="1:11" x14ac:dyDescent="0.45">
      <c r="A11" t="s">
        <v>24</v>
      </c>
      <c r="B11" t="s">
        <v>25</v>
      </c>
      <c r="D11" t="s">
        <v>60</v>
      </c>
      <c r="E11" t="s">
        <v>61</v>
      </c>
    </row>
    <row r="12" spans="1:11" x14ac:dyDescent="0.45">
      <c r="D12" t="s">
        <v>62</v>
      </c>
      <c r="E12" t="s">
        <v>63</v>
      </c>
    </row>
    <row r="13" spans="1:11" x14ac:dyDescent="0.45">
      <c r="D13" t="s">
        <v>0</v>
      </c>
      <c r="E13" t="s">
        <v>42</v>
      </c>
    </row>
    <row r="14" spans="1:11" x14ac:dyDescent="0.45">
      <c r="D14" t="s">
        <v>43</v>
      </c>
      <c r="E14" t="s">
        <v>44</v>
      </c>
    </row>
    <row r="15" spans="1:11" x14ac:dyDescent="0.45">
      <c r="D15" t="s">
        <v>52</v>
      </c>
      <c r="E15" t="s">
        <v>53</v>
      </c>
    </row>
    <row r="16" spans="1:11" x14ac:dyDescent="0.45">
      <c r="D16" t="s">
        <v>54</v>
      </c>
      <c r="E16" t="s">
        <v>55</v>
      </c>
    </row>
    <row r="17" spans="4:5" x14ac:dyDescent="0.45">
      <c r="D17" t="s">
        <v>56</v>
      </c>
      <c r="E17" t="s">
        <v>57</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40D9A0A-2DC8-4ECC-B512-47700AE0667A}">
  <ds:schemaRefs>
    <ds:schemaRef ds:uri="http://schemas.microsoft.com/DataMashup"/>
  </ds:schemaRefs>
</ds:datastoreItem>
</file>

<file path=docMetadata/LabelInfo.xml><?xml version="1.0" encoding="utf-8"?>
<clbl:labelList xmlns:clbl="http://schemas.microsoft.com/office/2020/mipLabelMetadata">
  <clbl:label id="{85ca8af4-763a-45c2-80ae-a5ca1b80bddc}" enabled="1" method="Standard" siteId="{06cdaf09-14f0-4cd1-8ac0-7bfed707a82c}" contentBits="0" removed="0"/>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$InventoryTop10ListPrintLbl$</vt:lpstr>
      <vt:lpstr>$InventoryTop10ListAnalysisLbl$</vt:lpstr>
      <vt:lpstr>$AboutTheReportLbl$</vt:lpstr>
      <vt:lpstr>InventoryTop10List_Query</vt:lpstr>
      <vt:lpstr>Data</vt:lpstr>
      <vt:lpstr>TranslationData</vt:lpstr>
      <vt:lpstr>CaptionData</vt:lpstr>
      <vt:lpstr>Aggregated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Niels-Henrik Sejthen</dc:creator>
  <cp:lastModifiedBy>Dan Williams</cp:lastModifiedBy>
  <cp:lastPrinted>2025-11-19T04:21:07Z</cp:lastPrinted>
  <dcterms:modified xsi:type="dcterms:W3CDTF">2025-11-19T05:08:24Z</dcterms:modified>
</cp:coreProperties>
</file>
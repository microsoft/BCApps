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Sales\Reports\"/>
    </mc:Choice>
  </mc:AlternateContent>
  <xr:revisionPtr revIDLastSave="0" documentId="13_ncr:1_{02C03062-55F8-4EE8-8D17-D3AFBAEC6046}" xr6:coauthVersionLast="47" xr6:coauthVersionMax="47" xr10:uidLastSave="{00000000-0000-0000-0000-000000000000}"/>
  <bookViews>
    <workbookView xWindow="-108" yWindow="-108" windowWidth="30936" windowHeight="16776" xr2:uid="{00000000-000D-0000-FFFF-FFFF00000000}"/>
  </bookViews>
  <sheets>
    <sheet name="$SalespersonCommissionPrint$" sheetId="6" r:id="rId1"/>
    <sheet name="$SalespersonCommissionAnalysis$" sheetId="10" r:id="rId2"/>
    <sheet name="$AboutTheReportLabel$" sheetId="5" r:id="rId3"/>
    <sheet name="SalespersonCommission_Query" sheetId="9"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ustLedgEntryFilterHeading">_xlfn.XLOOKUP("CustLedgEntryFilterHeading", ReportRequestPageValues[Request Page Option], ReportRequestPageValues[Request Page Option Value])</definedName>
    <definedName name="DataRetrieved">#REF!</definedName>
    <definedName name="DateFilter" xml:space="preserve"> _xlfn.XLOOKUP("DateFilter",#REF!,#REF!)</definedName>
    <definedName name="DatePeriod">_xlfn.XLOOKUP("PeriodText", ReportRequestPageValues[Request Page Option], ReportRequestPageValues[Request Page Option Value])</definedName>
    <definedName name="DuplicateEndDateFilter" xml:space="preserve"> _xlfn.XLOOKUP("BalanceAsOfDateFilter",#REF!,#REF!)</definedName>
    <definedName name="EndDateFilter" xml:space="preserve"> _xlfn.XLOOKUP("BalanceAsOfDateFilter",#REF!,#REF!)</definedName>
    <definedName name="ExternalData_1" localSheetId="3" hidden="1">SalespersonCommission_Query!$A$1:$M$2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alespersonFilterHeading">_xlfn.XLOOKUP("SalespersonFilterHeading", ReportRequestPageValues[Request Page Option], ReportRequestPageValues[Request Page Option Value])</definedName>
    <definedName name="Slicer_Cust__Ledger_Entry__Customer_No__">#N/A</definedName>
    <definedName name="Slicer_Cust__Ledger_Entry__Document_No__">#N/A</definedName>
    <definedName name="Slicer_Cust__Ledger_Entry__Posting_Date_">#N/A</definedName>
    <definedName name="Slicer_Salesperson_Purchaser__Name">#N/A</definedName>
    <definedName name="Slicer_SalespersonPurchaser_Code">#N/A</definedName>
    <definedName name="StartDate" xml:space="preserve"> _xlfn.XLOOKUP("StartDate",#REF!,#REF!)</definedName>
  </definedNames>
  <calcPr calcId="191029"/>
  <pivotCaches>
    <pivotCache cacheId="1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6" l="1" a="1"/>
  <c r="N2" i="6" s="1"/>
  <c r="M4" i="6" a="1"/>
  <c r="M4" i="6" s="1"/>
  <c r="N4" i="6" a="1"/>
  <c r="N4" i="6" s="1"/>
  <c r="B8" i="6" a="1"/>
  <c r="B8" i="6" s="1"/>
  <c r="B7" i="6" a="1"/>
  <c r="B7" i="6" s="1"/>
  <c r="B4" i="6" a="1"/>
  <c r="B4" i="6" s="1"/>
  <c r="C4" i="6" a="1"/>
  <c r="C4" i="6" s="1"/>
  <c r="B7" i="5"/>
  <c r="B6" i="5" a="1"/>
  <c r="B6" i="5" s="1"/>
  <c r="B5" i="5" a="1"/>
  <c r="B5" i="5" s="1"/>
  <c r="B4" i="5" a="1"/>
  <c r="B4"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55CC5F-45C0-46EA-BE2C-B000B8CD1250}" keepAlive="1" name="Query - SalespersonCommission_Query" description="Connection to the 'SalespersonCommission_Query' query in the workbook." type="5" refreshedVersion="8" refreshOnLoad="1" saveData="1">
    <dbPr connection="Provider=Microsoft.Mashup.OleDb.1;Data Source=$Workbook$;Location=SalespersonCommission_Query;Extended Properties=&quot;&quot;" command="SELECT * FROM [SalespersonCommission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<sst xmlns="http://schemas.openxmlformats.org/spreadsheetml/2006/main" count="157" uniqueCount="107">
  <si>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</si>
  <si>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</si>
  <si>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</si>
  <si>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</si>
  <si>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</si>
  <si>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</si>
  <si>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</si>
  <si>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</si>
  <si>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</si>
  <si>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</si>
  <si>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</si>
  <si>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</si>
  <si>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</si>
  <si>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</si>
  <si>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</si>
  <si>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</si>
  <si>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</si>
  <si>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</si>
  <si>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</si>
  <si>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</si>
  <si>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</si>
  <si>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</si>
  <si>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</si>
  <si>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</si>
  <si>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</si>
  <si>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</si>
  <si>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</si>
  <si>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</si>
  <si>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</si>
  <si>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</si>
  <si>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</si>
  <si>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</si>
  <si>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</si>
  <si>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</si>
  <si>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</si>
  <si>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</si>
  <si>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</si>
  <si>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</si>
  <si>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</si>
  <si>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</si>
  <si>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</si>
  <si>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</si>
  <si>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</si>
  <si>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</si>
  <si>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</si>
  <si>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</si>
  <si>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</si>
  <si>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</si>
  <si>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</si>
  <si>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</si>
  <si>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</si>
  <si>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</si>
  <si>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</si>
  <si>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</si>
  <si>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</si>
  <si>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</si>
  <si>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</si>
  <si>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</si>
  <si>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</si>
  <si>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</si>
  <si>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</si>
  <si>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</si>
  <si>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</si>
  <si>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</si>
  <si>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STRSUBSTNO_Text000_PeriodText_</t>
  </si>
  <si>
    <t>Salesperson_Purchaser__TABLECAPTION__________SalespersonFilter</t>
  </si>
  <si>
    <t>Cust__Ledger_Entry__TABLECAPTION__________CustLedgEntryFilter</t>
  </si>
  <si>
    <t>Salesperson_Purchaser_Code</t>
  </si>
  <si>
    <t>Salesperson_Purchaser_Name</t>
  </si>
  <si>
    <t>Salesperson_Purchaser__Commission___</t>
  </si>
  <si>
    <t>Cust__Ledger_Entry__Posting_Date_</t>
  </si>
  <si>
    <t>Cust__Ledger_Entry__Document_No__</t>
  </si>
  <si>
    <t>Cust__Ledger_Entry__Customer_No__</t>
  </si>
  <si>
    <t>Cust__Ledger_Entry__Sales__LCY__</t>
  </si>
  <si>
    <t>Cust__Ledger_Entry__Profit__LCY__</t>
  </si>
  <si>
    <t>SalesCommissionAmt_Control32</t>
  </si>
  <si>
    <t>ProfitCommissionAmt_Control33</t>
  </si>
  <si>
    <t>AdjProfit_Control39</t>
  </si>
  <si>
    <t>AdjProfitCommissionAmt_Control45</t>
  </si>
  <si>
    <t>Salesperson_Purchaser__Name</t>
  </si>
  <si>
    <t/>
  </si>
  <si>
    <t>$SalespersonCommissionLabel$</t>
  </si>
  <si>
    <t>$EnvironmentLabel$</t>
  </si>
  <si>
    <t>$CompanyLabel$</t>
  </si>
  <si>
    <t>$UserLabel$</t>
  </si>
  <si>
    <t>$RunOnLabel$</t>
  </si>
  <si>
    <t>$ReportNameLabel$</t>
  </si>
  <si>
    <t>$DocumentationLabel$</t>
  </si>
  <si>
    <t>Total</t>
  </si>
  <si>
    <t>$PostingDateLabel$</t>
  </si>
  <si>
    <t>$CommissionPercentLabel$</t>
  </si>
  <si>
    <t>$AdjustedProfitCommissionLabel$</t>
  </si>
  <si>
    <t>$ProfitCommissionLabel$</t>
  </si>
  <si>
    <t>$SalesCommissionLabel$</t>
  </si>
  <si>
    <t>$AdjustedProfitLabel$</t>
  </si>
  <si>
    <t>$DocumentNoLabel$</t>
  </si>
  <si>
    <t>$CustomerNoLabel$</t>
  </si>
  <si>
    <t>$SalesLabel$</t>
  </si>
  <si>
    <t>$ProfitLabel$</t>
  </si>
  <si>
    <t>SalespersonPurchaser_Code</t>
  </si>
  <si>
    <t>(blank)</t>
  </si>
  <si>
    <t>$SalespersonPurchaser_Code$</t>
  </si>
  <si>
    <t>$Salesperson_Purchaser__Name$</t>
  </si>
  <si>
    <t>$AllAmountsAreInLCYLabel$</t>
  </si>
  <si>
    <t>CustLedgerEntry_CustomerName</t>
  </si>
  <si>
    <t>$CustomerNameLabel$</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</si>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</sst>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5"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name val="Segoe UI"/>
      <family val="2"/>
      <scheme val="minor"/>
    </font>
    <font>
      <sz val="10"/>
      <color rgb="FF212121"/>
      <name val="Segoe UI"/>
      <family val="2"/>
      <scheme val="minor"/>
    </font>
    <font>
      <sz val="14"/>
      <name val="Segoe UI"/>
      <family val="2"/>
      <scheme val="minor"/>
    </font>
    <font>
      <u/>
      <sz val="11"/>
      <color theme="10"/>
      <name val="Segoe UI"/>
      <family val="2"/>
      <scheme val="minor"/>
    </font>
    <font>
      <u/>
      <sz val="10"/>
      <color theme="10"/>
      <name val="Segoe UI"/>
      <family val="2"/>
      <scheme val="minor"/>
    </font>
    <font>
      <sz val="8"/>
      <name val="Segoe UI"/>
      <family val="2"/>
      <scheme val="minor"/>
    </font>
    <font>
      <b/>
      <sz val="10"/>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1" fillId="0" borderId="0"/>
    <xf numFmtId="0" fontId="5" fillId="0" borderId="1" applyNumberFormat="0" applyFill="0" applyAlignment="0" applyProtection="0"/>
    <xf numFmtId="0" fontId="10" fillId="0" borderId="0" applyNumberFormat="0" applyFill="0" applyBorder="0" applyAlignment="0" applyProtection="0"/>
  </cellStyleXfs>
  <cellXfs count="25">
    <xf numFmtId="0" fontId="0" fillId="0" borderId="0" xfId="0"/>
    <xf numFmtId="49" fontId="2" fillId="2" borderId="0" xfId="0" applyNumberFormat="1" applyFont="1" applyFill="1"/>
    <xf numFmtId="4" fontId="0" fillId="0" borderId="0" xfId="0" applyNumberFormat="1"/>
    <xf numFmtId="0" fontId="3" fillId="0" borderId="0" xfId="0" applyFont="1" applyAlignment="1">
      <alignment vertical="center"/>
    </xf>
    <xf numFmtId="0" fontId="4" fillId="0" borderId="0" xfId="1" applyFont="1" applyAlignment="1">
      <alignment vertical="center"/>
    </xf>
    <xf numFmtId="0" fontId="0" fillId="0" borderId="0" xfId="0" applyAlignment="1">
      <alignment vertical="center"/>
    </xf>
    <xf numFmtId="0" fontId="6" fillId="0" borderId="1" xfId="2" applyFont="1" applyAlignment="1">
      <alignment horizontal="right" vertical="center"/>
    </xf>
    <xf numFmtId="0" fontId="7" fillId="0" borderId="0" xfId="0" applyFont="1" applyAlignment="1">
      <alignment horizontal="left" vertical="center"/>
    </xf>
    <xf numFmtId="164" fontId="7" fillId="0" borderId="0" xfId="0" applyNumberFormat="1" applyFont="1" applyAlignment="1">
      <alignment horizontal="left" vertical="center"/>
    </xf>
    <xf numFmtId="0" fontId="8" fillId="0" borderId="0" xfId="0" applyFont="1" applyAlignment="1">
      <alignment horizontal="right" vertical="center"/>
    </xf>
    <xf numFmtId="164" fontId="8" fillId="0" borderId="0" xfId="0" applyNumberFormat="1" applyFont="1" applyAlignment="1">
      <alignment horizontal="right" vertical="center"/>
    </xf>
    <xf numFmtId="0" fontId="7" fillId="0" borderId="0" xfId="0" applyFont="1" applyAlignment="1">
      <alignment vertical="center"/>
    </xf>
    <xf numFmtId="165" fontId="7" fillId="0" borderId="0" xfId="0" applyNumberFormat="1" applyFont="1" applyAlignment="1">
      <alignment horizontal="left" vertical="center"/>
    </xf>
    <xf numFmtId="0" fontId="11" fillId="0" borderId="0" xfId="3" applyFont="1" applyAlignment="1">
      <alignment vertical="center"/>
    </xf>
    <xf numFmtId="0" fontId="9" fillId="0" borderId="0" xfId="0" applyFont="1"/>
    <xf numFmtId="49" fontId="2" fillId="2" borderId="0" xfId="0" applyNumberFormat="1" applyFont="1" applyFill="1" applyAlignment="1">
      <alignment vertical="center"/>
    </xf>
    <xf numFmtId="0" fontId="13" fillId="0" borderId="0" xfId="0" applyFont="1" applyAlignment="1">
      <alignment vertical="center"/>
    </xf>
    <xf numFmtId="0" fontId="13" fillId="0" borderId="0" xfId="0" applyFont="1" applyAlignment="1">
      <alignment horizontal="left" vertical="center"/>
    </xf>
    <xf numFmtId="0" fontId="7" fillId="0" borderId="0" xfId="0" applyNumberFormat="1" applyFont="1" applyAlignment="1">
      <alignment vertical="center"/>
    </xf>
    <xf numFmtId="0" fontId="14" fillId="0" borderId="0" xfId="0" applyFont="1" applyAlignment="1">
      <alignment vertical="center"/>
    </xf>
    <xf numFmtId="0" fontId="14" fillId="0" borderId="0" xfId="0" pivotButton="1" applyFont="1" applyAlignment="1"/>
    <xf numFmtId="0" fontId="14" fillId="0" borderId="0" xfId="0" applyFont="1" applyAlignment="1">
      <alignment horizontal="right"/>
    </xf>
    <xf numFmtId="0" fontId="14" fillId="0" borderId="0" xfId="0" applyFont="1" applyAlignment="1">
      <alignment horizontal="right" wrapText="1"/>
    </xf>
    <xf numFmtId="0" fontId="14" fillId="0" borderId="0" xfId="0" pivotButton="1" applyFont="1" applyAlignment="1">
      <alignment horizontal="left"/>
    </xf>
    <xf numFmtId="0" fontId="14" fillId="0" borderId="0" xfId="0" applyNumberFormat="1" applyFont="1" applyAlignment="1">
      <alignment vertical="center"/>
    </xf>
  </cellXfs>
  <cellStyles count="4">
    <cellStyle name="Heading 2 2" xfId="2" xr:uid="{94C8A9F7-5F7B-42CF-B005-C89266AC77BF}"/>
    <cellStyle name="Hyperlink" xfId="3" builtinId="8"/>
    <cellStyle name="Normal" xfId="0" builtinId="0"/>
    <cellStyle name="Normal 2" xfId="1" xr:uid="{31285356-617B-4DE3-A3EB-B4492B40C07F}"/>
  </cellStyles>
  <dxfs count="188">
    <dxf>
      <font>
        <name val="Segoe UI Semibold"/>
        <scheme val="major"/>
      </font>
    </dxf>
    <dxf>
      <font>
        <name val="Segoe UI"/>
        <family val="2"/>
        <scheme val="minor"/>
      </font>
    </dxf>
    <dxf>
      <font>
        <name val="Segoe UI Semibold"/>
        <scheme val="major"/>
      </font>
    </dxf>
    <dxf>
      <font>
        <name val="Segoe UI"/>
        <family val="2"/>
        <scheme val="minor"/>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vertical="bottom"/>
    </dxf>
    <dxf>
      <alignment vertical="bottom"/>
    </dxf>
    <dxf>
      <alignment vertical="bottom"/>
    </dxf>
    <dxf>
      <alignment vertical="bottom"/>
    </dxf>
    <dxf>
      <alignment vertical="bottom"/>
    </dxf>
    <dxf>
      <alignment wrapText="1"/>
    </dxf>
    <dxf>
      <alignment horizontal="left"/>
    </dxf>
    <dxf>
      <alignment horizontal="left"/>
    </dxf>
    <dxf>
      <alignment vertical="bottom"/>
    </dxf>
    <dxf>
      <alignment vertical="bottom"/>
    </dxf>
    <dxf>
      <font>
        <name val="Segoe UI Semibold"/>
        <scheme val="major"/>
      </font>
    </dxf>
    <dxf>
      <font>
        <name val="Segoe UI Semibold"/>
        <scheme val="major"/>
      </font>
    </dxf>
    <dxf>
      <font>
        <b/>
      </font>
    </dxf>
    <dxf>
      <font>
        <b/>
      </font>
    </dxf>
    <dxf>
      <font>
        <b/>
      </font>
    </dxf>
    <dxf>
      <alignment horizontal="left"/>
    </dxf>
    <dxf>
      <font>
        <name val="Segoe UI Semibold"/>
        <scheme val="major"/>
      </font>
    </dxf>
    <dxf>
      <alignment horizontal="left"/>
    </dxf>
    <dxf>
      <alignment vertical="bottom"/>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vertical="bottom"/>
    </dxf>
    <dxf>
      <alignment vertical="bottom"/>
    </dxf>
    <dxf>
      <alignment vertical="bottom"/>
    </dxf>
    <dxf>
      <alignment vertical="bottom"/>
    </dxf>
    <dxf>
      <alignment vertical="bottom"/>
    </dxf>
    <dxf>
      <alignment wrapText="1"/>
    </dxf>
    <dxf>
      <alignment horizontal="left"/>
    </dxf>
    <dxf>
      <alignment horizontal="left"/>
    </dxf>
    <dxf>
      <alignment vertical="bottom"/>
    </dxf>
    <dxf>
      <alignment vertical="bottom"/>
    </dxf>
    <dxf>
      <font>
        <name val="Segoe UI Semibold"/>
        <scheme val="major"/>
      </font>
    </dxf>
    <dxf>
      <font>
        <name val="Segoe UI Semibold"/>
        <scheme val="major"/>
      </font>
    </dxf>
    <dxf>
      <alignment horizontal="left"/>
    </dxf>
    <dxf>
      <font>
        <b/>
      </font>
    </dxf>
    <dxf>
      <font>
        <b/>
      </font>
    </dxf>
    <dxf>
      <font>
        <b/>
      </font>
    </dxf>
    <dxf>
      <font>
        <name val="Segoe UI Semibold"/>
        <scheme val="major"/>
      </font>
      <alignment horizontal="right"/>
    </dxf>
    <dxf>
      <alignment horizontal="left"/>
    </dxf>
    <dxf>
      <alignment vertical="bottom"/>
    </dxf>
    <dxf>
      <font>
        <name val="Segoe UI Semibold"/>
        <scheme val="major"/>
      </font>
    </dxf>
    <dxf>
      <font>
        <name val="Segoe UI Semibold"/>
        <scheme val="major"/>
      </font>
    </dxf>
    <dxf>
      <font>
        <name val="Segoe UI Semibold"/>
        <scheme val="maj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alignment vertical="bottom"/>
    </dxf>
    <dxf>
      <alignment horizontal="left"/>
    </dxf>
    <dxf>
      <font>
        <name val="Segoe UI Semibold"/>
        <scheme val="major"/>
      </font>
    </dxf>
    <dxf>
      <alignment horizontal="left"/>
    </dxf>
    <dxf>
      <font>
        <b/>
      </font>
    </dxf>
    <dxf>
      <font>
        <b/>
      </font>
    </dxf>
    <dxf>
      <font>
        <b/>
      </font>
    </dxf>
    <dxf>
      <font>
        <name val="Segoe UI Semibold"/>
        <scheme val="major"/>
      </font>
    </dxf>
    <dxf>
      <font>
        <name val="Segoe UI Semibold"/>
        <scheme val="major"/>
      </font>
    </dxf>
    <dxf>
      <alignment vertical="bottom"/>
    </dxf>
    <dxf>
      <alignment vertical="bottom"/>
    </dxf>
    <dxf>
      <alignment horizontal="left"/>
    </dxf>
    <dxf>
      <alignment horizontal="left"/>
    </dxf>
    <dxf>
      <alignment wrapText="1"/>
    </dxf>
    <dxf>
      <alignment vertical="bottom"/>
    </dxf>
    <dxf>
      <alignment vertical="bottom"/>
    </dxf>
    <dxf>
      <alignment vertical="bottom"/>
    </dxf>
    <dxf>
      <alignment vertical="bottom"/>
    </dxf>
    <dxf>
      <alignment vertical="bottom"/>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alignment vertical="bottom"/>
    </dxf>
    <dxf>
      <alignment horizontal="left"/>
    </dxf>
    <dxf>
      <font>
        <name val="Segoe UI Semibold"/>
        <scheme val="major"/>
      </font>
      <alignment horizontal="right"/>
    </dxf>
    <dxf>
      <font>
        <b/>
      </font>
    </dxf>
    <dxf>
      <font>
        <b/>
      </font>
    </dxf>
    <dxf>
      <font>
        <b/>
      </font>
    </dxf>
    <dxf>
      <alignment horizontal="left"/>
    </dxf>
    <dxf>
      <font>
        <name val="Segoe UI Semibold"/>
        <scheme val="major"/>
      </font>
    </dxf>
    <dxf>
      <font>
        <name val="Segoe UI Semibold"/>
        <scheme val="major"/>
      </font>
    </dxf>
    <dxf>
      <alignment vertical="bottom"/>
    </dxf>
    <dxf>
      <alignment vertical="bottom"/>
    </dxf>
    <dxf>
      <alignment horizontal="left"/>
    </dxf>
    <dxf>
      <alignment horizontal="left"/>
    </dxf>
    <dxf>
      <alignment wrapText="1"/>
    </dxf>
    <dxf>
      <alignment vertical="bottom"/>
    </dxf>
    <dxf>
      <alignment vertical="bottom"/>
    </dxf>
    <dxf>
      <alignment vertical="bottom"/>
    </dxf>
    <dxf>
      <alignment vertical="bottom"/>
    </dxf>
    <dxf>
      <alignment vertical="bottom"/>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5" xr9:uid="{7052DA46-1CB2-430D-94C8-B3971CF7F727}">
      <tableStyleElement type="wholeTable" dxfId="187"/>
      <tableStyleElement type="headerRow" dxfId="186"/>
      <tableStyleElement type="totalRow" dxfId="185"/>
      <tableStyleElement type="secondRowStripe" dxfId="184"/>
      <tableStyleElement type="secondSubtotalRow" dxfId="183"/>
    </tableStyle>
    <tableStyle name="Business Central Reports Slicer Style (Template)" pivot="0" table="0" count="10" xr9:uid="{AE8CDE85-C084-4BEE-99D5-EC9F621BD412}">
      <tableStyleElement type="wholeTable" dxfId="182"/>
      <tableStyleElement type="headerRow" dxfId="181"/>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8</xdr:row>
      <xdr:rowOff>189230</xdr:rowOff>
    </xdr:from>
    <xdr:to>
      <xdr:col>0</xdr:col>
      <xdr:colOff>1811650</xdr:colOff>
      <xdr:row>18</xdr:row>
      <xdr:rowOff>136040</xdr:rowOff>
    </xdr:to>
    <mc:AlternateContent xmlns:mc="http://schemas.openxmlformats.org/markup-compatibility/2006" xmlns:a14="http://schemas.microsoft.com/office/drawing/2010/main">
      <mc:Choice Requires="a14">
        <xdr:graphicFrame macro="">
          <xdr:nvGraphicFramePr>
            <xdr:cNvPr id="4" name="$PostingDateLabel$">
              <a:extLst>
                <a:ext uri="{FF2B5EF4-FFF2-40B4-BE49-F238E27FC236}">
                  <a16:creationId xmlns:a16="http://schemas.microsoft.com/office/drawing/2014/main" id="{C74966CA-2E45-5AB8-4E8C-E939958DA5A5}"/>
                </a:ext>
              </a:extLst>
            </xdr:cNvPr>
            <xdr:cNvGraphicFramePr/>
          </xdr:nvGraphicFramePr>
          <xdr:xfrm>
            <a:off x="0" y="0"/>
            <a:ext cx="0" cy="0"/>
          </xdr:xfrm>
          <a:graphic>
            <a:graphicData uri="http://schemas.microsoft.com/office/drawing/2010/slicer">
              <sle:slicer xmlns:sle="http://schemas.microsoft.com/office/drawing/2010/slicer" name="$PostingDateLabel$"/>
            </a:graphicData>
          </a:graphic>
        </xdr:graphicFrame>
      </mc:Choice>
      <mc:Fallback xmlns="">
        <xdr:sp macro="" textlink="">
          <xdr:nvSpPr>
            <xdr:cNvPr id="0" name=""/>
            <xdr:cNvSpPr>
              <a:spLocks noTextEdit="1"/>
            </xdr:cNvSpPr>
          </xdr:nvSpPr>
          <xdr:spPr>
            <a:xfrm>
              <a:off x="0" y="2650490"/>
              <a:ext cx="1815460" cy="261762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8</xdr:row>
      <xdr:rowOff>189230</xdr:rowOff>
    </xdr:from>
    <xdr:to>
      <xdr:col>0</xdr:col>
      <xdr:colOff>3682360</xdr:colOff>
      <xdr:row>18</xdr:row>
      <xdr:rowOff>139850</xdr:rowOff>
    </xdr:to>
    <mc:AlternateContent xmlns:mc="http://schemas.openxmlformats.org/markup-compatibility/2006" xmlns:a14="http://schemas.microsoft.com/office/drawing/2010/main">
      <mc:Choice Requires="a14">
        <xdr:graphicFrame macro="">
          <xdr:nvGraphicFramePr>
            <xdr:cNvPr id="5" name="$DocumentNoLabel$">
              <a:extLst>
                <a:ext uri="{FF2B5EF4-FFF2-40B4-BE49-F238E27FC236}">
                  <a16:creationId xmlns:a16="http://schemas.microsoft.com/office/drawing/2014/main" id="{C8150BBF-4351-7E08-4D0A-1517FC4BDEB2}"/>
                </a:ext>
              </a:extLst>
            </xdr:cNvPr>
            <xdr:cNvGraphicFramePr/>
          </xdr:nvGraphicFramePr>
          <xdr:xfrm>
            <a:off x="0" y="0"/>
            <a:ext cx="0" cy="0"/>
          </xdr:xfrm>
          <a:graphic>
            <a:graphicData uri="http://schemas.microsoft.com/office/drawing/2010/slicer">
              <sle:slicer xmlns:sle="http://schemas.microsoft.com/office/drawing/2010/slicer" name="$DocumentNoLabel$"/>
            </a:graphicData>
          </a:graphic>
        </xdr:graphicFrame>
      </mc:Choice>
      <mc:Fallback xmlns="">
        <xdr:sp macro="" textlink="">
          <xdr:nvSpPr>
            <xdr:cNvPr id="0" name=""/>
            <xdr:cNvSpPr>
              <a:spLocks noTextEdit="1"/>
            </xdr:cNvSpPr>
          </xdr:nvSpPr>
          <xdr:spPr>
            <a:xfrm>
              <a:off x="1866900" y="2650490"/>
              <a:ext cx="1812920" cy="261508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18</xdr:row>
      <xdr:rowOff>191135</xdr:rowOff>
    </xdr:from>
    <xdr:to>
      <xdr:col>0</xdr:col>
      <xdr:colOff>1816730</xdr:colOff>
      <xdr:row>28</xdr:row>
      <xdr:rowOff>134135</xdr:rowOff>
    </xdr:to>
    <mc:AlternateContent xmlns:mc="http://schemas.openxmlformats.org/markup-compatibility/2006" xmlns:a14="http://schemas.microsoft.com/office/drawing/2010/main">
      <mc:Choice Requires="a14">
        <xdr:graphicFrame macro="">
          <xdr:nvGraphicFramePr>
            <xdr:cNvPr id="6" name="$CustomerNoLabel$">
              <a:extLst>
                <a:ext uri="{FF2B5EF4-FFF2-40B4-BE49-F238E27FC236}">
                  <a16:creationId xmlns:a16="http://schemas.microsoft.com/office/drawing/2014/main" id="{10BB1812-3854-3F59-0130-13278D927264}"/>
                </a:ext>
              </a:extLst>
            </xdr:cNvPr>
            <xdr:cNvGraphicFramePr/>
          </xdr:nvGraphicFramePr>
          <xdr:xfrm>
            <a:off x="0" y="0"/>
            <a:ext cx="0" cy="0"/>
          </xdr:xfrm>
          <a:graphic>
            <a:graphicData uri="http://schemas.microsoft.com/office/drawing/2010/slicer">
              <sle:slicer xmlns:sle="http://schemas.microsoft.com/office/drawing/2010/slicer" name="$CustomerNoLabel$"/>
            </a:graphicData>
          </a:graphic>
        </xdr:graphicFrame>
      </mc:Choice>
      <mc:Fallback xmlns="">
        <xdr:sp macro="" textlink="">
          <xdr:nvSpPr>
            <xdr:cNvPr id="0" name=""/>
            <xdr:cNvSpPr>
              <a:spLocks noTextEdit="1"/>
            </xdr:cNvSpPr>
          </xdr:nvSpPr>
          <xdr:spPr>
            <a:xfrm>
              <a:off x="0" y="5319395"/>
              <a:ext cx="1814190" cy="261381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0</xdr:rowOff>
    </xdr:from>
    <xdr:to>
      <xdr:col>0</xdr:col>
      <xdr:colOff>1816730</xdr:colOff>
      <xdr:row>8</xdr:row>
      <xdr:rowOff>134770</xdr:rowOff>
    </xdr:to>
    <mc:AlternateContent xmlns:mc="http://schemas.openxmlformats.org/markup-compatibility/2006" xmlns:a14="http://schemas.microsoft.com/office/drawing/2010/main">
      <mc:Choice Requires="a14">
        <xdr:graphicFrame macro="">
          <xdr:nvGraphicFramePr>
            <xdr:cNvPr id="7" name="$SalespersonPurchaser_Code$">
              <a:extLst>
                <a:ext uri="{FF2B5EF4-FFF2-40B4-BE49-F238E27FC236}">
                  <a16:creationId xmlns:a16="http://schemas.microsoft.com/office/drawing/2014/main" id="{C71936F4-F368-6A3A-C324-0D652B84C74D}"/>
                </a:ext>
              </a:extLst>
            </xdr:cNvPr>
            <xdr:cNvGraphicFramePr/>
          </xdr:nvGraphicFramePr>
          <xdr:xfrm>
            <a:off x="0" y="0"/>
            <a:ext cx="0" cy="0"/>
          </xdr:xfrm>
          <a:graphic>
            <a:graphicData uri="http://schemas.microsoft.com/office/drawing/2010/slicer">
              <sle:slicer xmlns:sle="http://schemas.microsoft.com/office/drawing/2010/slicer" name="$SalespersonPurchaser_Code$"/>
            </a:graphicData>
          </a:graphic>
        </xdr:graphicFrame>
      </mc:Choice>
      <mc:Fallback xmlns="">
        <xdr:sp macro="" textlink="">
          <xdr:nvSpPr>
            <xdr:cNvPr id="0" name=""/>
            <xdr:cNvSpPr>
              <a:spLocks noTextEdit="1"/>
            </xdr:cNvSpPr>
          </xdr:nvSpPr>
          <xdr:spPr>
            <a:xfrm>
              <a:off x="0" y="0"/>
              <a:ext cx="1823080" cy="259984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0</xdr:row>
      <xdr:rowOff>0</xdr:rowOff>
    </xdr:from>
    <xdr:to>
      <xdr:col>0</xdr:col>
      <xdr:colOff>3679820</xdr:colOff>
      <xdr:row>8</xdr:row>
      <xdr:rowOff>136040</xdr:rowOff>
    </xdr:to>
    <mc:AlternateContent xmlns:mc="http://schemas.openxmlformats.org/markup-compatibility/2006" xmlns:a14="http://schemas.microsoft.com/office/drawing/2010/main">
      <mc:Choice Requires="a14">
        <xdr:graphicFrame macro="">
          <xdr:nvGraphicFramePr>
            <xdr:cNvPr id="8" name="$Salesperson_Purchaser__Name$">
              <a:extLst>
                <a:ext uri="{FF2B5EF4-FFF2-40B4-BE49-F238E27FC236}">
                  <a16:creationId xmlns:a16="http://schemas.microsoft.com/office/drawing/2014/main" id="{240EEA5A-0776-2A8C-AFCD-F86373465405}"/>
                </a:ext>
              </a:extLst>
            </xdr:cNvPr>
            <xdr:cNvGraphicFramePr/>
          </xdr:nvGraphicFramePr>
          <xdr:xfrm>
            <a:off x="0" y="0"/>
            <a:ext cx="0" cy="0"/>
          </xdr:xfrm>
          <a:graphic>
            <a:graphicData uri="http://schemas.microsoft.com/office/drawing/2010/slicer">
              <sle:slicer xmlns:sle="http://schemas.microsoft.com/office/drawing/2010/slicer" name="$Salesperson_Purchaser__Name$"/>
            </a:graphicData>
          </a:graphic>
        </xdr:graphicFrame>
      </mc:Choice>
      <mc:Fallback xmlns="">
        <xdr:sp macro="" textlink="">
          <xdr:nvSpPr>
            <xdr:cNvPr id="0" name=""/>
            <xdr:cNvSpPr>
              <a:spLocks noTextEdit="1"/>
            </xdr:cNvSpPr>
          </xdr:nvSpPr>
          <xdr:spPr>
            <a:xfrm>
              <a:off x="1866900" y="0"/>
              <a:ext cx="1816730" cy="260111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08304745372" createdVersion="8" refreshedVersion="8" minRefreshableVersion="3" recordCount="1" xr:uid="{A6AFC4C7-5160-42B4-A86F-AD373B581CB9}">
  <cacheSource type="worksheet">
    <worksheetSource name="SalespersonCommission_Query"/>
  </cacheSource>
  <cacheFields count="13">
    <cacheField name="SalespersonPurchaser_Code" numFmtId="0">
      <sharedItems containsNonDate="0" containsString="0" containsBlank="1" count="1">
        <m/>
      </sharedItems>
    </cacheField>
    <cacheField name="Salesperson_Purchaser__Name" numFmtId="0">
      <sharedItems count="1">
        <s v=""/>
      </sharedItems>
    </cacheField>
    <cacheField name="Salesperson_Purchaser__Commission___" numFmtId="0">
      <sharedItems containsSemiMixedTypes="0" containsString="0" containsNumber="1" containsInteger="1" minValue="0" maxValue="0" count="1">
        <n v="0"/>
      </sharedItems>
    </cacheField>
    <cacheField name="Cust__Ledger_Entry__Posting_Date_" numFmtId="0">
      <sharedItems count="1">
        <s v=""/>
      </sharedItems>
    </cacheField>
    <cacheField name="Cust__Ledger_Entry__Document_No__" numFmtId="0">
      <sharedItems count="1">
        <s v=""/>
      </sharedItems>
    </cacheField>
    <cacheField name="Cust__Ledger_Entry__Customer_No__" numFmtId="0">
      <sharedItems count="1">
        <s v=""/>
      </sharedItems>
    </cacheField>
    <cacheField name="CustLedgerEntry_CustomerName" numFmtId="0">
      <sharedItems containsNonDate="0" containsString="0" containsBlank="1" count="1">
        <m/>
      </sharedItems>
    </cacheField>
    <cacheField name="Cust__Ledger_Entry__Sales__LCY__" numFmtId="0">
      <sharedItems containsSemiMixedTypes="0" containsString="0" containsNumber="1" containsInteger="1" minValue="0" maxValue="0"/>
    </cacheField>
    <cacheField name="Cust__Ledger_Entry__Profit__LCY__" numFmtId="0">
      <sharedItems containsSemiMixedTypes="0" containsString="0" containsNumber="1" containsInteger="1" minValue="0" maxValue="0"/>
    </cacheField>
    <cacheField name="SalesCommissionAmt_Control32" numFmtId="0">
      <sharedItems containsSemiMixedTypes="0" containsString="0" containsNumber="1" containsInteger="1" minValue="0" maxValue="0"/>
    </cacheField>
    <cacheField name="ProfitCommissionAmt_Control33" numFmtId="0">
      <sharedItems containsSemiMixedTypes="0" containsString="0" containsNumber="1" containsInteger="1" minValue="0" maxValue="0"/>
    </cacheField>
    <cacheField name="AdjProfit_Control39" numFmtId="0">
      <sharedItems containsSemiMixedTypes="0" containsString="0" containsNumber="1" containsInteger="1" minValue="0" maxValue="0"/>
    </cacheField>
    <cacheField name="AdjProfitCommissionAmt_Control45"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847492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C5336-4A13-4005-BA86-8629325308C0}" name="PivotTable1" cacheId="10" applyNumberFormats="0" applyBorderFormats="0" applyFontFormats="0" applyPatternFormats="0" applyAlignmentFormats="0" applyWidthHeightFormats="1" dataCaption="Values" grandTotalCaption="Total" updatedVersion="8" minRefreshableVersion="3" showDrill="0" itemPrintTitles="1" createdVersion="8" indent="0" compact="0" compactData="0" multipleFieldFilters="0">
  <location ref="B10:N13" firstHeaderRow="0" firstDataRow="1" firstDataCol="7"/>
  <pivotFields count="13">
    <pivotField name="$SalespersonPurchaser_Code$" axis="axisRow" compact="0" outline="0" subtotalTop="0" showAll="0" defaultSubtotal="0">
      <items count="1">
        <item x="0"/>
      </items>
    </pivotField>
    <pivotField name="$Salesperson_Purchaser__Name$" axis="axisRow" compact="0" outline="0" subtotalTop="0" showAll="0">
      <items count="2">
        <item x="0"/>
        <item t="default"/>
      </items>
    </pivotField>
    <pivotField name="$CommissionPercentLabel$" axis="axisRow" compact="0" outline="0" showAll="0" defaultSubtotal="0">
      <items count="1">
        <item x="0"/>
      </items>
    </pivotField>
    <pivotField name="$PostingDateLabel$" axis="axisRow" compact="0" outline="0" showAll="0" defaultSubtotal="0">
      <items count="1">
        <item x="0"/>
      </items>
      <extLst>
        <ext xmlns:x14="http://schemas.microsoft.com/office/spreadsheetml/2009/9/main" uri="{2946ED86-A175-432a-8AC1-64E0C546D7DE}">
          <x14:pivotField fillDownLabels="1"/>
        </ext>
      </extLst>
    </pivotField>
    <pivotField name="$DocumentNoLabel$" axis="axisRow" compact="0" outline="0" showAll="0" defaultSubtotal="0">
      <items count="1">
        <item x="0"/>
      </items>
    </pivotField>
    <pivotField name="$CustomerNoLabel$" axis="axisRow" compact="0" outline="0" showAll="0" defaultSubtotal="0">
      <items count="1">
        <item x="0"/>
      </items>
    </pivotField>
    <pivotField name="$CustomerNameLabel$" axis="axisRow" compact="0" outline="0" subtotalTop="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7">
    <field x="0"/>
    <field x="1"/>
    <field x="2"/>
    <field x="3"/>
    <field x="4"/>
    <field x="5"/>
    <field x="6"/>
  </rowFields>
  <rowItems count="3">
    <i>
      <x/>
      <x/>
      <x/>
      <x/>
      <x/>
      <x/>
      <x/>
    </i>
    <i t="default" r="1">
      <x/>
    </i>
    <i t="grand">
      <x/>
    </i>
  </rowItems>
  <colFields count="1">
    <field x="-2"/>
  </colFields>
  <colItems count="6">
    <i>
      <x/>
    </i>
    <i i="1">
      <x v="1"/>
    </i>
    <i i="2">
      <x v="2"/>
    </i>
    <i i="3">
      <x v="3"/>
    </i>
    <i i="4">
      <x v="4"/>
    </i>
    <i i="5">
      <x v="5"/>
    </i>
  </colItems>
  <dataFields count="6">
    <dataField name="$SalesLabel$" fld="7" baseField="0" baseItem="0"/>
    <dataField name="$ProfitLabel$" fld="8" baseField="0" baseItem="0"/>
    <dataField name="$AdjustedProfitLabel$" fld="11" baseField="0" baseItem="0"/>
    <dataField name="$SalesCommissionLabel$" fld="9" baseField="0" baseItem="0"/>
    <dataField name="$ProfitCommissionLabel$" fld="10" baseField="0" baseItem="0"/>
    <dataField name="$AdjustedProfitCommissionLabel$" fld="12" baseField="0" baseItem="0"/>
  </dataFields>
  <formats count="42">
    <format dxfId="180">
      <pivotArea type="all" dataOnly="0" outline="0" fieldPosition="0"/>
    </format>
    <format dxfId="179">
      <pivotArea outline="0" collapsedLevelsAreSubtotals="1" fieldPosition="0"/>
    </format>
    <format dxfId="178">
      <pivotArea field="3" type="button" dataOnly="0" labelOnly="1" outline="0" axis="axisRow" fieldPosition="3"/>
    </format>
    <format dxfId="177">
      <pivotArea field="4" type="button" dataOnly="0" labelOnly="1" outline="0" axis="axisRow" fieldPosition="4"/>
    </format>
    <format dxfId="176">
      <pivotArea field="5" type="button" dataOnly="0" labelOnly="1" outline="0" axis="axisRow" fieldPosition="5"/>
    </format>
    <format dxfId="175">
      <pivotArea dataOnly="0" labelOnly="1" grandRow="1" outline="0" fieldPosition="0"/>
    </format>
    <format dxfId="174">
      <pivotArea dataOnly="0" labelOnly="1" outline="0" fieldPosition="0">
        <references count="1">
          <reference field="4294967294" count="6">
            <x v="0"/>
            <x v="1"/>
            <x v="2"/>
            <x v="3"/>
            <x v="4"/>
            <x v="5"/>
          </reference>
        </references>
      </pivotArea>
    </format>
    <format dxfId="173">
      <pivotArea type="all" dataOnly="0" outline="0" fieldPosition="0"/>
    </format>
    <format dxfId="172">
      <pivotArea outline="0" collapsedLevelsAreSubtotals="1" fieldPosition="0"/>
    </format>
    <format dxfId="171">
      <pivotArea field="3" type="button" dataOnly="0" labelOnly="1" outline="0" axis="axisRow" fieldPosition="3"/>
    </format>
    <format dxfId="170">
      <pivotArea field="4" type="button" dataOnly="0" labelOnly="1" outline="0" axis="axisRow" fieldPosition="4"/>
    </format>
    <format dxfId="169">
      <pivotArea field="5" type="button" dataOnly="0" labelOnly="1" outline="0" axis="axisRow" fieldPosition="5"/>
    </format>
    <format dxfId="168">
      <pivotArea dataOnly="0" labelOnly="1" grandRow="1" outline="0" fieldPosition="0"/>
    </format>
    <format dxfId="167">
      <pivotArea dataOnly="0" labelOnly="1" outline="0" fieldPosition="0">
        <references count="1">
          <reference field="4294967294" count="6">
            <x v="0"/>
            <x v="1"/>
            <x v="2"/>
            <x v="3"/>
            <x v="4"/>
            <x v="5"/>
          </reference>
        </references>
      </pivotArea>
    </format>
    <format dxfId="166">
      <pivotArea field="3" type="button" dataOnly="0" labelOnly="1" outline="0" axis="axisRow" fieldPosition="3"/>
    </format>
    <format dxfId="165">
      <pivotArea field="4" type="button" dataOnly="0" labelOnly="1" outline="0" axis="axisRow" fieldPosition="4"/>
    </format>
    <format dxfId="164">
      <pivotArea field="5" type="button" dataOnly="0" labelOnly="1" outline="0" axis="axisRow" fieldPosition="5"/>
    </format>
    <format dxfId="163">
      <pivotArea dataOnly="0" labelOnly="1" outline="0" fieldPosition="0">
        <references count="1">
          <reference field="4294967294" count="6">
            <x v="0"/>
            <x v="1"/>
            <x v="2"/>
            <x v="3"/>
            <x v="4"/>
            <x v="5"/>
          </reference>
        </references>
      </pivotArea>
    </format>
    <format dxfId="162">
      <pivotArea field="2" type="button" dataOnly="0" labelOnly="1" outline="0" axis="axisRow" fieldPosition="2"/>
    </format>
    <format dxfId="161">
      <pivotArea dataOnly="0" labelOnly="1" outline="0" fieldPosition="0">
        <references count="1">
          <reference field="4294967294" count="6">
            <x v="0"/>
            <x v="1"/>
            <x v="2"/>
            <x v="3"/>
            <x v="4"/>
            <x v="5"/>
          </reference>
        </references>
      </pivotArea>
    </format>
    <format dxfId="160">
      <pivotArea field="2" type="button" dataOnly="0" labelOnly="1" outline="0" axis="axisRow" fieldPosition="2"/>
    </format>
    <format dxfId="159">
      <pivotArea field="3" type="button" dataOnly="0" labelOnly="1" outline="0" axis="axisRow" fieldPosition="3"/>
    </format>
    <format dxfId="158">
      <pivotArea field="4" type="button" dataOnly="0" labelOnly="1" outline="0" axis="axisRow" fieldPosition="4"/>
    </format>
    <format dxfId="157">
      <pivotArea field="5" type="button" dataOnly="0" labelOnly="1" outline="0" axis="axisRow" fieldPosition="5"/>
    </format>
    <format dxfId="156">
      <pivotArea dataOnly="0" labelOnly="1" outline="0" fieldPosition="0">
        <references count="1">
          <reference field="4294967294" count="6">
            <x v="0"/>
            <x v="1"/>
            <x v="2"/>
            <x v="3"/>
            <x v="4"/>
            <x v="5"/>
          </reference>
        </references>
      </pivotArea>
    </format>
    <format dxfId="155">
      <pivotArea dataOnly="0" labelOnly="1" outline="0" fieldPosition="0">
        <references count="1">
          <reference field="4294967294" count="4">
            <x v="2"/>
            <x v="3"/>
            <x v="4"/>
            <x v="5"/>
          </reference>
        </references>
      </pivotArea>
    </format>
    <format dxfId="154">
      <pivotArea field="2" type="button" dataOnly="0" labelOnly="1" outline="0" axis="axisRow" fieldPosition="2"/>
    </format>
    <format dxfId="153">
      <pivotArea field="3" type="button" dataOnly="0" labelOnly="1" outline="0" axis="axisRow" fieldPosition="3"/>
    </format>
    <format dxfId="152">
      <pivotArea field="0" type="button" dataOnly="0" labelOnly="1" outline="0" axis="axisRow" fieldPosition="0"/>
    </format>
    <format dxfId="151">
      <pivotArea field="1" type="button" dataOnly="0" labelOnly="1" outline="0" axis="axisRow" fieldPosition="1"/>
    </format>
    <format dxfId="150">
      <pivotArea field="0" type="button" dataOnly="0" labelOnly="1" outline="0" axis="axisRow" fieldPosition="0"/>
    </format>
    <format dxfId="149">
      <pivotArea field="1" type="button" dataOnly="0" labelOnly="1" outline="0" axis="axisRow" fieldPosition="1"/>
    </format>
    <format dxfId="148">
      <pivotArea dataOnly="0" labelOnly="1" outline="0" fieldPosition="0">
        <references count="3">
          <reference field="0" count="0" selected="0"/>
          <reference field="1" count="0" selected="0"/>
          <reference field="2" count="0"/>
        </references>
      </pivotArea>
    </format>
    <format dxfId="147">
      <pivotArea dataOnly="0" labelOnly="1" outline="0" fieldPosition="0">
        <references count="1">
          <reference field="0" count="0"/>
        </references>
      </pivotArea>
    </format>
    <format dxfId="146">
      <pivotArea dataOnly="0" labelOnly="1" outline="0" fieldPosition="0">
        <references count="2">
          <reference field="0" count="0" selected="0"/>
          <reference field="1" count="0"/>
        </references>
      </pivotArea>
    </format>
    <format dxfId="145">
      <pivotArea dataOnly="0" labelOnly="1" outline="0" fieldPosition="0">
        <references count="3">
          <reference field="0" count="0" selected="0"/>
          <reference field="1" count="0" selected="0"/>
          <reference field="2" count="0"/>
        </references>
      </pivotArea>
    </format>
    <format dxfId="144">
      <pivotArea field="6" type="button" dataOnly="0" labelOnly="1" outline="0" axis="axisRow" fieldPosition="6"/>
    </format>
    <format dxfId="143">
      <pivotArea field="6" type="button" dataOnly="0" labelOnly="1" outline="0" axis="axisRow" fieldPosition="6"/>
    </format>
    <format dxfId="142">
      <pivotArea field="6" type="button" dataOnly="0" labelOnly="1" outline="0" axis="axisRow" fieldPosition="6"/>
    </format>
    <format dxfId="141">
      <pivotArea outline="0" fieldPosition="0">
        <references count="2">
          <reference field="0" count="0" selected="0"/>
          <reference field="1" count="0" selected="0" defaultSubtotal="1"/>
        </references>
      </pivotArea>
    </format>
    <format dxfId="140">
      <pivotArea dataOnly="0" labelOnly="1" outline="0" fieldPosition="0">
        <references count="2">
          <reference field="0" count="0" selected="0"/>
          <reference field="1" count="0" defaultSubtotal="1"/>
        </references>
      </pivotArea>
    </format>
    <format dxfId="3">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F5EE78-A28C-4822-A153-5C6FC203DB66}" name="PivotTable1" cacheId="10" applyNumberFormats="0" applyBorderFormats="0" applyFontFormats="0" applyPatternFormats="0" applyAlignmentFormats="0" applyWidthHeightFormats="1" dataCaption="Values" grandTotalCaption="Total" updatedVersion="8" minRefreshableVersion="3" showDrill="0" itemPrintTitles="1" createdVersion="8" indent="0" compact="0" compactData="0" multipleFieldFilters="0">
  <location ref="B1:N4" firstHeaderRow="0" firstDataRow="1" firstDataCol="7"/>
  <pivotFields count="13">
    <pivotField name="$SalespersonPurchaser_Code$" axis="axisRow" compact="0" outline="0" subtotalTop="0" showAll="0" defaultSubtotal="0">
      <items count="1">
        <item x="0"/>
      </items>
    </pivotField>
    <pivotField name="$Salesperson_Purchaser__Name$" axis="axisRow" compact="0" outline="0" subtotalTop="0" showAll="0">
      <items count="2">
        <item x="0"/>
        <item t="default"/>
      </items>
    </pivotField>
    <pivotField name="$CommissionPercentLabel$" axis="axisRow" compact="0" outline="0" showAll="0" defaultSubtotal="0">
      <items count="1">
        <item x="0"/>
      </items>
    </pivotField>
    <pivotField name="$PostingDateLabel$" axis="axisRow" compact="0" outline="0" showAll="0" defaultSubtotal="0">
      <items count="1">
        <item x="0"/>
      </items>
      <extLst>
        <ext xmlns:x14="http://schemas.microsoft.com/office/spreadsheetml/2009/9/main" uri="{2946ED86-A175-432a-8AC1-64E0C546D7DE}">
          <x14:pivotField fillDownLabels="1"/>
        </ext>
      </extLst>
    </pivotField>
    <pivotField name="$DocumentNoLabel$" axis="axisRow" compact="0" outline="0" showAll="0" defaultSubtotal="0">
      <items count="1">
        <item x="0"/>
      </items>
    </pivotField>
    <pivotField name="$CustomerNoLabel$" axis="axisRow" compact="0" outline="0" showAll="0" defaultSubtotal="0">
      <items count="1">
        <item x="0"/>
      </items>
    </pivotField>
    <pivotField name="$CustomerNameLabel$" axis="axisRow" compact="0" outline="0" subtotalTop="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7">
    <field x="0"/>
    <field x="1"/>
    <field x="2"/>
    <field x="3"/>
    <field x="4"/>
    <field x="5"/>
    <field x="6"/>
  </rowFields>
  <rowItems count="3">
    <i>
      <x/>
      <x/>
      <x/>
      <x/>
      <x/>
      <x/>
      <x/>
    </i>
    <i t="default" r="1">
      <x/>
    </i>
    <i t="grand">
      <x/>
    </i>
  </rowItems>
  <colFields count="1">
    <field x="-2"/>
  </colFields>
  <colItems count="6">
    <i>
      <x/>
    </i>
    <i i="1">
      <x v="1"/>
    </i>
    <i i="2">
      <x v="2"/>
    </i>
    <i i="3">
      <x v="3"/>
    </i>
    <i i="4">
      <x v="4"/>
    </i>
    <i i="5">
      <x v="5"/>
    </i>
  </colItems>
  <dataFields count="6">
    <dataField name="$SalesLabel$" fld="7" baseField="0" baseItem="0"/>
    <dataField name="$ProfitLabel$" fld="8" baseField="0" baseItem="0"/>
    <dataField name="$AdjustedProfitLabel$" fld="11" baseField="0" baseItem="0"/>
    <dataField name="$SalesCommissionLabel$" fld="9" baseField="0" baseItem="0"/>
    <dataField name="$ProfitCommissionLabel$" fld="10" baseField="0" baseItem="0"/>
    <dataField name="$AdjustedProfitCommissionLabel$" fld="12" baseField="0" baseItem="0"/>
  </dataFields>
  <formats count="42">
    <format dxfId="139">
      <pivotArea type="all" dataOnly="0" outline="0" fieldPosition="0"/>
    </format>
    <format dxfId="138">
      <pivotArea outline="0" collapsedLevelsAreSubtotals="1" fieldPosition="0"/>
    </format>
    <format dxfId="137">
      <pivotArea field="3" type="button" dataOnly="0" labelOnly="1" outline="0" axis="axisRow" fieldPosition="3"/>
    </format>
    <format dxfId="136">
      <pivotArea field="4" type="button" dataOnly="0" labelOnly="1" outline="0" axis="axisRow" fieldPosition="4"/>
    </format>
    <format dxfId="135">
      <pivotArea field="5" type="button" dataOnly="0" labelOnly="1" outline="0" axis="axisRow" fieldPosition="5"/>
    </format>
    <format dxfId="134">
      <pivotArea dataOnly="0" labelOnly="1" grandRow="1" outline="0" fieldPosition="0"/>
    </format>
    <format dxfId="133">
      <pivotArea dataOnly="0" labelOnly="1" outline="0" fieldPosition="0">
        <references count="1">
          <reference field="4294967294" count="6">
            <x v="0"/>
            <x v="1"/>
            <x v="2"/>
            <x v="3"/>
            <x v="4"/>
            <x v="5"/>
          </reference>
        </references>
      </pivotArea>
    </format>
    <format dxfId="132">
      <pivotArea type="all" dataOnly="0" outline="0" fieldPosition="0"/>
    </format>
    <format dxfId="131">
      <pivotArea outline="0" collapsedLevelsAreSubtotals="1" fieldPosition="0"/>
    </format>
    <format dxfId="130">
      <pivotArea field="3" type="button" dataOnly="0" labelOnly="1" outline="0" axis="axisRow" fieldPosition="3"/>
    </format>
    <format dxfId="129">
      <pivotArea field="4" type="button" dataOnly="0" labelOnly="1" outline="0" axis="axisRow" fieldPosition="4"/>
    </format>
    <format dxfId="128">
      <pivotArea field="5" type="button" dataOnly="0" labelOnly="1" outline="0" axis="axisRow" fieldPosition="5"/>
    </format>
    <format dxfId="127">
      <pivotArea dataOnly="0" labelOnly="1" grandRow="1" outline="0" fieldPosition="0"/>
    </format>
    <format dxfId="126">
      <pivotArea dataOnly="0" labelOnly="1" outline="0" fieldPosition="0">
        <references count="1">
          <reference field="4294967294" count="6">
            <x v="0"/>
            <x v="1"/>
            <x v="2"/>
            <x v="3"/>
            <x v="4"/>
            <x v="5"/>
          </reference>
        </references>
      </pivotArea>
    </format>
    <format dxfId="125">
      <pivotArea field="3" type="button" dataOnly="0" labelOnly="1" outline="0" axis="axisRow" fieldPosition="3"/>
    </format>
    <format dxfId="124">
      <pivotArea field="4" type="button" dataOnly="0" labelOnly="1" outline="0" axis="axisRow" fieldPosition="4"/>
    </format>
    <format dxfId="123">
      <pivotArea field="5" type="button" dataOnly="0" labelOnly="1" outline="0" axis="axisRow" fieldPosition="5"/>
    </format>
    <format dxfId="122">
      <pivotArea dataOnly="0" labelOnly="1" outline="0" fieldPosition="0">
        <references count="1">
          <reference field="4294967294" count="6">
            <x v="0"/>
            <x v="1"/>
            <x v="2"/>
            <x v="3"/>
            <x v="4"/>
            <x v="5"/>
          </reference>
        </references>
      </pivotArea>
    </format>
    <format dxfId="121">
      <pivotArea field="2" type="button" dataOnly="0" labelOnly="1" outline="0" axis="axisRow" fieldPosition="2"/>
    </format>
    <format dxfId="120">
      <pivotArea dataOnly="0" labelOnly="1" outline="0" fieldPosition="0">
        <references count="1">
          <reference field="4294967294" count="6">
            <x v="0"/>
            <x v="1"/>
            <x v="2"/>
            <x v="3"/>
            <x v="4"/>
            <x v="5"/>
          </reference>
        </references>
      </pivotArea>
    </format>
    <format dxfId="119">
      <pivotArea field="2" type="button" dataOnly="0" labelOnly="1" outline="0" axis="axisRow" fieldPosition="2"/>
    </format>
    <format dxfId="118">
      <pivotArea field="3" type="button" dataOnly="0" labelOnly="1" outline="0" axis="axisRow" fieldPosition="3"/>
    </format>
    <format dxfId="117">
      <pivotArea field="4" type="button" dataOnly="0" labelOnly="1" outline="0" axis="axisRow" fieldPosition="4"/>
    </format>
    <format dxfId="116">
      <pivotArea field="5" type="button" dataOnly="0" labelOnly="1" outline="0" axis="axisRow" fieldPosition="5"/>
    </format>
    <format dxfId="115">
      <pivotArea dataOnly="0" labelOnly="1" outline="0" fieldPosition="0">
        <references count="1">
          <reference field="4294967294" count="6">
            <x v="0"/>
            <x v="1"/>
            <x v="2"/>
            <x v="3"/>
            <x v="4"/>
            <x v="5"/>
          </reference>
        </references>
      </pivotArea>
    </format>
    <format dxfId="114">
      <pivotArea dataOnly="0" labelOnly="1" outline="0" fieldPosition="0">
        <references count="1">
          <reference field="4294967294" count="4">
            <x v="2"/>
            <x v="3"/>
            <x v="4"/>
            <x v="5"/>
          </reference>
        </references>
      </pivotArea>
    </format>
    <format dxfId="113">
      <pivotArea field="2" type="button" dataOnly="0" labelOnly="1" outline="0" axis="axisRow" fieldPosition="2"/>
    </format>
    <format dxfId="112">
      <pivotArea field="3" type="button" dataOnly="0" labelOnly="1" outline="0" axis="axisRow" fieldPosition="3"/>
    </format>
    <format dxfId="111">
      <pivotArea field="0" type="button" dataOnly="0" labelOnly="1" outline="0" axis="axisRow" fieldPosition="0"/>
    </format>
    <format dxfId="110">
      <pivotArea field="1" type="button" dataOnly="0" labelOnly="1" outline="0" axis="axisRow" fieldPosition="1"/>
    </format>
    <format dxfId="109">
      <pivotArea field="0" type="button" dataOnly="0" labelOnly="1" outline="0" axis="axisRow" fieldPosition="0"/>
    </format>
    <format dxfId="108">
      <pivotArea field="1" type="button" dataOnly="0" labelOnly="1" outline="0" axis="axisRow" fieldPosition="1"/>
    </format>
    <format dxfId="107">
      <pivotArea dataOnly="0" labelOnly="1" outline="0" fieldPosition="0">
        <references count="1">
          <reference field="0" count="0"/>
        </references>
      </pivotArea>
    </format>
    <format dxfId="106">
      <pivotArea dataOnly="0" labelOnly="1" outline="0" fieldPosition="0">
        <references count="2">
          <reference field="0" count="0" selected="0"/>
          <reference field="1" count="0"/>
        </references>
      </pivotArea>
    </format>
    <format dxfId="105">
      <pivotArea dataOnly="0" labelOnly="1" outline="0" fieldPosition="0">
        <references count="3">
          <reference field="0" count="0" selected="0"/>
          <reference field="1" count="0" selected="0"/>
          <reference field="2" count="0"/>
        </references>
      </pivotArea>
    </format>
    <format dxfId="104">
      <pivotArea dataOnly="0" labelOnly="1" outline="0" fieldPosition="0">
        <references count="3">
          <reference field="0" count="0" selected="0"/>
          <reference field="1" count="0" selected="0"/>
          <reference field="2" count="0"/>
        </references>
      </pivotArea>
    </format>
    <format dxfId="103">
      <pivotArea field="6" type="button" dataOnly="0" labelOnly="1" outline="0" axis="axisRow" fieldPosition="6"/>
    </format>
    <format dxfId="102">
      <pivotArea field="6" type="button" dataOnly="0" labelOnly="1" outline="0" axis="axisRow" fieldPosition="6"/>
    </format>
    <format dxfId="101">
      <pivotArea field="6" type="button" dataOnly="0" labelOnly="1" outline="0" axis="axisRow" fieldPosition="6"/>
    </format>
    <format dxfId="100">
      <pivotArea outline="0" fieldPosition="0">
        <references count="2">
          <reference field="0" count="0" selected="0"/>
          <reference field="1" count="0" selected="0" defaultSubtotal="1"/>
        </references>
      </pivotArea>
    </format>
    <format dxfId="99">
      <pivotArea dataOnly="0" labelOnly="1" outline="0" fieldPosition="0">
        <references count="2">
          <reference field="0" count="0" selected="0"/>
          <reference field="1" count="0" defaultSubtotal="1"/>
        </references>
      </pivotArea>
    </format>
    <format dxfId="1">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5DCFB9CD-3139-42AD-8459-8DD4E2E7CA86}" autoFormatId="16" applyNumberFormats="0" applyBorderFormats="0" applyFontFormats="0" applyPatternFormats="0" applyAlignmentFormats="0" applyWidthHeightFormats="0">
  <queryTableRefresh nextId="24">
    <queryTableFields count="13">
      <queryTableField id="13" name="SalespersonPurchaser_Code" tableColumnId="13"/>
      <queryTableField id="14" name="Salesperson_Purchaser__Name" tableColumnId="14"/>
      <queryTableField id="3" name="Salesperson_Purchaser__Commission___" tableColumnId="3"/>
      <queryTableField id="4" name="Cust__Ledger_Entry__Posting_Date_" tableColumnId="4"/>
      <queryTableField id="5" name="Cust__Ledger_Entry__Document_No__" tableColumnId="5"/>
      <queryTableField id="6" name="Cust__Ledger_Entry__Customer_No__" tableColumnId="6"/>
      <queryTableField id="17" name="CustLedgerEntry_CustomerName" tableColumnId="1"/>
      <queryTableField id="7" name="Cust__Ledger_Entry__Sales__LCY__" tableColumnId="7"/>
      <queryTableField id="8" name="Cust__Ledger_Entry__Profit__LCY__" tableColumnId="8"/>
      <queryTableField id="9" name="SalesCommissionAmt_Control32" tableColumnId="9"/>
      <queryTableField id="10" name="ProfitCommissionAmt_Control33" tableColumnId="10"/>
      <queryTableField id="11" name="AdjProfit_Control39" tableColumnId="11"/>
      <queryTableField id="12" name="AdjProfitCommissionAmt_Control45"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_Ledger_Entry__Posting_Date_" xr10:uid="{C5F069DE-B9A6-43FF-9C9E-A869002EA132}" sourceName="Cust__Ledger_Entry__Posting_Date_">
  <pivotTables>
    <pivotTable tabId="10" name="PivotTable1"/>
  </pivotTables>
  <data>
    <tabular pivotCacheId="1847492684"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_Ledger_Entry__Document_No__" xr10:uid="{C8D25235-44FA-4ED7-B216-1926FEE34A23}" sourceName="Cust__Ledger_Entry__Document_No__">
  <pivotTables>
    <pivotTable tabId="10" name="PivotTable1"/>
  </pivotTables>
  <data>
    <tabular pivotCacheId="1847492684"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_Ledger_Entry__Customer_No__" xr10:uid="{147F7FC0-EA5E-4DA7-93E3-5A5A1917495E}" sourceName="Cust__Ledger_Entry__Customer_No__">
  <pivotTables>
    <pivotTable tabId="10" name="PivotTable1"/>
  </pivotTables>
  <data>
    <tabular pivotCacheId="1847492684"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Purchaser_Code" xr10:uid="{E88355C4-C0F6-4C98-AF02-4BA45506BE09}" sourceName="SalespersonPurchaser_Code">
  <pivotTables>
    <pivotTable tabId="10" name="PivotTable1"/>
  </pivotTables>
  <data>
    <tabular pivotCacheId="1847492684"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Purchaser__Name" xr10:uid="{3A4CAE9D-1AF1-4914-8605-4317F2F05929}" sourceName="Salesperson_Purchaser__Name">
  <pivotTables>
    <pivotTable tabId="10" name="PivotTable1"/>
  </pivotTables>
  <data>
    <tabular pivotCacheId="1847492684"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tingDateLabel$" xr10:uid="{480F33E4-CBA1-4605-9F5F-FEE9B9EB82FA}" cache="Slicer_Cust__Ledger_Entry__Posting_Date_" caption="$PostingDateLabel$" style="Business Central Reports Slicer Style (Template)" rowHeight="273050"/>
  <slicer name="$DocumentNoLabel$" xr10:uid="{98AF4F0D-F612-46AC-9497-96C86FC7D0ED}" cache="Slicer_Cust__Ledger_Entry__Document_No__" caption="$DocumentNoLabel$" style="Business Central Reports Slicer Style (Template)" rowHeight="273050"/>
  <slicer name="$CustomerNoLabel$" xr10:uid="{87022B45-013C-4A64-A190-2B23E0CE0229}" cache="Slicer_Cust__Ledger_Entry__Customer_No__" caption="$CustomerNoLabel$" style="Business Central Reports Slicer Style (Template)" rowHeight="273050"/>
  <slicer name="$SalespersonPurchaser_Code$" xr10:uid="{FC3BA7AF-CF18-401B-B205-FE70FEF0A349}" cache="Slicer_SalespersonPurchaser_Code" caption="$SalespersonPurchaser_Code$" style="Business Central Reports Slicer Style (Template)" rowHeight="273050"/>
  <slicer name="$Salesperson_Purchaser__Name$" xr10:uid="{6607E208-DD9B-42AD-ACE4-846385E5EBFB}" cache="Slicer_Salesperson_Purchaser__Name" caption="$Salesperson_Purchaser__Nam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423B57-8C13-4807-80F3-98B9DE8D81D3}" name="SalespersonCommission_Query" displayName="SalespersonCommission_Query" ref="A1:M2" tableType="queryTable" totalsRowShown="0">
  <autoFilter ref="A1:M2" xr:uid="{5F423B57-8C13-4807-80F3-98B9DE8D81D3}"/>
  <tableColumns count="13">
    <tableColumn id="13" xr3:uid="{CFA21486-E306-44DE-A168-A1614DFF221F}" uniqueName="13" name="SalespersonPurchaser_Code" queryTableFieldId="13" dataDxfId="98"/>
    <tableColumn id="14" xr3:uid="{A7CB9479-52F7-43A2-8CA1-FC52B5856B15}" uniqueName="14" name="Salesperson_Purchaser__Name" queryTableFieldId="14" dataDxfId="97"/>
    <tableColumn id="3" xr3:uid="{2D9543FB-9FC0-4A5E-9CF9-D5921C6CE65C}" uniqueName="3" name="Salesperson_Purchaser__Commission___" queryTableFieldId="3"/>
    <tableColumn id="4" xr3:uid="{AFCD6AA6-CDB3-4D31-8E6A-ED16033CBF1E}" uniqueName="4" name="Cust__Ledger_Entry__Posting_Date_" queryTableFieldId="4" dataDxfId="96"/>
    <tableColumn id="5" xr3:uid="{0B01EBEB-1020-4B4B-ACED-8669BEEBE97B}" uniqueName="5" name="Cust__Ledger_Entry__Document_No__" queryTableFieldId="5" dataDxfId="95"/>
    <tableColumn id="6" xr3:uid="{EFFF2C13-C1AE-4217-8D7C-4269A610BA1F}" uniqueName="6" name="Cust__Ledger_Entry__Customer_No__" queryTableFieldId="6" dataDxfId="94"/>
    <tableColumn id="1" xr3:uid="{EA3F96DB-450E-4E76-849F-75C39821C976}" uniqueName="1" name="CustLedgerEntry_CustomerName" queryTableFieldId="17" dataDxfId="93"/>
    <tableColumn id="7" xr3:uid="{5C8DDC30-F572-49FE-970E-C01B2158358A}" uniqueName="7" name="Cust__Ledger_Entry__Sales__LCY__" queryTableFieldId="7"/>
    <tableColumn id="8" xr3:uid="{8156C4DC-AB52-4057-82E5-AC687E48748A}" uniqueName="8" name="Cust__Ledger_Entry__Profit__LCY__" queryTableFieldId="8"/>
    <tableColumn id="9" xr3:uid="{707769EE-12DC-46A2-9E25-6D70535E5F4F}" uniqueName="9" name="SalesCommissionAmt_Control32" queryTableFieldId="9"/>
    <tableColumn id="10" xr3:uid="{850E7795-05C3-4CCF-AFEC-E5B112A46B98}" uniqueName="10" name="ProfitCommissionAmt_Control33" queryTableFieldId="10"/>
    <tableColumn id="11" xr3:uid="{2F2CCB92-4A23-4629-AD92-8AE306C50241}" uniqueName="11" name="AdjProfit_Control39" queryTableFieldId="11"/>
    <tableColumn id="12" xr3:uid="{5239EF22-F49D-4AFB-8F25-0893064017E8}" uniqueName="12" name="AdjProfitCommissionAmt_Control45"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R2" totalsRowShown="0" headerRowDxfId="92">
  <autoFilter ref="A1:R2" xr:uid="{41D726F2-778D-4B1C-A5EA-875FED73D050}"/>
  <tableColumns count="18">
    <tableColumn id="1" xr3:uid="{21867904-D69E-41E3-B5BE-D9B124B8D7E4}" name="STRSUBSTNO_Text000_PeriodText_"/>
    <tableColumn id="3" xr3:uid="{21867904-D69E-41E3-B5BE-D9B124B8D7E4}" name="Salesperson_Purchaser__TABLECAPTION__________SalespersonFilter"/>
    <tableColumn id="5" xr3:uid="{21867904-D69E-41E3-B5BE-D9B124B8D7E4}" name="Cust__Ledger_Entry__TABLECAPTION__________CustLedgEntryFilter"/>
    <tableColumn id="8" xr3:uid="{21867904-D69E-41E3-B5BE-D9B124B8D7E4}" name="Salesperson_Purchaser_Code"/>
    <tableColumn id="9" xr3:uid="{21867904-D69E-41E3-B5BE-D9B124B8D7E4}" name="Salesperson_Purchaser_Name"/>
    <tableColumn id="10" xr3:uid="{21867904-D69E-41E3-B5BE-D9B124B8D7E4}" name="Salesperson_Purchaser__Commission___"/>
    <tableColumn id="42" xr3:uid="{E4D5AB2D-A697-438B-BE59-7A4AE2F27667}" name="CustLedgerEntry_CustomerName"/>
    <tableColumn id="31" xr3:uid="{21867904-D69E-41E3-B5BE-D9B124B8D7E4}" name="Cust__Ledger_Entry__Posting_Date_"/>
    <tableColumn id="32" xr3:uid="{21867904-D69E-41E3-B5BE-D9B124B8D7E4}" name="Cust__Ledger_Entry__Document_No__"/>
    <tableColumn id="33" xr3:uid="{21867904-D69E-41E3-B5BE-D9B124B8D7E4}" name="Cust__Ledger_Entry__Customer_No__"/>
    <tableColumn id="34" xr3:uid="{21867904-D69E-41E3-B5BE-D9B124B8D7E4}" name="Cust__Ledger_Entry__Sales__LCY__"/>
    <tableColumn id="35" xr3:uid="{21867904-D69E-41E3-B5BE-D9B124B8D7E4}" name="Cust__Ledger_Entry__Profit__LCY__"/>
    <tableColumn id="36" xr3:uid="{21867904-D69E-41E3-B5BE-D9B124B8D7E4}" name="SalesCommissionAmt_Control32"/>
    <tableColumn id="37" xr3:uid="{21867904-D69E-41E3-B5BE-D9B124B8D7E4}" name="ProfitCommissionAmt_Control33"/>
    <tableColumn id="38" xr3:uid="{21867904-D69E-41E3-B5BE-D9B124B8D7E4}" name="AdjProfit_Control39"/>
    <tableColumn id="39" xr3:uid="{21867904-D69E-41E3-B5BE-D9B124B8D7E4}" name="AdjProfitCommissionAmt_Control45"/>
    <tableColumn id="40" xr3:uid="{21867904-D69E-41E3-B5BE-D9B124B8D7E4}" name="Salesperson_Purchaser__Name"/>
    <tableColumn id="41" xr3:uid="{CAD165A0-A404-4996-ADE1-02466D61FF07}" name="SalespersonPurchaser_Cod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91">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90">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89">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88">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D7317-0332-44E9-9DF6-10F398876347}">
  <sheetPr>
    <pageSetUpPr fitToPage="1"/>
  </sheetPr>
  <dimension ref="A2:N13"/>
  <sheetViews>
    <sheetView showGridLines="0" tabSelected="1" workbookViewId="0"/>
  </sheetViews>
  <sheetFormatPr defaultColWidth="14.59765625" defaultRowHeight="20.399999999999999" x14ac:dyDescent="0.45"/>
  <cols>
    <col min="1" max="1" width="9.09765625" style="14" customWidth="1"/>
    <col min="2" max="2" width="10.19921875" customWidth="1"/>
    <col min="3" max="3" width="9.09765625" customWidth="1"/>
    <col min="4" max="4" width="15.09765625" bestFit="1" customWidth="1"/>
    <col min="5" max="5" width="13.5" customWidth="1"/>
    <col min="6" max="6" width="13.8984375" bestFit="1" customWidth="1"/>
    <col min="7" max="7" width="13.3984375" bestFit="1" customWidth="1"/>
    <col min="8" max="8" width="25.09765625" customWidth="1"/>
    <col min="9" max="9" width="8.8984375" bestFit="1" customWidth="1"/>
    <col min="10" max="10" width="9.19921875" bestFit="1" customWidth="1"/>
    <col min="11" max="11" width="10.5" customWidth="1"/>
    <col min="12" max="12" width="14.09765625" customWidth="1"/>
    <col min="13" max="13" width="15.5" customWidth="1"/>
    <col min="14" max="14" width="18.59765625" customWidth="1"/>
  </cols>
  <sheetData>
    <row r="2" spans="2:14" ht="27.6" thickBot="1" x14ac:dyDescent="0.5">
      <c r="B2" s="4" t="s">
        <v>81</v>
      </c>
      <c r="L2" s="5"/>
      <c r="M2" s="5"/>
      <c r="N2" s="6" t="str" cm="1">
        <f t="array" ref="N2">ReportRequest.CompanyName</f>
        <v>Company name Value</v>
      </c>
    </row>
    <row r="3" spans="2:14" ht="21" thickTop="1" x14ac:dyDescent="0.45">
      <c r="L3" s="5"/>
      <c r="M3" s="5"/>
      <c r="N3" s="5"/>
    </row>
    <row r="4" spans="2:14" x14ac:dyDescent="0.45">
      <c r="B4" s="7" t="e" cm="1">
        <f t="array" ref="B4">IF(DatePeriod="", "", Caption.Period)</f>
        <v>#N/A</v>
      </c>
      <c r="C4" s="8" t="e" cm="1">
        <f t="array" ref="C4">DatePeriod</f>
        <v>#N/A</v>
      </c>
      <c r="L4" s="9"/>
      <c r="M4" s="9" t="e" cm="1">
        <f t="array" ref="M4">Caption.DataRetrieved</f>
        <v>#NAME?</v>
      </c>
      <c r="N4" s="10" t="str" cm="1">
        <f t="array" ref="N4">ReportRequest.DateLocal</f>
        <v>Date (Local) Value</v>
      </c>
    </row>
    <row r="5" spans="2:14" x14ac:dyDescent="0.45">
      <c r="B5" s="7"/>
      <c r="C5" s="8"/>
      <c r="L5" s="9"/>
      <c r="M5" s="10"/>
    </row>
    <row r="6" spans="2:14" x14ac:dyDescent="0.45">
      <c r="B6" s="7" t="s">
        <v>103</v>
      </c>
      <c r="C6" s="8"/>
      <c r="L6" s="9"/>
      <c r="M6" s="10"/>
    </row>
    <row r="7" spans="2:14" x14ac:dyDescent="0.45">
      <c r="B7" s="7" t="e" cm="1">
        <f t="array" ref="B7">SalespersonFilterHeading</f>
        <v>#N/A</v>
      </c>
      <c r="C7" s="8"/>
      <c r="L7" s="9"/>
      <c r="M7" s="10"/>
    </row>
    <row r="8" spans="2:14" x14ac:dyDescent="0.45">
      <c r="B8" s="7" t="e" cm="1">
        <f t="array" ref="B8">CustLedgEntryFilterHeading</f>
        <v>#N/A</v>
      </c>
      <c r="C8" s="8"/>
      <c r="L8" s="9"/>
      <c r="M8" s="10"/>
    </row>
    <row r="10" spans="2:14" ht="35.1" customHeight="1" x14ac:dyDescent="0.45">
      <c r="B10" s="20" t="s">
        <v>101</v>
      </c>
      <c r="C10" s="20" t="s">
        <v>102</v>
      </c>
      <c r="D10" s="23" t="s">
        <v>90</v>
      </c>
      <c r="E10" s="23" t="s">
        <v>89</v>
      </c>
      <c r="F10" s="20" t="s">
        <v>95</v>
      </c>
      <c r="G10" s="20" t="s">
        <v>96</v>
      </c>
      <c r="H10" s="23" t="s">
        <v>105</v>
      </c>
      <c r="I10" s="21" t="s">
        <v>97</v>
      </c>
      <c r="J10" s="21" t="s">
        <v>98</v>
      </c>
      <c r="K10" s="22" t="s">
        <v>94</v>
      </c>
      <c r="L10" s="22" t="s">
        <v>93</v>
      </c>
      <c r="M10" s="22" t="s">
        <v>92</v>
      </c>
      <c r="N10" s="22" t="s">
        <v>91</v>
      </c>
    </row>
    <row r="11" spans="2:14" x14ac:dyDescent="0.45">
      <c r="B11" s="16" t="s">
        <v>100</v>
      </c>
      <c r="C11" s="16"/>
      <c r="D11" s="17">
        <v>0</v>
      </c>
      <c r="E11" s="11"/>
      <c r="F11" s="11"/>
      <c r="G11" s="11"/>
      <c r="H11" s="11" t="s">
        <v>100</v>
      </c>
      <c r="I11" s="18">
        <v>0</v>
      </c>
      <c r="J11" s="18">
        <v>0</v>
      </c>
      <c r="K11" s="18">
        <v>0</v>
      </c>
      <c r="L11" s="18">
        <v>0</v>
      </c>
      <c r="M11" s="18">
        <v>0</v>
      </c>
      <c r="N11" s="18">
        <v>0</v>
      </c>
    </row>
    <row r="12" spans="2:14" x14ac:dyDescent="0.45">
      <c r="B12" s="16"/>
      <c r="C12" s="19" t="s">
        <v>106</v>
      </c>
      <c r="D12" s="19"/>
      <c r="E12" s="19"/>
      <c r="F12" s="19"/>
      <c r="G12" s="19"/>
      <c r="H12" s="19"/>
      <c r="I12" s="24">
        <v>0</v>
      </c>
      <c r="J12" s="24">
        <v>0</v>
      </c>
      <c r="K12" s="24">
        <v>0</v>
      </c>
      <c r="L12" s="24">
        <v>0</v>
      </c>
      <c r="M12" s="24">
        <v>0</v>
      </c>
      <c r="N12" s="24">
        <v>0</v>
      </c>
    </row>
    <row r="13" spans="2:14" x14ac:dyDescent="0.45">
      <c r="B13" s="11" t="s">
        <v>88</v>
      </c>
      <c r="C13" s="11"/>
      <c r="D13" s="11"/>
      <c r="E13" s="11"/>
      <c r="F13" s="11"/>
      <c r="G13" s="11"/>
      <c r="H13" s="11"/>
      <c r="I13" s="18">
        <v>0</v>
      </c>
      <c r="J13" s="18">
        <v>0</v>
      </c>
      <c r="K13" s="18">
        <v>0</v>
      </c>
      <c r="L13" s="18">
        <v>0</v>
      </c>
      <c r="M13" s="18">
        <v>0</v>
      </c>
      <c r="N13" s="18">
        <v>0</v>
      </c>
    </row>
  </sheetData>
  <pageMargins left="0.25" right="0.25" top="0.75" bottom="0.75" header="0.3" footer="0.3"/>
  <pageSetup paperSize="9" scale="83"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5C58-3D09-48B5-8C41-34508A52CE1E}">
  <dimension ref="A1:N6"/>
  <sheetViews>
    <sheetView showGridLines="0" workbookViewId="0"/>
  </sheetViews>
  <sheetFormatPr defaultColWidth="14.59765625" defaultRowHeight="20.399999999999999" x14ac:dyDescent="0.45"/>
  <cols>
    <col min="1" max="1" width="50.59765625" style="14" customWidth="1"/>
    <col min="2" max="2" width="10.19921875" customWidth="1"/>
    <col min="3" max="3" width="9.09765625" customWidth="1"/>
    <col min="4" max="4" width="15.09765625" bestFit="1" customWidth="1"/>
    <col min="5" max="5" width="13.5" customWidth="1"/>
    <col min="6" max="6" width="13.8984375" bestFit="1" customWidth="1"/>
    <col min="7" max="7" width="13.3984375" bestFit="1" customWidth="1"/>
    <col min="8" max="8" width="25.09765625" customWidth="1"/>
    <col min="9" max="9" width="8.8984375" bestFit="1" customWidth="1"/>
    <col min="10" max="10" width="9.19921875" bestFit="1" customWidth="1"/>
    <col min="11" max="11" width="10.5" customWidth="1"/>
    <col min="12" max="12" width="14.09765625" customWidth="1"/>
    <col min="13" max="13" width="15.5" customWidth="1"/>
    <col min="14" max="14" width="18.59765625" customWidth="1"/>
  </cols>
  <sheetData>
    <row r="1" spans="2:14" ht="31.2" x14ac:dyDescent="0.45">
      <c r="B1" s="20" t="s">
        <v>101</v>
      </c>
      <c r="C1" s="20" t="s">
        <v>102</v>
      </c>
      <c r="D1" s="23" t="s">
        <v>90</v>
      </c>
      <c r="E1" s="23" t="s">
        <v>89</v>
      </c>
      <c r="F1" s="20" t="s">
        <v>95</v>
      </c>
      <c r="G1" s="20" t="s">
        <v>96</v>
      </c>
      <c r="H1" s="23" t="s">
        <v>105</v>
      </c>
      <c r="I1" s="21" t="s">
        <v>97</v>
      </c>
      <c r="J1" s="21" t="s">
        <v>98</v>
      </c>
      <c r="K1" s="22" t="s">
        <v>94</v>
      </c>
      <c r="L1" s="22" t="s">
        <v>93</v>
      </c>
      <c r="M1" s="22" t="s">
        <v>92</v>
      </c>
      <c r="N1" s="22" t="s">
        <v>91</v>
      </c>
    </row>
    <row r="2" spans="2:14" x14ac:dyDescent="0.45">
      <c r="B2" s="16" t="s">
        <v>100</v>
      </c>
      <c r="C2" s="16"/>
      <c r="D2" s="17">
        <v>0</v>
      </c>
      <c r="E2" s="11"/>
      <c r="F2" s="11"/>
      <c r="G2" s="11"/>
      <c r="H2" s="11" t="s">
        <v>100</v>
      </c>
      <c r="I2" s="18">
        <v>0</v>
      </c>
      <c r="J2" s="18">
        <v>0</v>
      </c>
      <c r="K2" s="18">
        <v>0</v>
      </c>
      <c r="L2" s="18">
        <v>0</v>
      </c>
      <c r="M2" s="18">
        <v>0</v>
      </c>
      <c r="N2" s="18">
        <v>0</v>
      </c>
    </row>
    <row r="3" spans="2:14" x14ac:dyDescent="0.45">
      <c r="B3" s="16"/>
      <c r="C3" s="19" t="s">
        <v>106</v>
      </c>
      <c r="D3" s="19"/>
      <c r="E3" s="19"/>
      <c r="F3" s="19"/>
      <c r="G3" s="19"/>
      <c r="H3" s="19"/>
      <c r="I3" s="24">
        <v>0</v>
      </c>
      <c r="J3" s="24">
        <v>0</v>
      </c>
      <c r="K3" s="24">
        <v>0</v>
      </c>
      <c r="L3" s="24">
        <v>0</v>
      </c>
      <c r="M3" s="24">
        <v>0</v>
      </c>
      <c r="N3" s="24">
        <v>0</v>
      </c>
    </row>
    <row r="4" spans="2:14" x14ac:dyDescent="0.45">
      <c r="B4" s="11" t="s">
        <v>88</v>
      </c>
      <c r="C4" s="11"/>
      <c r="D4" s="11"/>
      <c r="E4" s="11"/>
      <c r="F4" s="11"/>
      <c r="G4" s="11"/>
      <c r="H4" s="11"/>
      <c r="I4" s="18">
        <v>0</v>
      </c>
      <c r="J4" s="18">
        <v>0</v>
      </c>
      <c r="K4" s="18">
        <v>0</v>
      </c>
      <c r="L4" s="18">
        <v>0</v>
      </c>
      <c r="M4" s="18">
        <v>0</v>
      </c>
      <c r="N4" s="18">
        <v>0</v>
      </c>
    </row>
    <row r="6" spans="2:14" ht="35.1" customHeight="1" x14ac:dyDescent="0.4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39963-4BE6-4EC4-B435-4D41D4506D27}">
  <dimension ref="A1:B8"/>
  <sheetViews>
    <sheetView showGridLines="0" workbookViewId="0"/>
  </sheetViews>
  <sheetFormatPr defaultColWidth="9" defaultRowHeight="20.100000000000001" customHeight="1" x14ac:dyDescent="0.4"/>
  <cols>
    <col min="1" max="1" width="17.3984375" style="5" customWidth="1"/>
    <col min="2" max="2" width="25.59765625" style="5" customWidth="1"/>
    <col min="3" max="16384" width="9" style="5"/>
  </cols>
  <sheetData>
    <row r="1" spans="1:2" ht="20.100000000000001" customHeight="1" x14ac:dyDescent="0.4">
      <c r="A1" s="3" t="s">
        <v>82</v>
      </c>
      <c r="B1" s="7" t="str" cm="1">
        <f t="array" ref="B1">ReportRequest.EnvironmentName</f>
        <v>Environment name Value</v>
      </c>
    </row>
    <row r="2" spans="1:2" ht="20.100000000000001" customHeight="1" x14ac:dyDescent="0.4">
      <c r="A2" s="3" t="s">
        <v>83</v>
      </c>
      <c r="B2" s="7" t="str" cm="1">
        <f t="array" ref="B2">ReportRequest.CompanyName</f>
        <v>Company name Value</v>
      </c>
    </row>
    <row r="3" spans="1:2" ht="20.100000000000001" customHeight="1" x14ac:dyDescent="0.4">
      <c r="A3" s="3" t="s">
        <v>84</v>
      </c>
      <c r="B3" s="7" t="str" cm="1">
        <f t="array" ref="B3">ReportRequest.UserName</f>
        <v>User name Value</v>
      </c>
    </row>
    <row r="4" spans="1:2" ht="20.100000000000001" customHeight="1" x14ac:dyDescent="0.4">
      <c r="A4" s="3" t="s">
        <v>85</v>
      </c>
      <c r="B4" s="8" t="str" cm="1">
        <f t="array" ref="B4">ReportRequest.DateLocal</f>
        <v>Date (Local) Value</v>
      </c>
    </row>
    <row r="5" spans="1:2" ht="20.100000000000001" customHeight="1" x14ac:dyDescent="0.4">
      <c r="A5" s="3"/>
      <c r="B5" s="12" t="str" cm="1">
        <f t="array" ref="B5">ReportRequest.DateLocal</f>
        <v>Date (Local) Value</v>
      </c>
    </row>
    <row r="6" spans="1:2" ht="20.100000000000001" customHeight="1" x14ac:dyDescent="0.4">
      <c r="A6" s="3" t="s">
        <v>86</v>
      </c>
      <c r="B6" s="7" t="str" cm="1">
        <f t="array" ref="B6">ReportMetadata.ObjectCaption</f>
        <v>Object Caption Value</v>
      </c>
    </row>
    <row r="7" spans="1:2" ht="20.100000000000001" customHeight="1" x14ac:dyDescent="0.4">
      <c r="A7" s="3" t="s">
        <v>87</v>
      </c>
      <c r="B7" s="13" t="str">
        <f>HYPERLINK(_xlfn.CONCAT("https://learn.microsoft.com/dynamics365/business-central/reports/report-",ReportMetadata.ObjectID))</f>
        <v>https://learn.microsoft.com/dynamics365/business-central/reports/report-Object ID Value</v>
      </c>
    </row>
    <row r="8" spans="1:2" ht="20.100000000000001" customHeight="1" x14ac:dyDescent="0.4">
      <c r="A8" s="3"/>
      <c r="B8"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AFD2-D051-448C-9FD9-4AD3B8F271EC}">
  <dimension ref="A1:M2"/>
  <sheetViews>
    <sheetView workbookViewId="0"/>
  </sheetViews>
  <sheetFormatPr defaultRowHeight="16.8" x14ac:dyDescent="0.4"/>
  <cols>
    <col min="1" max="1" width="26.69921875" bestFit="1" customWidth="1"/>
    <col min="2" max="2" width="28.8984375" bestFit="1" customWidth="1"/>
    <col min="3" max="3" width="36.3984375" bestFit="1" customWidth="1"/>
    <col min="4" max="4" width="32.69921875" bestFit="1" customWidth="1"/>
    <col min="5" max="5" width="34.296875" bestFit="1" customWidth="1"/>
    <col min="6" max="6" width="33.59765625" bestFit="1" customWidth="1"/>
    <col min="7" max="7" width="31.09765625" bestFit="1" customWidth="1"/>
    <col min="8" max="8" width="31" bestFit="1" customWidth="1"/>
    <col min="9" max="9" width="31.59765625" bestFit="1" customWidth="1"/>
    <col min="10" max="10" width="30.3984375" bestFit="1" customWidth="1"/>
    <col min="11" max="11" width="30.8984375" bestFit="1" customWidth="1"/>
    <col min="12" max="12" width="19.796875" bestFit="1" customWidth="1"/>
    <col min="13" max="13" width="33.8984375" bestFit="1" customWidth="1"/>
    <col min="14" max="14" width="34.59765625" bestFit="1" customWidth="1"/>
    <col min="15" max="15" width="27.3984375" bestFit="1" customWidth="1"/>
  </cols>
  <sheetData>
    <row r="1" spans="1:13" x14ac:dyDescent="0.4">
      <c r="A1" t="s">
        <v>99</v>
      </c>
      <c r="B1" t="s">
        <v>79</v>
      </c>
      <c r="C1" t="s">
        <v>69</v>
      </c>
      <c r="D1" t="s">
        <v>70</v>
      </c>
      <c r="E1" t="s">
        <v>71</v>
      </c>
      <c r="F1" t="s">
        <v>72</v>
      </c>
      <c r="G1" t="s">
        <v>104</v>
      </c>
      <c r="H1" t="s">
        <v>73</v>
      </c>
      <c r="I1" t="s">
        <v>74</v>
      </c>
      <c r="J1" t="s">
        <v>75</v>
      </c>
      <c r="K1" t="s">
        <v>76</v>
      </c>
      <c r="L1" t="s">
        <v>77</v>
      </c>
      <c r="M1" t="s">
        <v>78</v>
      </c>
    </row>
    <row r="2" spans="1:13" x14ac:dyDescent="0.4">
      <c r="B2" t="s">
        <v>80</v>
      </c>
      <c r="C2">
        <v>0</v>
      </c>
      <c r="D2" t="s">
        <v>80</v>
      </c>
      <c r="E2" t="s">
        <v>80</v>
      </c>
      <c r="F2" t="s">
        <v>80</v>
      </c>
      <c r="H2">
        <v>0</v>
      </c>
      <c r="I2">
        <v>0</v>
      </c>
      <c r="J2">
        <v>0</v>
      </c>
      <c r="K2">
        <v>0</v>
      </c>
      <c r="L2">
        <v>0</v>
      </c>
      <c r="M2">
        <v>0</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workbookViewId="0">
      <pane ySplit="1" topLeftCell="A2" activePane="bottomLeft" state="frozen"/>
      <selection pane="bottomLeft"/>
    </sheetView>
  </sheetViews>
  <sheetFormatPr defaultRowHeight="16.8" x14ac:dyDescent="0.4"/>
  <cols>
    <col min="1" max="1" width="18.3984375" customWidth="1"/>
  </cols>
  <sheetData>
    <row r="1" spans="1:18" x14ac:dyDescent="0.4">
      <c r="A1" t="s">
        <v>64</v>
      </c>
      <c r="B1" t="s">
        <v>65</v>
      </c>
      <c r="C1" t="s">
        <v>66</v>
      </c>
      <c r="D1" t="s">
        <v>67</v>
      </c>
      <c r="E1" t="s">
        <v>68</v>
      </c>
      <c r="F1" t="s">
        <v>69</v>
      </c>
      <c r="G1" t="s">
        <v>104</v>
      </c>
      <c r="H1" t="s">
        <v>70</v>
      </c>
      <c r="I1" t="s">
        <v>71</v>
      </c>
      <c r="J1" t="s">
        <v>72</v>
      </c>
      <c r="K1" t="s">
        <v>73</v>
      </c>
      <c r="L1" t="s">
        <v>74</v>
      </c>
      <c r="M1" t="s">
        <v>75</v>
      </c>
      <c r="N1" t="s">
        <v>76</v>
      </c>
      <c r="O1" t="s">
        <v>77</v>
      </c>
      <c r="P1" t="s">
        <v>78</v>
      </c>
      <c r="Q1" t="s">
        <v>79</v>
      </c>
      <c r="R1" s="15" t="s">
        <v>99</v>
      </c>
    </row>
    <row r="2" spans="1:18" x14ac:dyDescent="0.4">
      <c r="A2" t="s">
        <v>80</v>
      </c>
      <c r="B2" t="s">
        <v>80</v>
      </c>
      <c r="C2" t="s">
        <v>80</v>
      </c>
      <c r="D2" t="s">
        <v>80</v>
      </c>
      <c r="E2" t="s">
        <v>80</v>
      </c>
      <c r="F2" s="2">
        <v>0</v>
      </c>
      <c r="H2" t="s">
        <v>80</v>
      </c>
      <c r="I2" t="s">
        <v>80</v>
      </c>
      <c r="J2" t="s">
        <v>80</v>
      </c>
      <c r="K2" s="2">
        <v>0</v>
      </c>
      <c r="L2" s="2">
        <v>0</v>
      </c>
      <c r="M2" s="2">
        <v>0</v>
      </c>
      <c r="N2" s="2">
        <v>0</v>
      </c>
      <c r="O2" s="2">
        <v>0</v>
      </c>
      <c r="P2" s="2">
        <v>0</v>
      </c>
      <c r="Q2" t="s">
        <v>80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
    </sheetView>
  </sheetViews>
  <sheetFormatPr defaultRowHeight="16.8" x14ac:dyDescent="0.4"/>
  <cols>
    <col min="1" max="1" width="10"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A2" sqref="A2"/>
    </sheetView>
  </sheetViews>
  <sheetFormatPr defaultRowHeight="16.8" x14ac:dyDescent="0.4"/>
  <cols>
    <col min="1" max="1" width="25.59765625" customWidth="1"/>
    <col min="2" max="2" width="40.59765625" customWidth="1"/>
    <col min="3" max="3" width="5.59765625" customWidth="1"/>
    <col min="4" max="4" width="25.59765625" customWidth="1"/>
    <col min="5" max="5" width="40.59765625" customWidth="1"/>
    <col min="6" max="6" width="5.59765625" customWidth="1"/>
    <col min="7" max="7" width="25.59765625" customWidth="1"/>
    <col min="8" max="8" width="40.59765625" customWidth="1"/>
    <col min="9" max="9" width="5.59765625" customWidth="1"/>
    <col min="10" max="10" width="40.59765625" customWidth="1"/>
    <col min="11" max="11" width="25.5976562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01D1C1-5885-422B-AB1A-BB1253F24BA4}">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$SalespersonCommissionPrint$</vt:lpstr>
      <vt:lpstr>$SalespersonCommissionAnalysis$</vt:lpstr>
      <vt:lpstr>$AboutTheReportLabel$</vt:lpstr>
      <vt:lpstr>SalespersonCommission_Query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2025-07-07T06:58:01Z</cp:lastPrinted>
  <dcterms:modified xsi:type="dcterms:W3CDTF">2026-02-23T03:36:37Z</dcterms:modified>
</cp:coreProperties>
</file>
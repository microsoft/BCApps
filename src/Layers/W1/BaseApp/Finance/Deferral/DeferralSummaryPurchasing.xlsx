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Finance\Deferral\"/>
    </mc:Choice>
  </mc:AlternateContent>
  <xr:revisionPtr revIDLastSave="0" documentId="13_ncr:1_{6C7959D3-862F-4D71-B48A-BC49A0CA5D78}" xr6:coauthVersionLast="47" xr6:coauthVersionMax="47" xr10:uidLastSave="{00000000-0000-0000-0000-000000000000}"/>
  <bookViews>
    <workbookView xWindow="-108" yWindow="-108" windowWidth="30936" windowHeight="16776" xr2:uid="{00000000-000D-0000-FFFF-FFFF00000000}"/>
  </bookViews>
  <sheets>
    <sheet name="$DeferralSummaryPurchPrint$" sheetId="6" r:id="rId1"/>
    <sheet name="$DefSummaryPurchAnalysis$" sheetId="9" r:id="rId2"/>
    <sheet name="$AboutTheReportLabel$" sheetId="5" r:id="rId3"/>
    <sheet name="DeferralSummaryPurch_Query" sheetId="8"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DataRetrieved">#REF!</definedName>
    <definedName name="DateFilter" xml:space="preserve"> _xlfn.XLOOKUP("DateFilter",#REF!,#REF!)</definedName>
    <definedName name="EndDateFilter" localSheetId="1">_xlfn.XLOOKUP("BalanceAsOfDateFilter", ReportRequestPageValues[Request Page Option], ReportRequestPageValues[Request Page Option Value])</definedName>
    <definedName name="EndDateFilter">_xlfn.XLOOKUP("BalanceAsOfDateFilter", ReportRequestPageValues[Request Page Option], ReportRequestPageValues[Request Page Option Value])</definedName>
    <definedName name="ExternalData_1" localSheetId="3" hidden="1">DeferralSummaryPurch_Query!$A$1:$X$2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comment="Use this function to get the Date (Local) from the ReportRequestValues table in the Aggregated Metadata worksheet"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DeferralAccount">#N/A</definedName>
    <definedName name="Slicer_Document_No">#N/A</definedName>
    <definedName name="Slicer_DocumentTypeString">#N/A</definedName>
    <definedName name="Slicer_LineDescription">#N/A</definedName>
    <definedName name="Slicer_LineType">#N/A</definedName>
    <definedName name="Slicer_VendorName">#N/A</definedName>
    <definedName name="StartDate" xml:space="preserve"> _xlfn.XLOOKUP("StartDate",#REF!,#REF!)</definedName>
  </definedNames>
  <calcPr calcId="191029"/>
  <pivotCaches>
    <pivotCache cacheId="3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6" l="1" a="1"/>
  <c r="N4" i="6" s="1"/>
  <c r="M4" i="6" a="1"/>
  <c r="M4" i="6" s="1"/>
  <c r="C4" i="6" a="1"/>
  <c r="C4" i="6" s="1"/>
  <c r="B4" i="6" a="1"/>
  <c r="B4" i="6" s="1"/>
  <c r="N2" i="6" a="1"/>
  <c r="N2" i="6" s="1"/>
  <c r="B7" i="5" l="1"/>
  <c r="B6" i="5" a="1"/>
  <c r="B6" i="5" s="1"/>
  <c r="B5" i="5" a="1"/>
  <c r="B5" i="5" s="1"/>
  <c r="B4" i="5" a="1"/>
  <c r="B4"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072365-CCB1-42BC-874E-0746933B24D2}" keepAlive="1" name="Query - CaptionData" description="Connection to the 'CaptionData' query in the workbook." type="5" refreshedVersion="0" background="1">
    <dbPr connection="Provider=Microsoft.Mashup.OleDb.1;Data Source=$Workbook$;Location=CaptionData;Extended Properties=&quot;&quot;" command="SELECT * FROM [CaptionData]"/>
  </connection>
  <connection id="2" xr16:uid="{2E0A0E96-2EBF-43B3-A7C6-2A40F6B5363B}" keepAlive="1" name="Query - DeferralSummaryPurch_Query" description="Connection to the 'DeferralSummaryPurch_Query' query in the workbook." type="5" refreshedVersion="8" refreshOnLoad="1" saveData="1">
    <dbPr connection="Provider=Microsoft.Mashup.OleDb.1;Data Source=$Workbook$;Location=DeferralSummaryPurch_Query;Extended Properties=&quot;&quot;" command="SELECT * FROM [DeferralSummaryPurch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<sst xmlns="http://schemas.openxmlformats.org/spreadsheetml/2006/main" count="216" uniqueCount="127">
  <si>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</si>
  <si>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</si>
  <si>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</si>
  <si>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</si>
  <si>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</si>
  <si>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</si>
  <si>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</si>
  <si>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</si>
  <si>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</si>
  <si>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</si>
  <si>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</si>
  <si>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</si>
  <si>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</si>
  <si>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</si>
  <si>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</si>
  <si>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</si>
  <si>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</si>
  <si>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</si>
  <si>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</si>
  <si>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</si>
  <si>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</si>
  <si>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</si>
  <si>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</si>
  <si>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</si>
  <si>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</si>
  <si>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</si>
  <si>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</si>
  <si>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</si>
  <si>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</si>
  <si>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</si>
  <si>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</si>
  <si>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</si>
  <si>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</si>
  <si>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</si>
  <si>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</si>
  <si>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</si>
  <si>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</si>
  <si>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</si>
  <si>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</si>
  <si>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</si>
  <si>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</si>
  <si>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</si>
  <si>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</si>
  <si>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</si>
  <si>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</si>
  <si>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</si>
  <si>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</si>
  <si>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</si>
  <si>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</si>
  <si>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</si>
  <si>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</si>
  <si>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</si>
  <si>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</si>
  <si>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</si>
  <si>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</si>
  <si>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</si>
  <si>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</si>
  <si>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</si>
  <si>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</si>
  <si>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</si>
  <si>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</si>
  <si>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</si>
  <si>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</si>
  <si>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</si>
  <si>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CompanyName</t>
  </si>
  <si>
    <t>PageGroupNo</t>
  </si>
  <si>
    <t>GLAccTableCaption</t>
  </si>
  <si>
    <t>GLFilter</t>
  </si>
  <si>
    <t>EmptyString</t>
  </si>
  <si>
    <t>VendorFilter</t>
  </si>
  <si>
    <t>VendNo</t>
  </si>
  <si>
    <t>No_GLAcc</t>
  </si>
  <si>
    <t>Document_No</t>
  </si>
  <si>
    <t>Document_Type</t>
  </si>
  <si>
    <t>DocumentTypeString</t>
  </si>
  <si>
    <t>Line_No</t>
  </si>
  <si>
    <t>DeferralSummaryPurchCaption</t>
  </si>
  <si>
    <t>PageCaption</t>
  </si>
  <si>
    <t>BalanceCaption</t>
  </si>
  <si>
    <t>PeriodCaption</t>
  </si>
  <si>
    <t>GLBalCaption</t>
  </si>
  <si>
    <t>RemAmtDefCaption</t>
  </si>
  <si>
    <t>TotAmtDefCaption</t>
  </si>
  <si>
    <t>BalanceAsOfDateCaption</t>
  </si>
  <si>
    <t>BalanceAsOfDateFilter</t>
  </si>
  <si>
    <t>DocumentCaption</t>
  </si>
  <si>
    <t>DocumentFilter</t>
  </si>
  <si>
    <t>VendorCaption</t>
  </si>
  <si>
    <t>AccountNoCaption</t>
  </si>
  <si>
    <t>AmtRecognizedCaption</t>
  </si>
  <si>
    <t>AccountName</t>
  </si>
  <si>
    <t>VendorName</t>
  </si>
  <si>
    <t>TotalAmtDeferred</t>
  </si>
  <si>
    <t>NumOfPeriods</t>
  </si>
  <si>
    <t>DocumentType</t>
  </si>
  <si>
    <t>DeferralStartDate</t>
  </si>
  <si>
    <t>AmtRecognized</t>
  </si>
  <si>
    <t>RemainingAmtDeferred</t>
  </si>
  <si>
    <t>PostingDate</t>
  </si>
  <si>
    <t>DeferralAccount</t>
  </si>
  <si>
    <t>Amount</t>
  </si>
  <si>
    <t>LineDescription</t>
  </si>
  <si>
    <t>LineType</t>
  </si>
  <si>
    <t/>
  </si>
  <si>
    <t>$EnvironmentLabel$</t>
  </si>
  <si>
    <t>$CompanyLabel$</t>
  </si>
  <si>
    <t>$UserLabel$</t>
  </si>
  <si>
    <t>$RunOnLabel$</t>
  </si>
  <si>
    <t>$ReportNameLabel$</t>
  </si>
  <si>
    <t>$DocumentationLabel$</t>
  </si>
  <si>
    <t>$DeferralSummaryPurchLabel$</t>
  </si>
  <si>
    <t>0</t>
  </si>
  <si>
    <t>Grand Total</t>
  </si>
  <si>
    <t>$VendNo$</t>
  </si>
  <si>
    <t>$VendName$</t>
  </si>
  <si>
    <t>$PostingDate$</t>
  </si>
  <si>
    <t>$Document_No$</t>
  </si>
  <si>
    <t>$DocType$</t>
  </si>
  <si>
    <t>$LineType$</t>
  </si>
  <si>
    <t>$LineDesc$</t>
  </si>
  <si>
    <t>$DeferralAccount$</t>
  </si>
  <si>
    <t>$DefStartDate$</t>
  </si>
  <si>
    <t>$NumOfPeriods$</t>
  </si>
  <si>
    <t>$AmountRecognized$</t>
  </si>
  <si>
    <t>$RemAmountDef$</t>
  </si>
  <si>
    <t>$TotalAmountDef$</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</si>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</sst>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6"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color theme="1"/>
      <name val="Segoe UI"/>
      <family val="2"/>
      <scheme val="minor"/>
    </font>
    <font>
      <sz val="10"/>
      <color rgb="FF212121"/>
      <name val="Segoe UI"/>
      <family val="2"/>
      <scheme val="minor"/>
    </font>
    <font>
      <sz val="11"/>
      <name val="Segoe UI"/>
      <family val="2"/>
      <scheme val="minor"/>
    </font>
    <font>
      <b/>
      <sz val="10"/>
      <name val="Segoe UI"/>
      <family val="2"/>
      <scheme val="minor"/>
    </font>
    <font>
      <sz val="14"/>
      <name val="Segoe UI"/>
      <family val="2"/>
      <scheme val="minor"/>
    </font>
    <font>
      <sz val="10"/>
      <name val="Segoe UI Semibold"/>
      <family val="2"/>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5">
    <xf numFmtId="0" fontId="0" fillId="0" borderId="0"/>
    <xf numFmtId="0" fontId="5" fillId="0" borderId="0" applyNumberFormat="0" applyFill="0" applyBorder="0" applyAlignment="0" applyProtection="0"/>
    <xf numFmtId="0" fontId="1" fillId="0" borderId="0"/>
    <xf numFmtId="0" fontId="8" fillId="0" borderId="1" applyNumberFormat="0" applyFill="0" applyAlignment="0" applyProtection="0"/>
    <xf numFmtId="0" fontId="12" fillId="0" borderId="0"/>
  </cellStyleXfs>
  <cellXfs count="28">
    <xf numFmtId="0" fontId="0" fillId="0" borderId="0" xfId="0"/>
    <xf numFmtId="49" fontId="2" fillId="2" borderId="0" xfId="0" applyNumberFormat="1" applyFont="1" applyFill="1"/>
    <xf numFmtId="1" fontId="0" fillId="0" borderId="0" xfId="0" applyNumberFormat="1"/>
    <xf numFmtId="14" fontId="0" fillId="0" borderId="0" xfId="0" applyNumberFormat="1"/>
    <xf numFmtId="4" fontId="0" fillId="0" borderId="0" xfId="0" applyNumberFormat="1"/>
    <xf numFmtId="0" fontId="3" fillId="0" borderId="0" xfId="0" applyFont="1" applyAlignment="1">
      <alignment vertical="center"/>
    </xf>
    <xf numFmtId="0" fontId="4" fillId="0" borderId="0" xfId="0" applyFont="1" applyAlignment="1">
      <alignment vertical="center"/>
    </xf>
    <xf numFmtId="0" fontId="7" fillId="0" borderId="0" xfId="2" applyFont="1" applyAlignment="1">
      <alignment vertical="center"/>
    </xf>
    <xf numFmtId="0" fontId="9" fillId="0" borderId="1" xfId="3" applyFont="1" applyAlignment="1">
      <alignment horizontal="right" vertical="center"/>
    </xf>
    <xf numFmtId="0" fontId="10" fillId="0" borderId="0" xfId="0" applyFont="1" applyAlignment="1">
      <alignment horizontal="left" vertical="center"/>
    </xf>
    <xf numFmtId="0" fontId="11" fillId="0" borderId="0" xfId="0" applyFont="1" applyAlignment="1">
      <alignment horizontal="right" vertical="center"/>
    </xf>
    <xf numFmtId="164" fontId="11" fillId="0" borderId="0" xfId="0" applyNumberFormat="1" applyFont="1" applyAlignment="1">
      <alignment horizontal="right" vertical="center"/>
    </xf>
    <xf numFmtId="22" fontId="0" fillId="0" borderId="0" xfId="0" applyNumberFormat="1"/>
    <xf numFmtId="0" fontId="13" fillId="0" borderId="0" xfId="0" applyFont="1" applyAlignment="1">
      <alignment vertical="center"/>
    </xf>
    <xf numFmtId="0" fontId="14" fillId="0" borderId="0" xfId="0" applyFont="1"/>
    <xf numFmtId="0" fontId="4" fillId="0" borderId="0" xfId="0" applyFont="1" applyAlignment="1">
      <alignment horizontal="right" vertical="center"/>
    </xf>
    <xf numFmtId="14" fontId="4" fillId="0" borderId="0" xfId="0" applyNumberFormat="1" applyFont="1" applyAlignment="1">
      <alignment vertical="center"/>
    </xf>
    <xf numFmtId="14" fontId="10" fillId="0" borderId="0" xfId="0" applyNumberFormat="1" applyFont="1" applyAlignment="1">
      <alignment horizontal="left" vertical="center"/>
    </xf>
    <xf numFmtId="0" fontId="15" fillId="0" borderId="0" xfId="0" pivotButton="1" applyFont="1" applyAlignment="1">
      <alignment vertical="center"/>
    </xf>
    <xf numFmtId="0" fontId="15" fillId="0" borderId="0" xfId="0" pivotButton="1" applyFont="1" applyAlignment="1">
      <alignment horizontal="right" vertical="center"/>
    </xf>
    <xf numFmtId="0" fontId="15" fillId="0" borderId="0" xfId="0" applyFont="1" applyAlignment="1">
      <alignment horizontal="righ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6" fillId="0" borderId="0" xfId="1" applyFont="1" applyAlignment="1">
      <alignment horizontal="left" vertical="center"/>
    </xf>
    <xf numFmtId="0" fontId="15" fillId="0" borderId="0" xfId="0" applyFont="1" applyAlignment="1">
      <alignment vertical="center"/>
    </xf>
    <xf numFmtId="0" fontId="4" fillId="0" borderId="0" xfId="0" applyNumberFormat="1" applyFont="1" applyAlignment="1">
      <alignment vertical="center"/>
    </xf>
    <xf numFmtId="0" fontId="15" fillId="0" borderId="0" xfId="0" applyNumberFormat="1" applyFont="1" applyAlignment="1">
      <alignment vertical="center"/>
    </xf>
  </cellXfs>
  <cellStyles count="5">
    <cellStyle name="Heading 2 2" xfId="3" xr:uid="{F96228AC-6EB9-4FAE-A4E7-AB48F7DF1462}"/>
    <cellStyle name="Hyperlink" xfId="1" builtinId="8"/>
    <cellStyle name="Normal" xfId="0" builtinId="0"/>
    <cellStyle name="Normal 2" xfId="2" xr:uid="{624A8670-AA6D-46A4-A098-BD52DF3F3451}"/>
    <cellStyle name="Normal 2 2" xfId="4" xr:uid="{D29B7105-0B7E-4014-93C6-E86B31143260}"/>
  </cellStyles>
  <dxfs count="340">
    <dxf>
      <font>
        <name val="Segoe UI Semibold"/>
        <scheme val="major"/>
      </font>
    </dxf>
    <dxf>
      <font>
        <name val="Segoe UI"/>
        <scheme val="minor"/>
      </font>
    </dxf>
    <dxf>
      <font>
        <name val="Segoe UI Semibold"/>
        <scheme val="major"/>
      </font>
    </dxf>
    <dxf>
      <font>
        <name val="Segoe UI"/>
        <scheme val="min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b/>
      </fon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vertical="center"/>
    </dxf>
    <dxf>
      <alignment horizontal="righ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font>
        <b val="0"/>
      </font>
    </dxf>
    <dxf>
      <font>
        <name val="Segoe UI Semibold"/>
        <scheme val="major"/>
      </font>
    </dxf>
    <dxf>
      <font>
        <name val="Segoe UI Semibold"/>
        <scheme val="major"/>
      </font>
    </dxf>
    <dxf>
      <font>
        <name val="Segoe UI Semibold"/>
        <scheme val="major"/>
      </font>
    </dxf>
    <dxf>
      <numFmt numFmtId="19" formatCode="d/mm/yyyy"/>
    </dxf>
    <dxf>
      <numFmt numFmtId="27" formatCode="d/mm/yyyy\ h:mm"/>
    </dxf>
    <dxf>
      <numFmt numFmtId="19" formatCode="d/mm/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alignment horizontal="right"/>
    </dxf>
    <dxf>
      <alignment vertical="center"/>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font>
        <b/>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b val="0"/>
      </font>
    </dxf>
    <dxf>
      <alignment vertical="center"/>
    </dxf>
    <dxf>
      <alignment horizontal="righ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5" xr9:uid="{70D1264A-5B4E-4CF2-AFC0-A26E878C7752}">
      <tableStyleElement type="wholeTable" dxfId="339"/>
      <tableStyleElement type="headerRow" dxfId="338"/>
      <tableStyleElement type="totalRow" dxfId="337"/>
      <tableStyleElement type="secondRowStripe" dxfId="336"/>
      <tableStyleElement type="secondSubtotalRow" dxfId="335"/>
    </tableStyle>
    <tableStyle name="Business Central Reports Slicer Style (Template)" pivot="0" table="0" count="10" xr9:uid="{358B4A8D-D221-435D-BCEB-FA289A4122BF}">
      <tableStyleElement type="wholeTable" dxfId="334"/>
      <tableStyleElement type="headerRow" dxfId="333"/>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1818000</xdr:colOff>
      <xdr:row>10</xdr:row>
      <xdr:rowOff>38250</xdr:rowOff>
    </xdr:to>
    <mc:AlternateContent xmlns:mc="http://schemas.openxmlformats.org/markup-compatibility/2006" xmlns:a14="http://schemas.microsoft.com/office/drawing/2010/main">
      <mc:Choice Requires="a14">
        <xdr:graphicFrame macro="">
          <xdr:nvGraphicFramePr>
            <xdr:cNvPr id="3" name="$VendName$">
              <a:extLst>
                <a:ext uri="{FF2B5EF4-FFF2-40B4-BE49-F238E27FC236}">
                  <a16:creationId xmlns:a16="http://schemas.microsoft.com/office/drawing/2014/main" id="{E6453A5A-EAC9-1391-96C7-6C5B4AC7960D}"/>
                </a:ext>
              </a:extLst>
            </xdr:cNvPr>
            <xdr:cNvGraphicFramePr/>
          </xdr:nvGraphicFramePr>
          <xdr:xfrm>
            <a:off x="0" y="0"/>
            <a:ext cx="0" cy="0"/>
          </xdr:xfrm>
          <a:graphic>
            <a:graphicData uri="http://schemas.microsoft.com/office/drawing/2010/slicer">
              <sle:slicer xmlns:sle="http://schemas.microsoft.com/office/drawing/2010/slicer" name="$VendName$"/>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1876425</xdr:colOff>
      <xdr:row>0</xdr:row>
      <xdr:rowOff>0</xdr:rowOff>
    </xdr:from>
    <xdr:to>
      <xdr:col>0</xdr:col>
      <xdr:colOff>3694425</xdr:colOff>
      <xdr:row>10</xdr:row>
      <xdr:rowOff>38250</xdr:rowOff>
    </xdr:to>
    <mc:AlternateContent xmlns:mc="http://schemas.openxmlformats.org/markup-compatibility/2006" xmlns:a14="http://schemas.microsoft.com/office/drawing/2010/main">
      <mc:Choice Requires="a14">
        <xdr:graphicFrame macro="">
          <xdr:nvGraphicFramePr>
            <xdr:cNvPr id="2" name="$Document_No$">
              <a:extLst>
                <a:ext uri="{FF2B5EF4-FFF2-40B4-BE49-F238E27FC236}">
                  <a16:creationId xmlns:a16="http://schemas.microsoft.com/office/drawing/2014/main" id="{D47156F6-567B-B07D-013E-46CF99324141}"/>
                </a:ext>
              </a:extLst>
            </xdr:cNvPr>
            <xdr:cNvGraphicFramePr/>
          </xdr:nvGraphicFramePr>
          <xdr:xfrm>
            <a:off x="0" y="0"/>
            <a:ext cx="0" cy="0"/>
          </xdr:xfrm>
          <a:graphic>
            <a:graphicData uri="http://schemas.microsoft.com/office/drawing/2010/slicer">
              <sle:slicer xmlns:sle="http://schemas.microsoft.com/office/drawing/2010/slicer" name="$Document_No$"/>
            </a:graphicData>
          </a:graphic>
        </xdr:graphicFrame>
      </mc:Choice>
      <mc:Fallback xmlns="">
        <xdr:sp macro="" textlink="">
          <xdr:nvSpPr>
            <xdr:cNvPr id="0" name=""/>
            <xdr:cNvSpPr>
              <a:spLocks noTextEdit="1"/>
            </xdr:cNvSpPr>
          </xdr:nvSpPr>
          <xdr:spPr>
            <a:xfrm>
              <a:off x="1876425"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95250</xdr:rowOff>
    </xdr:from>
    <xdr:to>
      <xdr:col>0</xdr:col>
      <xdr:colOff>1818000</xdr:colOff>
      <xdr:row>20</xdr:row>
      <xdr:rowOff>133500</xdr:rowOff>
    </xdr:to>
    <mc:AlternateContent xmlns:mc="http://schemas.openxmlformats.org/markup-compatibility/2006" xmlns:a14="http://schemas.microsoft.com/office/drawing/2010/main">
      <mc:Choice Requires="a14">
        <xdr:graphicFrame macro="">
          <xdr:nvGraphicFramePr>
            <xdr:cNvPr id="4" name="$DocType$">
              <a:extLst>
                <a:ext uri="{FF2B5EF4-FFF2-40B4-BE49-F238E27FC236}">
                  <a16:creationId xmlns:a16="http://schemas.microsoft.com/office/drawing/2014/main" id="{0F05F319-1505-7126-38F4-74B36EA19CA5}"/>
                </a:ext>
              </a:extLst>
            </xdr:cNvPr>
            <xdr:cNvGraphicFramePr/>
          </xdr:nvGraphicFramePr>
          <xdr:xfrm>
            <a:off x="0" y="0"/>
            <a:ext cx="0" cy="0"/>
          </xdr:xfrm>
          <a:graphic>
            <a:graphicData uri="http://schemas.microsoft.com/office/drawing/2010/slicer">
              <sle:slicer xmlns:sle="http://schemas.microsoft.com/office/drawing/2010/slicer" name="$DocType$"/>
            </a:graphicData>
          </a:graphic>
        </xdr:graphicFrame>
      </mc:Choice>
      <mc:Fallback xmlns="">
        <xdr:sp macro="" textlink="">
          <xdr:nvSpPr>
            <xdr:cNvPr id="0" name=""/>
            <xdr:cNvSpPr>
              <a:spLocks noTextEdit="1"/>
            </xdr:cNvSpPr>
          </xdr:nvSpPr>
          <xdr:spPr>
            <a:xfrm>
              <a:off x="0" y="266700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1876425</xdr:colOff>
      <xdr:row>10</xdr:row>
      <xdr:rowOff>95250</xdr:rowOff>
    </xdr:from>
    <xdr:to>
      <xdr:col>0</xdr:col>
      <xdr:colOff>3694425</xdr:colOff>
      <xdr:row>20</xdr:row>
      <xdr:rowOff>133500</xdr:rowOff>
    </xdr:to>
    <mc:AlternateContent xmlns:mc="http://schemas.openxmlformats.org/markup-compatibility/2006" xmlns:a14="http://schemas.microsoft.com/office/drawing/2010/main">
      <mc:Choice Requires="a14">
        <xdr:graphicFrame macro="">
          <xdr:nvGraphicFramePr>
            <xdr:cNvPr id="5" name="$DeferralAccount$">
              <a:extLst>
                <a:ext uri="{FF2B5EF4-FFF2-40B4-BE49-F238E27FC236}">
                  <a16:creationId xmlns:a16="http://schemas.microsoft.com/office/drawing/2014/main" id="{AC27B173-E2CB-E945-3D74-8531BE7AD7BE}"/>
                </a:ext>
              </a:extLst>
            </xdr:cNvPr>
            <xdr:cNvGraphicFramePr/>
          </xdr:nvGraphicFramePr>
          <xdr:xfrm>
            <a:off x="0" y="0"/>
            <a:ext cx="0" cy="0"/>
          </xdr:xfrm>
          <a:graphic>
            <a:graphicData uri="http://schemas.microsoft.com/office/drawing/2010/slicer">
              <sle:slicer xmlns:sle="http://schemas.microsoft.com/office/drawing/2010/slicer" name="$DeferralAccount$"/>
            </a:graphicData>
          </a:graphic>
        </xdr:graphicFrame>
      </mc:Choice>
      <mc:Fallback xmlns="">
        <xdr:sp macro="" textlink="">
          <xdr:nvSpPr>
            <xdr:cNvPr id="0" name=""/>
            <xdr:cNvSpPr>
              <a:spLocks noTextEdit="1"/>
            </xdr:cNvSpPr>
          </xdr:nvSpPr>
          <xdr:spPr>
            <a:xfrm>
              <a:off x="1876425" y="266700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1876425</xdr:colOff>
      <xdr:row>20</xdr:row>
      <xdr:rowOff>180975</xdr:rowOff>
    </xdr:from>
    <xdr:to>
      <xdr:col>0</xdr:col>
      <xdr:colOff>3694425</xdr:colOff>
      <xdr:row>30</xdr:row>
      <xdr:rowOff>219225</xdr:rowOff>
    </xdr:to>
    <mc:AlternateContent xmlns:mc="http://schemas.openxmlformats.org/markup-compatibility/2006" xmlns:a14="http://schemas.microsoft.com/office/drawing/2010/main">
      <mc:Choice Requires="a14">
        <xdr:graphicFrame macro="">
          <xdr:nvGraphicFramePr>
            <xdr:cNvPr id="6" name="$LineDesc$">
              <a:extLst>
                <a:ext uri="{FF2B5EF4-FFF2-40B4-BE49-F238E27FC236}">
                  <a16:creationId xmlns:a16="http://schemas.microsoft.com/office/drawing/2014/main" id="{45F81D3C-006F-A059-2BEE-E8885A29F838}"/>
                </a:ext>
              </a:extLst>
            </xdr:cNvPr>
            <xdr:cNvGraphicFramePr/>
          </xdr:nvGraphicFramePr>
          <xdr:xfrm>
            <a:off x="0" y="0"/>
            <a:ext cx="0" cy="0"/>
          </xdr:xfrm>
          <a:graphic>
            <a:graphicData uri="http://schemas.microsoft.com/office/drawing/2010/slicer">
              <sle:slicer xmlns:sle="http://schemas.microsoft.com/office/drawing/2010/slicer" name="$LineDesc$"/>
            </a:graphicData>
          </a:graphic>
        </xdr:graphicFrame>
      </mc:Choice>
      <mc:Fallback xmlns="">
        <xdr:sp macro="" textlink="">
          <xdr:nvSpPr>
            <xdr:cNvPr id="0" name=""/>
            <xdr:cNvSpPr>
              <a:spLocks noTextEdit="1"/>
            </xdr:cNvSpPr>
          </xdr:nvSpPr>
          <xdr:spPr>
            <a:xfrm>
              <a:off x="1876425" y="532447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20</xdr:row>
      <xdr:rowOff>180975</xdr:rowOff>
    </xdr:from>
    <xdr:to>
      <xdr:col>0</xdr:col>
      <xdr:colOff>1818000</xdr:colOff>
      <xdr:row>30</xdr:row>
      <xdr:rowOff>219225</xdr:rowOff>
    </xdr:to>
    <mc:AlternateContent xmlns:mc="http://schemas.openxmlformats.org/markup-compatibility/2006" xmlns:a14="http://schemas.microsoft.com/office/drawing/2010/main">
      <mc:Choice Requires="a14">
        <xdr:graphicFrame macro="">
          <xdr:nvGraphicFramePr>
            <xdr:cNvPr id="7" name="$LineType$">
              <a:extLst>
                <a:ext uri="{FF2B5EF4-FFF2-40B4-BE49-F238E27FC236}">
                  <a16:creationId xmlns:a16="http://schemas.microsoft.com/office/drawing/2014/main" id="{76C22764-0225-422B-680D-A3268FC9E482}"/>
                </a:ext>
              </a:extLst>
            </xdr:cNvPr>
            <xdr:cNvGraphicFramePr/>
          </xdr:nvGraphicFramePr>
          <xdr:xfrm>
            <a:off x="0" y="0"/>
            <a:ext cx="0" cy="0"/>
          </xdr:xfrm>
          <a:graphic>
            <a:graphicData uri="http://schemas.microsoft.com/office/drawing/2010/slicer">
              <sle:slicer xmlns:sle="http://schemas.microsoft.com/office/drawing/2010/slicer" name="$LineType$"/>
            </a:graphicData>
          </a:graphic>
        </xdr:graphicFrame>
      </mc:Choice>
      <mc:Fallback xmlns="">
        <xdr:sp macro="" textlink="">
          <xdr:nvSpPr>
            <xdr:cNvPr id="0" name=""/>
            <xdr:cNvSpPr>
              <a:spLocks noTextEdit="1"/>
            </xdr:cNvSpPr>
          </xdr:nvSpPr>
          <xdr:spPr>
            <a:xfrm>
              <a:off x="0" y="532447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07212268522" createdVersion="8" refreshedVersion="8" minRefreshableVersion="3" recordCount="1" xr:uid="{9CF55D82-E549-4422-B07C-4B425A6CD311}">
  <cacheSource type="worksheet">
    <worksheetSource name="DeferralSummaryPurch_Query"/>
  </cacheSource>
  <cacheFields count="24">
    <cacheField name="VendNo" numFmtId="0">
      <sharedItems count="1">
        <s v=""/>
      </sharedItems>
    </cacheField>
    <cacheField name="Document_No" numFmtId="0">
      <sharedItems count="1">
        <s v=""/>
      </sharedItems>
    </cacheField>
    <cacheField name="DocumentTypeString" numFmtId="0">
      <sharedItems count="1">
        <s v=""/>
      </sharedItems>
    </cacheField>
    <cacheField name="VendorName" numFmtId="0">
      <sharedItems count="1">
        <s v=""/>
      </sharedItems>
    </cacheField>
    <cacheField name="TotalAmtDeferred" numFmtId="0">
      <sharedItems containsSemiMixedTypes="0" containsString="0" containsNumber="1" containsInteger="1" minValue="0" maxValue="0" count="1">
        <n v="0"/>
      </sharedItems>
    </cacheField>
    <cacheField name="NumOfPeriods" numFmtId="0">
      <sharedItems containsSemiMixedTypes="0" containsString="0" containsNumber="1" containsInteger="1" minValue="0" maxValue="0" count="1">
        <n v="0"/>
      </sharedItems>
    </cacheField>
    <cacheField name="AmtRecognized" numFmtId="0">
      <sharedItems containsSemiMixedTypes="0" containsString="0" containsNumber="1" containsInteger="1" minValue="0" maxValue="0" count="1">
        <n v="0"/>
      </sharedItems>
    </cacheField>
    <cacheField name="RemainingAmtDeferred" numFmtId="0">
      <sharedItems containsSemiMixedTypes="0" containsString="0" containsNumber="1" containsInteger="1" minValue="0" maxValue="0" count="1">
        <n v="0"/>
      </sharedItems>
    </cacheField>
    <cacheField name="PostingDate" numFmtId="14">
      <sharedItems containsSemiMixedTypes="0" containsNonDate="0" containsDate="1" containsString="0" minDate="1899-12-31T00:00:00" maxDate="1900-01-01T00:00:00" count="1">
        <d v="1899-12-31T00:00:00"/>
      </sharedItems>
    </cacheField>
    <cacheField name="DeferralAccount" numFmtId="0">
      <sharedItems count="1">
        <s v=""/>
      </sharedItems>
    </cacheField>
    <cacheField name="LineDescription" numFmtId="0">
      <sharedItems count="1">
        <s v=""/>
      </sharedItems>
    </cacheField>
    <cacheField name="LineType" numFmtId="0">
      <sharedItems count="1">
        <s v="0"/>
      </sharedItems>
    </cacheField>
    <cacheField name="GLAccTableCaption" numFmtId="0">
      <sharedItems/>
    </cacheField>
    <cacheField name="GLFilter" numFmtId="0">
      <sharedItems/>
    </cacheField>
    <cacheField name="VendorFilter" numFmtId="0">
      <sharedItems/>
    </cacheField>
    <cacheField name="No_GLAcc" numFmtId="0">
      <sharedItems/>
    </cacheField>
    <cacheField name="Document_Type" numFmtId="0">
      <sharedItems/>
    </cacheField>
    <cacheField name="Line_No" numFmtId="0">
      <sharedItems containsSemiMixedTypes="0" containsString="0" containsNumber="1" containsInteger="1" minValue="0" maxValue="0"/>
    </cacheField>
    <cacheField name="BalanceAsOfDateFilter" numFmtId="22">
      <sharedItems containsSemiMixedTypes="0" containsNonDate="0" containsDate="1" containsString="0" minDate="1899-12-30T00:00:00" maxDate="1899-12-31T00:00:00"/>
    </cacheField>
    <cacheField name="DocumentFilter" numFmtId="0">
      <sharedItems/>
    </cacheField>
    <cacheField name="AccountName" numFmtId="0">
      <sharedItems/>
    </cacheField>
    <cacheField name="DocumentType" numFmtId="0">
      <sharedItems/>
    </cacheField>
    <cacheField name="DeferralStartDate" numFmtId="14">
      <sharedItems containsSemiMixedTypes="0" containsNonDate="0" containsDate="1" containsString="0" minDate="1899-12-31T00:00:00" maxDate="1900-01-01T00:00:00" count="1">
        <d v="1899-12-31T00:00:00"/>
      </sharedItems>
    </cacheField>
    <cacheField name="Amount"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933619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s v=""/>
    <s v=""/>
    <s v=""/>
    <s v=""/>
    <s v="0"/>
    <n v="0"/>
    <d v="1899-12-30T00:00:00"/>
    <s v=""/>
    <s v=""/>
    <s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7841E-DCA7-41E9-B9CD-D7416FB5FC0C}" name="PivotTable1" cacheId="30"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6:N9" firstHeaderRow="0" firstDataRow="1" firstDataCol="10"/>
  <pivotFields count="24">
    <pivotField name="$VendNo$" axis="axisRow" compact="0" outline="0" showAll="0" defaultSubtotal="0">
      <items count="1">
        <item x="0"/>
      </items>
    </pivotField>
    <pivotField name="$Document_No$" axis="axisRow" compact="0" outline="0" showAll="0" defaultSubtotal="0">
      <items count="1">
        <item x="0"/>
      </items>
    </pivotField>
    <pivotField name="$DocType$" axis="axisRow" compact="0" outline="0" showAll="0" defaultSubtotal="0">
      <items count="1">
        <item x="0"/>
      </items>
    </pivotField>
    <pivotField name="$VendName$" axis="axisRow" compact="0" outline="0" showAll="0">
      <items count="2">
        <item x="0"/>
        <item t="default"/>
      </items>
    </pivotField>
    <pivotField name="TotalAmountDef" dataField="1" compact="0" outline="0" showAll="0" defaultSubtotal="0">
      <items count="1">
        <item x="0"/>
      </items>
    </pivotField>
    <pivotField name="$NumOfPeriods$" axis="axisRow" compact="0" outline="0" showAll="0" defaultSubtotal="0">
      <items count="1">
        <item x="0"/>
      </items>
    </pivotField>
    <pivotField name="AmountRecognized" dataField="1" compact="0" outline="0" showAll="0" defaultSubtotal="0">
      <items count="1">
        <item x="0"/>
      </items>
    </pivotField>
    <pivotField name="RemAmountDef" dataField="1" compact="0" outline="0" showAll="0" defaultSubtotal="0">
      <items count="1">
        <item x="0"/>
      </items>
    </pivotField>
    <pivotField name="$PostingDate$" axis="axisRow" compact="0" outline="0" showAll="0" defaultSubtotal="0">
      <items count="1">
        <item x="0"/>
      </items>
    </pivotField>
    <pivotField name="$DeferralAccount$" axis="axisRow" compact="0" outline="0" showAll="0" defaultSubtotal="0">
      <items count="1">
        <item x="0"/>
      </items>
    </pivotField>
    <pivotField name="$LineDesc$" axis="axisRow" compact="0" outline="0" showAll="0" defaultSubtotal="0">
      <items count="1">
        <item x="0"/>
      </items>
    </pivotField>
    <pivotField name="$LineType$"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name="$DefStartDate$" axis="axisRow" compact="0" outline="0" showAll="0" defaultSubtotal="0">
      <items count="1">
        <item x="0"/>
      </items>
    </pivotField>
    <pivotField compact="0" outline="0" showAll="0" defaultSubtotal="0"/>
  </pivotFields>
  <rowFields count="10">
    <field x="0"/>
    <field x="3"/>
    <field x="8"/>
    <field x="1"/>
    <field x="2"/>
    <field x="11"/>
    <field x="10"/>
    <field x="9"/>
    <field x="22"/>
    <field x="5"/>
  </rowFields>
  <rowItems count="3">
    <i>
      <x/>
      <x/>
      <x/>
      <x/>
      <x/>
      <x/>
      <x/>
      <x/>
      <x/>
      <x/>
    </i>
    <i t="default" r="1">
      <x/>
    </i>
    <i t="grand">
      <x/>
    </i>
  </rowItems>
  <colFields count="1">
    <field x="-2"/>
  </colFields>
  <colItems count="3">
    <i>
      <x/>
    </i>
    <i i="1">
      <x v="1"/>
    </i>
    <i i="2">
      <x v="2"/>
    </i>
  </colItems>
  <dataFields count="3">
    <dataField name="$AmountRecognized$" fld="6" baseField="0" baseItem="0"/>
    <dataField name="$RemAmountDef$" fld="7" baseField="0" baseItem="0"/>
    <dataField name="$TotalAmountDef$" fld="4" baseField="0" baseItem="0"/>
  </dataFields>
  <formats count="77">
    <format dxfId="332">
      <pivotArea type="all" dataOnly="0" outline="0" fieldPosition="0"/>
    </format>
    <format dxfId="331">
      <pivotArea field="0" type="button" dataOnly="0" labelOnly="1" outline="0" axis="axisRow" fieldPosition="0"/>
    </format>
    <format dxfId="330">
      <pivotArea field="3" type="button" dataOnly="0" labelOnly="1" outline="0" axis="axisRow" fieldPosition="1"/>
    </format>
    <format dxfId="329">
      <pivotArea field="8" type="button" dataOnly="0" labelOnly="1" outline="0" axis="axisRow" fieldPosition="2"/>
    </format>
    <format dxfId="328">
      <pivotArea field="1" type="button" dataOnly="0" labelOnly="1" outline="0" axis="axisRow" fieldPosition="3"/>
    </format>
    <format dxfId="327">
      <pivotArea field="2" type="button" dataOnly="0" labelOnly="1" outline="0" axis="axisRow" fieldPosition="4"/>
    </format>
    <format dxfId="326">
      <pivotArea field="11" type="button" dataOnly="0" labelOnly="1" outline="0" axis="axisRow" fieldPosition="5"/>
    </format>
    <format dxfId="325">
      <pivotArea field="10" type="button" dataOnly="0" labelOnly="1" outline="0" axis="axisRow" fieldPosition="6"/>
    </format>
    <format dxfId="324">
      <pivotArea field="9" type="button" dataOnly="0" labelOnly="1" outline="0" axis="axisRow" fieldPosition="7"/>
    </format>
    <format dxfId="323">
      <pivotArea field="22" type="button" dataOnly="0" labelOnly="1" outline="0" axis="axisRow" fieldPosition="8"/>
    </format>
    <format dxfId="322">
      <pivotArea field="5" type="button" dataOnly="0" labelOnly="1" outline="0" axis="axisRow" fieldPosition="9"/>
    </format>
    <format dxfId="321">
      <pivotArea field="6" type="button" dataOnly="0" labelOnly="1" outline="0"/>
    </format>
    <format dxfId="320">
      <pivotArea field="7" type="button" dataOnly="0" labelOnly="1" outline="0"/>
    </format>
    <format dxfId="319">
      <pivotArea field="4" type="button" dataOnly="0" labelOnly="1" outline="0"/>
    </format>
    <format dxfId="318">
      <pivotArea dataOnly="0" labelOnly="1" outline="0" fieldPosition="0">
        <references count="1">
          <reference field="0" count="0"/>
        </references>
      </pivotArea>
    </format>
    <format dxfId="317">
      <pivotArea dataOnly="0" labelOnly="1" grandRow="1" outline="0" fieldPosition="0"/>
    </format>
    <format dxfId="316">
      <pivotArea dataOnly="0" labelOnly="1" outline="0" fieldPosition="0">
        <references count="2">
          <reference field="0" count="0" selected="0"/>
          <reference field="3" count="0"/>
        </references>
      </pivotArea>
    </format>
    <format dxfId="315">
      <pivotArea dataOnly="0" labelOnly="1" outline="0" fieldPosition="0">
        <references count="3">
          <reference field="0" count="0" selected="0"/>
          <reference field="3" count="0" selected="0"/>
          <reference field="8" count="0"/>
        </references>
      </pivotArea>
    </format>
    <format dxfId="314">
      <pivotArea dataOnly="0" labelOnly="1" outline="0" fieldPosition="0">
        <references count="4">
          <reference field="0" count="0" selected="0"/>
          <reference field="1" count="0"/>
          <reference field="3" count="0" selected="0"/>
          <reference field="8" count="0" selected="0"/>
        </references>
      </pivotArea>
    </format>
    <format dxfId="313">
      <pivotArea dataOnly="0" labelOnly="1" outline="0" fieldPosition="0">
        <references count="5">
          <reference field="0" count="0" selected="0"/>
          <reference field="1" count="0" selected="0"/>
          <reference field="2" count="0"/>
          <reference field="3" count="0" selected="0"/>
          <reference field="8" count="0" selected="0"/>
        </references>
      </pivotArea>
    </format>
    <format dxfId="312">
      <pivotArea dataOnly="0" labelOnly="1" outline="0" fieldPosition="0">
        <references count="6">
          <reference field="0" count="0" selected="0"/>
          <reference field="1" count="0" selected="0"/>
          <reference field="2" count="0" selected="0"/>
          <reference field="3" count="0" selected="0"/>
          <reference field="8" count="0" selected="0"/>
          <reference field="11" count="0"/>
        </references>
      </pivotArea>
    </format>
    <format dxfId="311">
      <pivotArea dataOnly="0" labelOnly="1" outline="0" fieldPosition="0">
        <references count="7">
          <reference field="0" count="0" selected="0"/>
          <reference field="1" count="0" selected="0"/>
          <reference field="2" count="0" selected="0"/>
          <reference field="3" count="0" selected="0"/>
          <reference field="8" count="0" selected="0"/>
          <reference field="10" count="0"/>
          <reference field="11" count="0" selected="0"/>
        </references>
      </pivotArea>
    </format>
    <format dxfId="310">
      <pivotArea dataOnly="0" labelOnly="1" outline="0" fieldPosition="0">
        <references count="8">
          <reference field="0" count="0" selected="0"/>
          <reference field="1" count="0" selected="0"/>
          <reference field="2" count="0" selected="0"/>
          <reference field="3" count="0" selected="0"/>
          <reference field="8" count="0" selected="0"/>
          <reference field="9" count="0"/>
          <reference field="10" count="0" selected="0"/>
          <reference field="11" count="0" selected="0"/>
        </references>
      </pivotArea>
    </format>
    <format dxfId="309">
      <pivotArea dataOnly="0" labelOnly="1" outline="0" fieldPosition="0">
        <references count="9">
          <reference field="0" count="0" selected="0"/>
          <reference field="1" count="0" selected="0"/>
          <reference field="2" count="0" selected="0"/>
          <reference field="3" count="0" selected="0"/>
          <reference field="8" count="0" selected="0"/>
          <reference field="9" count="0" selected="0"/>
          <reference field="10" count="0" selected="0"/>
          <reference field="11" count="0" selected="0"/>
          <reference field="22" count="0"/>
        </references>
      </pivotArea>
    </format>
    <format dxfId="308">
      <pivotArea dataOnly="0" labelOnly="1" outline="0" fieldPosition="0">
        <references count="10">
          <reference field="0" count="0" selected="0"/>
          <reference field="1" count="0" selected="0"/>
          <reference field="2" count="0" selected="0"/>
          <reference field="3" count="0" selected="0"/>
          <reference field="5" count="0"/>
          <reference field="8" count="0" selected="0"/>
          <reference field="9" count="0" selected="0"/>
          <reference field="10" count="0" selected="0"/>
          <reference field="11" count="0" selected="0"/>
          <reference field="22" count="0" selected="0"/>
        </references>
      </pivotArea>
    </format>
    <format dxfId="307">
      <pivotArea type="all" dataOnly="0" outline="0" fieldPosition="0"/>
    </format>
    <format dxfId="306">
      <pivotArea field="0" type="button" dataOnly="0" labelOnly="1" outline="0" axis="axisRow" fieldPosition="0"/>
    </format>
    <format dxfId="305">
      <pivotArea field="3" type="button" dataOnly="0" labelOnly="1" outline="0" axis="axisRow" fieldPosition="1"/>
    </format>
    <format dxfId="304">
      <pivotArea field="8" type="button" dataOnly="0" labelOnly="1" outline="0" axis="axisRow" fieldPosition="2"/>
    </format>
    <format dxfId="303">
      <pivotArea field="1" type="button" dataOnly="0" labelOnly="1" outline="0" axis="axisRow" fieldPosition="3"/>
    </format>
    <format dxfId="302">
      <pivotArea field="2" type="button" dataOnly="0" labelOnly="1" outline="0" axis="axisRow" fieldPosition="4"/>
    </format>
    <format dxfId="301">
      <pivotArea field="11" type="button" dataOnly="0" labelOnly="1" outline="0" axis="axisRow" fieldPosition="5"/>
    </format>
    <format dxfId="300">
      <pivotArea field="10" type="button" dataOnly="0" labelOnly="1" outline="0" axis="axisRow" fieldPosition="6"/>
    </format>
    <format dxfId="299">
      <pivotArea field="9" type="button" dataOnly="0" labelOnly="1" outline="0" axis="axisRow" fieldPosition="7"/>
    </format>
    <format dxfId="298">
      <pivotArea field="22" type="button" dataOnly="0" labelOnly="1" outline="0" axis="axisRow" fieldPosition="8"/>
    </format>
    <format dxfId="297">
      <pivotArea field="5" type="button" dataOnly="0" labelOnly="1" outline="0" axis="axisRow" fieldPosition="9"/>
    </format>
    <format dxfId="296">
      <pivotArea field="6" type="button" dataOnly="0" labelOnly="1" outline="0"/>
    </format>
    <format dxfId="295">
      <pivotArea field="7" type="button" dataOnly="0" labelOnly="1" outline="0"/>
    </format>
    <format dxfId="294">
      <pivotArea field="4" type="button" dataOnly="0" labelOnly="1" outline="0"/>
    </format>
    <format dxfId="293">
      <pivotArea dataOnly="0" labelOnly="1" outline="0" fieldPosition="0">
        <references count="1">
          <reference field="0" count="0"/>
        </references>
      </pivotArea>
    </format>
    <format dxfId="292">
      <pivotArea dataOnly="0" labelOnly="1" grandRow="1" outline="0" fieldPosition="0"/>
    </format>
    <format dxfId="291">
      <pivotArea dataOnly="0" labelOnly="1" outline="0" fieldPosition="0">
        <references count="2">
          <reference field="0" count="0" selected="0"/>
          <reference field="3" count="0"/>
        </references>
      </pivotArea>
    </format>
    <format dxfId="290">
      <pivotArea dataOnly="0" labelOnly="1" outline="0" fieldPosition="0">
        <references count="3">
          <reference field="0" count="0" selected="0"/>
          <reference field="3" count="0" selected="0"/>
          <reference field="8" count="0"/>
        </references>
      </pivotArea>
    </format>
    <format dxfId="289">
      <pivotArea dataOnly="0" labelOnly="1" outline="0" fieldPosition="0">
        <references count="4">
          <reference field="0" count="0" selected="0"/>
          <reference field="1" count="0"/>
          <reference field="3" count="0" selected="0"/>
          <reference field="8" count="0" selected="0"/>
        </references>
      </pivotArea>
    </format>
    <format dxfId="288">
      <pivotArea dataOnly="0" labelOnly="1" outline="0" fieldPosition="0">
        <references count="5">
          <reference field="0" count="0" selected="0"/>
          <reference field="1" count="0" selected="0"/>
          <reference field="2" count="0"/>
          <reference field="3" count="0" selected="0"/>
          <reference field="8" count="0" selected="0"/>
        </references>
      </pivotArea>
    </format>
    <format dxfId="287">
      <pivotArea dataOnly="0" labelOnly="1" outline="0" fieldPosition="0">
        <references count="6">
          <reference field="0" count="0" selected="0"/>
          <reference field="1" count="0" selected="0"/>
          <reference field="2" count="0" selected="0"/>
          <reference field="3" count="0" selected="0"/>
          <reference field="8" count="0" selected="0"/>
          <reference field="11" count="0"/>
        </references>
      </pivotArea>
    </format>
    <format dxfId="286">
      <pivotArea dataOnly="0" labelOnly="1" outline="0" fieldPosition="0">
        <references count="7">
          <reference field="0" count="0" selected="0"/>
          <reference field="1" count="0" selected="0"/>
          <reference field="2" count="0" selected="0"/>
          <reference field="3" count="0" selected="0"/>
          <reference field="8" count="0" selected="0"/>
          <reference field="10" count="0"/>
          <reference field="11" count="0" selected="0"/>
        </references>
      </pivotArea>
    </format>
    <format dxfId="285">
      <pivotArea dataOnly="0" labelOnly="1" outline="0" fieldPosition="0">
        <references count="8">
          <reference field="0" count="0" selected="0"/>
          <reference field="1" count="0" selected="0"/>
          <reference field="2" count="0" selected="0"/>
          <reference field="3" count="0" selected="0"/>
          <reference field="8" count="0" selected="0"/>
          <reference field="9" count="0"/>
          <reference field="10" count="0" selected="0"/>
          <reference field="11" count="0" selected="0"/>
        </references>
      </pivotArea>
    </format>
    <format dxfId="284">
      <pivotArea dataOnly="0" labelOnly="1" outline="0" fieldPosition="0">
        <references count="9">
          <reference field="0" count="0" selected="0"/>
          <reference field="1" count="0" selected="0"/>
          <reference field="2" count="0" selected="0"/>
          <reference field="3" count="0" selected="0"/>
          <reference field="8" count="0" selected="0"/>
          <reference field="9" count="0" selected="0"/>
          <reference field="10" count="0" selected="0"/>
          <reference field="11" count="0" selected="0"/>
          <reference field="22" count="0"/>
        </references>
      </pivotArea>
    </format>
    <format dxfId="283">
      <pivotArea dataOnly="0" labelOnly="1" outline="0" fieldPosition="0">
        <references count="10">
          <reference field="0" count="0" selected="0"/>
          <reference field="1" count="0" selected="0"/>
          <reference field="2" count="0" selected="0"/>
          <reference field="3" count="0" selected="0"/>
          <reference field="5" count="0"/>
          <reference field="8" count="0" selected="0"/>
          <reference field="9" count="0" selected="0"/>
          <reference field="10" count="0" selected="0"/>
          <reference field="11" count="0" selected="0"/>
          <reference field="22" count="0" selected="0"/>
        </references>
      </pivotArea>
    </format>
    <format dxfId="282">
      <pivotArea field="0" type="button" dataOnly="0" labelOnly="1" outline="0" axis="axisRow" fieldPosition="0"/>
    </format>
    <format dxfId="281">
      <pivotArea field="3" type="button" dataOnly="0" labelOnly="1" outline="0" axis="axisRow" fieldPosition="1"/>
    </format>
    <format dxfId="280">
      <pivotArea field="8" type="button" dataOnly="0" labelOnly="1" outline="0" axis="axisRow" fieldPosition="2"/>
    </format>
    <format dxfId="279">
      <pivotArea field="1" type="button" dataOnly="0" labelOnly="1" outline="0" axis="axisRow" fieldPosition="3"/>
    </format>
    <format dxfId="278">
      <pivotArea field="2" type="button" dataOnly="0" labelOnly="1" outline="0" axis="axisRow" fieldPosition="4"/>
    </format>
    <format dxfId="277">
      <pivotArea field="11" type="button" dataOnly="0" labelOnly="1" outline="0" axis="axisRow" fieldPosition="5"/>
    </format>
    <format dxfId="276">
      <pivotArea field="10" type="button" dataOnly="0" labelOnly="1" outline="0" axis="axisRow" fieldPosition="6"/>
    </format>
    <format dxfId="275">
      <pivotArea field="9" type="button" dataOnly="0" labelOnly="1" outline="0" axis="axisRow" fieldPosition="7"/>
    </format>
    <format dxfId="274">
      <pivotArea field="22" type="button" dataOnly="0" labelOnly="1" outline="0" axis="axisRow" fieldPosition="8"/>
    </format>
    <format dxfId="273">
      <pivotArea field="5" type="button" dataOnly="0" labelOnly="1" outline="0" axis="axisRow" fieldPosition="9"/>
    </format>
    <format dxfId="272">
      <pivotArea field="6" type="button" dataOnly="0" labelOnly="1" outline="0"/>
    </format>
    <format dxfId="271">
      <pivotArea field="7" type="button" dataOnly="0" labelOnly="1" outline="0"/>
    </format>
    <format dxfId="270">
      <pivotArea field="4" type="button" dataOnly="0" labelOnly="1" outline="0"/>
    </format>
    <format dxfId="269">
      <pivotArea field="5" type="button" dataOnly="0" labelOnly="1" outline="0" axis="axisRow" fieldPosition="9"/>
    </format>
    <format dxfId="268">
      <pivotArea field="6" type="button" dataOnly="0" labelOnly="1" outline="0"/>
    </format>
    <format dxfId="267">
      <pivotArea field="7" type="button" dataOnly="0" labelOnly="1" outline="0"/>
    </format>
    <format dxfId="266">
      <pivotArea field="4" type="button" dataOnly="0" labelOnly="1" outline="0"/>
    </format>
    <format dxfId="265">
      <pivotArea dataOnly="0" labelOnly="1" outline="0" fieldPosition="0">
        <references count="10">
          <reference field="0" count="0" selected="0"/>
          <reference field="1" count="0" selected="0"/>
          <reference field="2" count="0" selected="0"/>
          <reference field="3" count="0" selected="0"/>
          <reference field="5" count="0"/>
          <reference field="8" count="0" selected="0"/>
          <reference field="9" count="0" selected="0"/>
          <reference field="10" count="0" selected="0"/>
          <reference field="11" count="0" selected="0"/>
          <reference field="22" count="0" selected="0"/>
        </references>
      </pivotArea>
    </format>
    <format dxfId="264">
      <pivotArea field="8" type="button" dataOnly="0" labelOnly="1" outline="0" axis="axisRow" fieldPosition="2"/>
    </format>
    <format dxfId="263">
      <pivotArea field="22" type="button" dataOnly="0" labelOnly="1" outline="0" axis="axisRow" fieldPosition="8"/>
    </format>
    <format dxfId="262">
      <pivotArea dataOnly="0" labelOnly="1" outline="0" fieldPosition="0">
        <references count="1">
          <reference field="4294967294" count="3">
            <x v="0"/>
            <x v="1"/>
            <x v="2"/>
          </reference>
        </references>
      </pivotArea>
    </format>
    <format dxfId="261">
      <pivotArea dataOnly="0" labelOnly="1" outline="0" fieldPosition="0">
        <references count="1">
          <reference field="4294967294" count="3">
            <x v="0"/>
            <x v="1"/>
            <x v="2"/>
          </reference>
        </references>
      </pivotArea>
    </format>
    <format dxfId="260">
      <pivotArea dataOnly="0" labelOnly="1" outline="0" fieldPosition="0">
        <references count="1">
          <reference field="4294967294" count="3">
            <x v="0"/>
            <x v="1"/>
            <x v="2"/>
          </reference>
        </references>
      </pivotArea>
    </format>
    <format dxfId="259">
      <pivotArea dataOnly="0" labelOnly="1" grandRow="1" outline="0" fieldPosition="0"/>
    </format>
    <format dxfId="258">
      <pivotArea outline="0" fieldPosition="0">
        <references count="2">
          <reference field="0" count="0" selected="0"/>
          <reference field="3" count="0" selected="0" defaultSubtotal="1"/>
        </references>
      </pivotArea>
    </format>
    <format dxfId="257">
      <pivotArea dataOnly="0" labelOnly="1" outline="0" fieldPosition="0">
        <references count="2">
          <reference field="0" count="0" selected="0"/>
          <reference field="3" count="0" defaultSubtotal="1"/>
        </references>
      </pivotArea>
    </format>
    <format dxfId="3">
      <pivotArea dataOnly="0" labelOnly="1" outline="0" fieldPosition="0">
        <references count="1">
          <reference field="0"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1C6DD-2876-4B52-AEBE-7E9B6E9BB0F4}" name="PivotTable1" cacheId="30"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N4" firstHeaderRow="0" firstDataRow="1" firstDataCol="10"/>
  <pivotFields count="24">
    <pivotField name="$VendNo$" axis="axisRow" compact="0" outline="0" showAll="0" defaultSubtotal="0">
      <items count="1">
        <item x="0"/>
      </items>
    </pivotField>
    <pivotField name="$Document_No$" axis="axisRow" compact="0" outline="0" showAll="0" defaultSubtotal="0">
      <items count="1">
        <item x="0"/>
      </items>
    </pivotField>
    <pivotField name="$DocType$" axis="axisRow" compact="0" outline="0" showAll="0" defaultSubtotal="0">
      <items count="1">
        <item x="0"/>
      </items>
    </pivotField>
    <pivotField name="$VendName$" axis="axisRow" compact="0" outline="0" showAll="0">
      <items count="2">
        <item x="0"/>
        <item t="default"/>
      </items>
    </pivotField>
    <pivotField name="$TotalAmountDef" dataField="1" compact="0" outline="0" showAll="0" defaultSubtotal="0">
      <items count="1">
        <item x="0"/>
      </items>
    </pivotField>
    <pivotField name="$NumOfPeriods$" axis="axisRow" compact="0" outline="0" showAll="0" defaultSubtotal="0">
      <items count="1">
        <item x="0"/>
      </items>
    </pivotField>
    <pivotField name="$AmountRecognized" dataField="1" compact="0" outline="0" showAll="0" defaultSubtotal="0">
      <items count="1">
        <item x="0"/>
      </items>
    </pivotField>
    <pivotField name="$RemAmountDef" dataField="1" compact="0" outline="0" showAll="0" defaultSubtotal="0">
      <items count="1">
        <item x="0"/>
      </items>
    </pivotField>
    <pivotField name="$PostingDate$" axis="axisRow" compact="0" outline="0" showAll="0" defaultSubtotal="0">
      <items count="1">
        <item x="0"/>
      </items>
    </pivotField>
    <pivotField name="$DeferralAccount$" axis="axisRow" compact="0" outline="0" showAll="0" defaultSubtotal="0">
      <items count="1">
        <item x="0"/>
      </items>
    </pivotField>
    <pivotField name="$LineDesc$" axis="axisRow" compact="0" outline="0" showAll="0" defaultSubtotal="0">
      <items count="1">
        <item x="0"/>
      </items>
    </pivotField>
    <pivotField name="$LineType$"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name="$DefStartDate$" axis="axisRow" compact="0" outline="0" showAll="0" defaultSubtotal="0">
      <items count="1">
        <item x="0"/>
      </items>
    </pivotField>
    <pivotField compact="0" outline="0" showAll="0" defaultSubtotal="0"/>
  </pivotFields>
  <rowFields count="10">
    <field x="0"/>
    <field x="3"/>
    <field x="8"/>
    <field x="1"/>
    <field x="2"/>
    <field x="11"/>
    <field x="10"/>
    <field x="9"/>
    <field x="22"/>
    <field x="5"/>
  </rowFields>
  <rowItems count="3">
    <i>
      <x/>
      <x/>
      <x/>
      <x/>
      <x/>
      <x/>
      <x/>
      <x/>
      <x/>
      <x/>
    </i>
    <i t="default" r="1">
      <x/>
    </i>
    <i t="grand">
      <x/>
    </i>
  </rowItems>
  <colFields count="1">
    <field x="-2"/>
  </colFields>
  <colItems count="3">
    <i>
      <x/>
    </i>
    <i i="1">
      <x v="1"/>
    </i>
    <i i="2">
      <x v="2"/>
    </i>
  </colItems>
  <dataFields count="3">
    <dataField name="$AmountRecognized$" fld="6" baseField="0" baseItem="0"/>
    <dataField name="$RemAmountDef$" fld="7" baseField="0" baseItem="0"/>
    <dataField name="$TotalAmountDef$" fld="4" baseField="0" baseItem="0"/>
  </dataFields>
  <formats count="77">
    <format dxfId="256">
      <pivotArea type="all" dataOnly="0" outline="0" fieldPosition="0"/>
    </format>
    <format dxfId="255">
      <pivotArea field="0" type="button" dataOnly="0" labelOnly="1" outline="0" axis="axisRow" fieldPosition="0"/>
    </format>
    <format dxfId="254">
      <pivotArea field="3" type="button" dataOnly="0" labelOnly="1" outline="0" axis="axisRow" fieldPosition="1"/>
    </format>
    <format dxfId="253">
      <pivotArea field="8" type="button" dataOnly="0" labelOnly="1" outline="0" axis="axisRow" fieldPosition="2"/>
    </format>
    <format dxfId="252">
      <pivotArea field="1" type="button" dataOnly="0" labelOnly="1" outline="0" axis="axisRow" fieldPosition="3"/>
    </format>
    <format dxfId="251">
      <pivotArea field="2" type="button" dataOnly="0" labelOnly="1" outline="0" axis="axisRow" fieldPosition="4"/>
    </format>
    <format dxfId="250">
      <pivotArea field="11" type="button" dataOnly="0" labelOnly="1" outline="0" axis="axisRow" fieldPosition="5"/>
    </format>
    <format dxfId="249">
      <pivotArea field="10" type="button" dataOnly="0" labelOnly="1" outline="0" axis="axisRow" fieldPosition="6"/>
    </format>
    <format dxfId="248">
      <pivotArea field="9" type="button" dataOnly="0" labelOnly="1" outline="0" axis="axisRow" fieldPosition="7"/>
    </format>
    <format dxfId="247">
      <pivotArea field="22" type="button" dataOnly="0" labelOnly="1" outline="0" axis="axisRow" fieldPosition="8"/>
    </format>
    <format dxfId="246">
      <pivotArea field="5" type="button" dataOnly="0" labelOnly="1" outline="0" axis="axisRow" fieldPosition="9"/>
    </format>
    <format dxfId="245">
      <pivotArea field="6" type="button" dataOnly="0" labelOnly="1" outline="0"/>
    </format>
    <format dxfId="244">
      <pivotArea field="7" type="button" dataOnly="0" labelOnly="1" outline="0"/>
    </format>
    <format dxfId="243">
      <pivotArea field="4" type="button" dataOnly="0" labelOnly="1" outline="0"/>
    </format>
    <format dxfId="242">
      <pivotArea dataOnly="0" labelOnly="1" outline="0" fieldPosition="0">
        <references count="1">
          <reference field="0" count="0"/>
        </references>
      </pivotArea>
    </format>
    <format dxfId="241">
      <pivotArea dataOnly="0" labelOnly="1" grandRow="1" outline="0" fieldPosition="0"/>
    </format>
    <format dxfId="240">
      <pivotArea dataOnly="0" labelOnly="1" outline="0" fieldPosition="0">
        <references count="2">
          <reference field="0" count="0" selected="0"/>
          <reference field="3" count="0"/>
        </references>
      </pivotArea>
    </format>
    <format dxfId="239">
      <pivotArea dataOnly="0" labelOnly="1" outline="0" fieldPosition="0">
        <references count="3">
          <reference field="0" count="0" selected="0"/>
          <reference field="3" count="0" selected="0"/>
          <reference field="8" count="0"/>
        </references>
      </pivotArea>
    </format>
    <format dxfId="238">
      <pivotArea dataOnly="0" labelOnly="1" outline="0" fieldPosition="0">
        <references count="4">
          <reference field="0" count="0" selected="0"/>
          <reference field="1" count="0"/>
          <reference field="3" count="0" selected="0"/>
          <reference field="8" count="0" selected="0"/>
        </references>
      </pivotArea>
    </format>
    <format dxfId="237">
      <pivotArea dataOnly="0" labelOnly="1" outline="0" fieldPosition="0">
        <references count="5">
          <reference field="0" count="0" selected="0"/>
          <reference field="1" count="0" selected="0"/>
          <reference field="2" count="0"/>
          <reference field="3" count="0" selected="0"/>
          <reference field="8" count="0" selected="0"/>
        </references>
      </pivotArea>
    </format>
    <format dxfId="236">
      <pivotArea dataOnly="0" labelOnly="1" outline="0" fieldPosition="0">
        <references count="6">
          <reference field="0" count="0" selected="0"/>
          <reference field="1" count="0" selected="0"/>
          <reference field="2" count="0" selected="0"/>
          <reference field="3" count="0" selected="0"/>
          <reference field="8" count="0" selected="0"/>
          <reference field="11" count="0"/>
        </references>
      </pivotArea>
    </format>
    <format dxfId="235">
      <pivotArea dataOnly="0" labelOnly="1" outline="0" fieldPosition="0">
        <references count="7">
          <reference field="0" count="0" selected="0"/>
          <reference field="1" count="0" selected="0"/>
          <reference field="2" count="0" selected="0"/>
          <reference field="3" count="0" selected="0"/>
          <reference field="8" count="0" selected="0"/>
          <reference field="10" count="0"/>
          <reference field="11" count="0" selected="0"/>
        </references>
      </pivotArea>
    </format>
    <format dxfId="234">
      <pivotArea dataOnly="0" labelOnly="1" outline="0" fieldPosition="0">
        <references count="8">
          <reference field="0" count="0" selected="0"/>
          <reference field="1" count="0" selected="0"/>
          <reference field="2" count="0" selected="0"/>
          <reference field="3" count="0" selected="0"/>
          <reference field="8" count="0" selected="0"/>
          <reference field="9" count="0"/>
          <reference field="10" count="0" selected="0"/>
          <reference field="11" count="0" selected="0"/>
        </references>
      </pivotArea>
    </format>
    <format dxfId="233">
      <pivotArea dataOnly="0" labelOnly="1" outline="0" fieldPosition="0">
        <references count="9">
          <reference field="0" count="0" selected="0"/>
          <reference field="1" count="0" selected="0"/>
          <reference field="2" count="0" selected="0"/>
          <reference field="3" count="0" selected="0"/>
          <reference field="8" count="0" selected="0"/>
          <reference field="9" count="0" selected="0"/>
          <reference field="10" count="0" selected="0"/>
          <reference field="11" count="0" selected="0"/>
          <reference field="22" count="0"/>
        </references>
      </pivotArea>
    </format>
    <format dxfId="232">
      <pivotArea dataOnly="0" labelOnly="1" outline="0" fieldPosition="0">
        <references count="10">
          <reference field="0" count="0" selected="0"/>
          <reference field="1" count="0" selected="0"/>
          <reference field="2" count="0" selected="0"/>
          <reference field="3" count="0" selected="0"/>
          <reference field="5" count="0"/>
          <reference field="8" count="0" selected="0"/>
          <reference field="9" count="0" selected="0"/>
          <reference field="10" count="0" selected="0"/>
          <reference field="11" count="0" selected="0"/>
          <reference field="22" count="0" selected="0"/>
        </references>
      </pivotArea>
    </format>
    <format dxfId="231">
      <pivotArea type="all" dataOnly="0" outline="0" fieldPosition="0"/>
    </format>
    <format dxfId="230">
      <pivotArea field="0" type="button" dataOnly="0" labelOnly="1" outline="0" axis="axisRow" fieldPosition="0"/>
    </format>
    <format dxfId="229">
      <pivotArea field="3" type="button" dataOnly="0" labelOnly="1" outline="0" axis="axisRow" fieldPosition="1"/>
    </format>
    <format dxfId="228">
      <pivotArea field="8" type="button" dataOnly="0" labelOnly="1" outline="0" axis="axisRow" fieldPosition="2"/>
    </format>
    <format dxfId="227">
      <pivotArea field="1" type="button" dataOnly="0" labelOnly="1" outline="0" axis="axisRow" fieldPosition="3"/>
    </format>
    <format dxfId="226">
      <pivotArea field="2" type="button" dataOnly="0" labelOnly="1" outline="0" axis="axisRow" fieldPosition="4"/>
    </format>
    <format dxfId="225">
      <pivotArea field="11" type="button" dataOnly="0" labelOnly="1" outline="0" axis="axisRow" fieldPosition="5"/>
    </format>
    <format dxfId="224">
      <pivotArea field="10" type="button" dataOnly="0" labelOnly="1" outline="0" axis="axisRow" fieldPosition="6"/>
    </format>
    <format dxfId="223">
      <pivotArea field="9" type="button" dataOnly="0" labelOnly="1" outline="0" axis="axisRow" fieldPosition="7"/>
    </format>
    <format dxfId="222">
      <pivotArea field="22" type="button" dataOnly="0" labelOnly="1" outline="0" axis="axisRow" fieldPosition="8"/>
    </format>
    <format dxfId="221">
      <pivotArea field="5" type="button" dataOnly="0" labelOnly="1" outline="0" axis="axisRow" fieldPosition="9"/>
    </format>
    <format dxfId="220">
      <pivotArea field="6" type="button" dataOnly="0" labelOnly="1" outline="0"/>
    </format>
    <format dxfId="219">
      <pivotArea field="7" type="button" dataOnly="0" labelOnly="1" outline="0"/>
    </format>
    <format dxfId="218">
      <pivotArea field="4" type="button" dataOnly="0" labelOnly="1" outline="0"/>
    </format>
    <format dxfId="217">
      <pivotArea dataOnly="0" labelOnly="1" outline="0" fieldPosition="0">
        <references count="1">
          <reference field="0" count="0"/>
        </references>
      </pivotArea>
    </format>
    <format dxfId="216">
      <pivotArea dataOnly="0" labelOnly="1" grandRow="1" outline="0" fieldPosition="0"/>
    </format>
    <format dxfId="215">
      <pivotArea dataOnly="0" labelOnly="1" outline="0" fieldPosition="0">
        <references count="2">
          <reference field="0" count="0" selected="0"/>
          <reference field="3" count="0"/>
        </references>
      </pivotArea>
    </format>
    <format dxfId="214">
      <pivotArea dataOnly="0" labelOnly="1" outline="0" fieldPosition="0">
        <references count="3">
          <reference field="0" count="0" selected="0"/>
          <reference field="3" count="0" selected="0"/>
          <reference field="8" count="0"/>
        </references>
      </pivotArea>
    </format>
    <format dxfId="213">
      <pivotArea dataOnly="0" labelOnly="1" outline="0" fieldPosition="0">
        <references count="4">
          <reference field="0" count="0" selected="0"/>
          <reference field="1" count="0"/>
          <reference field="3" count="0" selected="0"/>
          <reference field="8" count="0" selected="0"/>
        </references>
      </pivotArea>
    </format>
    <format dxfId="212">
      <pivotArea dataOnly="0" labelOnly="1" outline="0" fieldPosition="0">
        <references count="5">
          <reference field="0" count="0" selected="0"/>
          <reference field="1" count="0" selected="0"/>
          <reference field="2" count="0"/>
          <reference field="3" count="0" selected="0"/>
          <reference field="8" count="0" selected="0"/>
        </references>
      </pivotArea>
    </format>
    <format dxfId="211">
      <pivotArea dataOnly="0" labelOnly="1" outline="0" fieldPosition="0">
        <references count="6">
          <reference field="0" count="0" selected="0"/>
          <reference field="1" count="0" selected="0"/>
          <reference field="2" count="0" selected="0"/>
          <reference field="3" count="0" selected="0"/>
          <reference field="8" count="0" selected="0"/>
          <reference field="11" count="0"/>
        </references>
      </pivotArea>
    </format>
    <format dxfId="210">
      <pivotArea dataOnly="0" labelOnly="1" outline="0" fieldPosition="0">
        <references count="7">
          <reference field="0" count="0" selected="0"/>
          <reference field="1" count="0" selected="0"/>
          <reference field="2" count="0" selected="0"/>
          <reference field="3" count="0" selected="0"/>
          <reference field="8" count="0" selected="0"/>
          <reference field="10" count="0"/>
          <reference field="11" count="0" selected="0"/>
        </references>
      </pivotArea>
    </format>
    <format dxfId="209">
      <pivotArea dataOnly="0" labelOnly="1" outline="0" fieldPosition="0">
        <references count="8">
          <reference field="0" count="0" selected="0"/>
          <reference field="1" count="0" selected="0"/>
          <reference field="2" count="0" selected="0"/>
          <reference field="3" count="0" selected="0"/>
          <reference field="8" count="0" selected="0"/>
          <reference field="9" count="0"/>
          <reference field="10" count="0" selected="0"/>
          <reference field="11" count="0" selected="0"/>
        </references>
      </pivotArea>
    </format>
    <format dxfId="208">
      <pivotArea dataOnly="0" labelOnly="1" outline="0" fieldPosition="0">
        <references count="9">
          <reference field="0" count="0" selected="0"/>
          <reference field="1" count="0" selected="0"/>
          <reference field="2" count="0" selected="0"/>
          <reference field="3" count="0" selected="0"/>
          <reference field="8" count="0" selected="0"/>
          <reference field="9" count="0" selected="0"/>
          <reference field="10" count="0" selected="0"/>
          <reference field="11" count="0" selected="0"/>
          <reference field="22" count="0"/>
        </references>
      </pivotArea>
    </format>
    <format dxfId="207">
      <pivotArea dataOnly="0" labelOnly="1" outline="0" fieldPosition="0">
        <references count="10">
          <reference field="0" count="0" selected="0"/>
          <reference field="1" count="0" selected="0"/>
          <reference field="2" count="0" selected="0"/>
          <reference field="3" count="0" selected="0"/>
          <reference field="5" count="0"/>
          <reference field="8" count="0" selected="0"/>
          <reference field="9" count="0" selected="0"/>
          <reference field="10" count="0" selected="0"/>
          <reference field="11" count="0" selected="0"/>
          <reference field="22" count="0" selected="0"/>
        </references>
      </pivotArea>
    </format>
    <format dxfId="206">
      <pivotArea field="0" type="button" dataOnly="0" labelOnly="1" outline="0" axis="axisRow" fieldPosition="0"/>
    </format>
    <format dxfId="205">
      <pivotArea field="3" type="button" dataOnly="0" labelOnly="1" outline="0" axis="axisRow" fieldPosition="1"/>
    </format>
    <format dxfId="204">
      <pivotArea field="8" type="button" dataOnly="0" labelOnly="1" outline="0" axis="axisRow" fieldPosition="2"/>
    </format>
    <format dxfId="203">
      <pivotArea field="1" type="button" dataOnly="0" labelOnly="1" outline="0" axis="axisRow" fieldPosition="3"/>
    </format>
    <format dxfId="202">
      <pivotArea field="2" type="button" dataOnly="0" labelOnly="1" outline="0" axis="axisRow" fieldPosition="4"/>
    </format>
    <format dxfId="201">
      <pivotArea field="11" type="button" dataOnly="0" labelOnly="1" outline="0" axis="axisRow" fieldPosition="5"/>
    </format>
    <format dxfId="200">
      <pivotArea field="10" type="button" dataOnly="0" labelOnly="1" outline="0" axis="axisRow" fieldPosition="6"/>
    </format>
    <format dxfId="199">
      <pivotArea field="9" type="button" dataOnly="0" labelOnly="1" outline="0" axis="axisRow" fieldPosition="7"/>
    </format>
    <format dxfId="198">
      <pivotArea field="22" type="button" dataOnly="0" labelOnly="1" outline="0" axis="axisRow" fieldPosition="8"/>
    </format>
    <format dxfId="197">
      <pivotArea field="5" type="button" dataOnly="0" labelOnly="1" outline="0" axis="axisRow" fieldPosition="9"/>
    </format>
    <format dxfId="196">
      <pivotArea field="6" type="button" dataOnly="0" labelOnly="1" outline="0"/>
    </format>
    <format dxfId="195">
      <pivotArea field="7" type="button" dataOnly="0" labelOnly="1" outline="0"/>
    </format>
    <format dxfId="194">
      <pivotArea field="4" type="button" dataOnly="0" labelOnly="1" outline="0"/>
    </format>
    <format dxfId="193">
      <pivotArea dataOnly="0" labelOnly="1" grandRow="1" outline="0" fieldPosition="0"/>
    </format>
    <format dxfId="192">
      <pivotArea field="5" type="button" dataOnly="0" labelOnly="1" outline="0" axis="axisRow" fieldPosition="9"/>
    </format>
    <format dxfId="191">
      <pivotArea field="6" type="button" dataOnly="0" labelOnly="1" outline="0"/>
    </format>
    <format dxfId="190">
      <pivotArea field="7" type="button" dataOnly="0" labelOnly="1" outline="0"/>
    </format>
    <format dxfId="189">
      <pivotArea field="4" type="button" dataOnly="0" labelOnly="1" outline="0"/>
    </format>
    <format dxfId="188">
      <pivotArea dataOnly="0" labelOnly="1" outline="0" fieldPosition="0">
        <references count="10">
          <reference field="0" count="0" selected="0"/>
          <reference field="1" count="0" selected="0"/>
          <reference field="2" count="0" selected="0"/>
          <reference field="3" count="0" selected="0"/>
          <reference field="5" count="0"/>
          <reference field="8" count="0" selected="0"/>
          <reference field="9" count="0" selected="0"/>
          <reference field="10" count="0" selected="0"/>
          <reference field="11" count="0" selected="0"/>
          <reference field="22" count="0" selected="0"/>
        </references>
      </pivotArea>
    </format>
    <format dxfId="187">
      <pivotArea field="8" type="button" dataOnly="0" labelOnly="1" outline="0" axis="axisRow" fieldPosition="2"/>
    </format>
    <format dxfId="186">
      <pivotArea field="22" type="button" dataOnly="0" labelOnly="1" outline="0" axis="axisRow" fieldPosition="8"/>
    </format>
    <format dxfId="185">
      <pivotArea dataOnly="0" labelOnly="1" outline="0" fieldPosition="0">
        <references count="1">
          <reference field="4294967294" count="3">
            <x v="0"/>
            <x v="1"/>
            <x v="2"/>
          </reference>
        </references>
      </pivotArea>
    </format>
    <format dxfId="184">
      <pivotArea dataOnly="0" labelOnly="1" outline="0" fieldPosition="0">
        <references count="1">
          <reference field="4294967294" count="3">
            <x v="0"/>
            <x v="1"/>
            <x v="2"/>
          </reference>
        </references>
      </pivotArea>
    </format>
    <format dxfId="183">
      <pivotArea dataOnly="0" labelOnly="1" outline="0" fieldPosition="0">
        <references count="1">
          <reference field="4294967294" count="3">
            <x v="0"/>
            <x v="1"/>
            <x v="2"/>
          </reference>
        </references>
      </pivotArea>
    </format>
    <format dxfId="182">
      <pivotArea outline="0" fieldPosition="0">
        <references count="2">
          <reference field="0" count="0" selected="0"/>
          <reference field="3" count="0" selected="0" defaultSubtotal="1"/>
        </references>
      </pivotArea>
    </format>
    <format dxfId="181">
      <pivotArea dataOnly="0" labelOnly="1" outline="0" fieldPosition="0">
        <references count="2">
          <reference field="0" count="0" selected="0"/>
          <reference field="3" count="0" defaultSubtotal="1"/>
        </references>
      </pivotArea>
    </format>
    <format dxfId="1">
      <pivotArea dataOnly="0" labelOnly="1" outline="0" fieldPosition="0">
        <references count="1">
          <reference field="0"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2" xr16:uid="{83E598AA-63DA-4B0C-9860-E4326F480BC0}" autoFormatId="16" applyNumberFormats="0" applyBorderFormats="0" applyFontFormats="0" applyPatternFormats="0" applyAlignmentFormats="0" applyWidthHeightFormats="0">
  <queryTableRefresh nextId="52">
    <queryTableFields count="24">
      <queryTableField id="7" name="VendNo" tableColumnId="7"/>
      <queryTableField id="9" name="Document_No" tableColumnId="9"/>
      <queryTableField id="11" name="DocumentTypeString" tableColumnId="11"/>
      <queryTableField id="28" name="VendorName" tableColumnId="28"/>
      <queryTableField id="29" name="TotalAmtDeferred" tableColumnId="29"/>
      <queryTableField id="30" name="NumOfPeriods" tableColumnId="30"/>
      <queryTableField id="33" name="AmtRecognized" tableColumnId="33"/>
      <queryTableField id="34" name="RemainingAmtDeferred" tableColumnId="34"/>
      <queryTableField id="35" name="PostingDate" tableColumnId="35"/>
      <queryTableField id="36" name="DeferralAccount" tableColumnId="36"/>
      <queryTableField id="38" name="LineDescription" tableColumnId="38"/>
      <queryTableField id="39" name="LineType" tableColumnId="39"/>
      <queryTableField id="3" name="GLAccTableCaption" tableColumnId="3"/>
      <queryTableField id="4" name="GLFilter" tableColumnId="4"/>
      <queryTableField id="6" name="VendorFilter" tableColumnId="6"/>
      <queryTableField id="8" name="No_GLAcc" tableColumnId="8"/>
      <queryTableField id="10" name="Document_Type" tableColumnId="10"/>
      <queryTableField id="12" name="Line_No" tableColumnId="12"/>
      <queryTableField id="21" name="BalanceAsOfDateFilter" tableColumnId="21"/>
      <queryTableField id="23" name="DocumentFilter" tableColumnId="23"/>
      <queryTableField id="27" name="AccountName" tableColumnId="27"/>
      <queryTableField id="31" name="DocumentType" tableColumnId="31"/>
      <queryTableField id="32" name="DeferralStartDate" tableColumnId="32"/>
      <queryTableField id="37" name="Amount"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ame" xr10:uid="{744CE850-6D56-4929-951D-9CCD8093880A}" sourceName="VendorName">
  <pivotTables>
    <pivotTable tabId="9" name="PivotTable1"/>
  </pivotTables>
  <data>
    <tabular pivotCacheId="933619294"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No" xr10:uid="{49720FB6-931E-48C2-84F6-E4D8AD768CD3}" sourceName="Document_No">
  <pivotTables>
    <pivotTable tabId="9" name="PivotTable1"/>
  </pivotTables>
  <data>
    <tabular pivotCacheId="933619294"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TypeString" xr10:uid="{9464B9A9-1A2E-4E60-890F-CEA58ED2FA29}" sourceName="DocumentTypeString">
  <pivotTables>
    <pivotTable tabId="9" name="PivotTable1"/>
  </pivotTables>
  <data>
    <tabular pivotCacheId="933619294"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rralAccount" xr10:uid="{EE98B103-0F75-4BF3-B573-CB9F95484FAC}" sourceName="DeferralAccount">
  <pivotTables>
    <pivotTable tabId="9" name="PivotTable1"/>
  </pivotTables>
  <data>
    <tabular pivotCacheId="933619294"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Description" xr10:uid="{A29DCBED-4A4A-4167-A4F7-42F2B41C999C}" sourceName="LineDescription">
  <pivotTables>
    <pivotTable tabId="9" name="PivotTable1"/>
  </pivotTables>
  <data>
    <tabular pivotCacheId="933619294"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Type" xr10:uid="{65CFABE8-0181-45FA-A9D0-26016CC4A7AA}" sourceName="LineType">
  <pivotTables>
    <pivotTable tabId="9" name="PivotTable1"/>
  </pivotTables>
  <data>
    <tabular pivotCacheId="933619294"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Name$" xr10:uid="{85389F7A-66E8-49E9-8EB5-042CC8CE72FE}" cache="Slicer_VendorName" caption="$VendName$" style="Business Central Reports Slicer Style (Template)" rowHeight="273050"/>
  <slicer name="$Document_No$" xr10:uid="{C99CA423-89AF-4A47-A86B-4B2424CB03E0}" cache="Slicer_Document_No" caption="$Document_No$" style="Business Central Reports Slicer Style (Template)" rowHeight="273050"/>
  <slicer name="$DocType$" xr10:uid="{DEB80C42-587A-485A-9620-5AA5F8A16F2A}" cache="Slicer_DocumentTypeString" caption="$DocType$" style="Business Central Reports Slicer Style (Template)" rowHeight="273050"/>
  <slicer name="$DeferralAccount$" xr10:uid="{4796F1EA-A587-485B-82F7-AFF0D84C5C56}" cache="Slicer_DeferralAccount" caption="$DeferralAccount$" style="Business Central Reports Slicer Style (Template)" rowHeight="273050"/>
  <slicer name="$LineDesc$" xr10:uid="{6116D35E-6FB9-438C-8C45-9BA9B8138B84}" cache="Slicer_LineDescription" caption="$LineDesc$" style="Business Central Reports Slicer Style (Template)" rowHeight="273050"/>
  <slicer name="$LineType$" xr10:uid="{E4F508D1-67D1-4008-98F3-A15B0B12633A}" cache="Slicer_LineType" caption="$LineTyp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FD28A1-3FC6-41FD-8C83-985909DB06E5}" name="DeferralSummaryPurch_Query" displayName="DeferralSummaryPurch_Query" ref="A1:X2" tableType="queryTable" totalsRowShown="0">
  <autoFilter ref="A1:X2" xr:uid="{D7FD28A1-3FC6-41FD-8C83-985909DB06E5}"/>
  <tableColumns count="24">
    <tableColumn id="7" xr3:uid="{C6B12869-9F4E-412B-9227-5872CB26C44D}" uniqueName="7" name="VendNo" queryTableFieldId="7" dataDxfId="180"/>
    <tableColumn id="9" xr3:uid="{6B9AA7E4-D8A3-4A7F-97AD-0D481A3EB94A}" uniqueName="9" name="Document_No" queryTableFieldId="9" dataDxfId="179"/>
    <tableColumn id="11" xr3:uid="{3DB8940D-AC84-4135-ABFD-58A069D41686}" uniqueName="11" name="DocumentTypeString" queryTableFieldId="11" dataDxfId="178"/>
    <tableColumn id="28" xr3:uid="{92E5649A-A0F6-4088-BED0-AA2CF7ACB874}" uniqueName="28" name="VendorName" queryTableFieldId="28" dataDxfId="177"/>
    <tableColumn id="29" xr3:uid="{4CDF4A9E-69FA-4E23-94F6-283B42A72C58}" uniqueName="29" name="TotalAmtDeferred" queryTableFieldId="29"/>
    <tableColumn id="30" xr3:uid="{BCB80E6D-F0A7-4B1A-8A34-FA1DF0F14D77}" uniqueName="30" name="NumOfPeriods" queryTableFieldId="30"/>
    <tableColumn id="33" xr3:uid="{8098CE39-B85C-4688-AA23-3F14663790E6}" uniqueName="33" name="AmtRecognized" queryTableFieldId="33"/>
    <tableColumn id="34" xr3:uid="{256767EA-C909-427E-8C5C-E2F3167FC646}" uniqueName="34" name="RemainingAmtDeferred" queryTableFieldId="34"/>
    <tableColumn id="35" xr3:uid="{9E8D7AAC-72CE-48C2-9C7C-9849A1699268}" uniqueName="35" name="PostingDate" queryTableFieldId="35" dataDxfId="160"/>
    <tableColumn id="36" xr3:uid="{6BC7F5CE-F491-4066-A71E-34BBB71EC881}" uniqueName="36" name="DeferralAccount" queryTableFieldId="36" dataDxfId="176"/>
    <tableColumn id="38" xr3:uid="{B2260186-2B74-4E2B-8208-FF824D2A66E4}" uniqueName="38" name="LineDescription" queryTableFieldId="38" dataDxfId="175"/>
    <tableColumn id="39" xr3:uid="{2D70923B-7692-4323-846A-2B0F33B09359}" uniqueName="39" name="LineType" queryTableFieldId="39" dataDxfId="174"/>
    <tableColumn id="3" xr3:uid="{8661AB2E-A339-4FBD-97E2-0552888F521E}" uniqueName="3" name="GLAccTableCaption" queryTableFieldId="3" dataDxfId="173"/>
    <tableColumn id="4" xr3:uid="{3307C289-7D52-4E02-B8DE-402A6772FCB4}" uniqueName="4" name="GLFilter" queryTableFieldId="4" dataDxfId="172"/>
    <tableColumn id="6" xr3:uid="{31E758D2-0199-476F-AC12-57F03157A1AC}" uniqueName="6" name="VendorFilter" queryTableFieldId="6" dataDxfId="171"/>
    <tableColumn id="8" xr3:uid="{E29EB677-F8F3-42C9-8DBF-675D2EF0E051}" uniqueName="8" name="No_GLAcc" queryTableFieldId="8" dataDxfId="170"/>
    <tableColumn id="10" xr3:uid="{2A942212-483E-434E-905B-C30B8953246B}" uniqueName="10" name="Document_Type" queryTableFieldId="10" dataDxfId="169"/>
    <tableColumn id="12" xr3:uid="{FDCA14A0-0D6B-44A3-BD25-F2718C27E829}" uniqueName="12" name="Line_No" queryTableFieldId="12"/>
    <tableColumn id="21" xr3:uid="{254F0639-B9AF-4DE4-BD88-364363BDD08F}" uniqueName="21" name="BalanceAsOfDateFilter" queryTableFieldId="21" dataDxfId="159"/>
    <tableColumn id="23" xr3:uid="{C6AA8195-C515-472F-8FB3-E2C35E15F1E3}" uniqueName="23" name="DocumentFilter" queryTableFieldId="23" dataDxfId="168"/>
    <tableColumn id="27" xr3:uid="{FF0C0D49-4064-46A0-B640-005500420B1E}" uniqueName="27" name="AccountName" queryTableFieldId="27" dataDxfId="167"/>
    <tableColumn id="31" xr3:uid="{0ABB9DDA-DA6F-4DA2-8554-7EA2AE3699FD}" uniqueName="31" name="DocumentType" queryTableFieldId="31" dataDxfId="166"/>
    <tableColumn id="32" xr3:uid="{4EC4FA97-E64E-49C9-91E9-D79C14326FF4}" uniqueName="32" name="DeferralStartDate" queryTableFieldId="32" dataDxfId="158"/>
    <tableColumn id="37" xr3:uid="{66DF2B04-5767-4D80-B86A-475C35C1D893}" uniqueName="37" name="Amount" queryTableField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AM2" totalsRowShown="0" headerRowDxfId="165">
  <autoFilter ref="A1:AM2" xr:uid="{41D726F2-778D-4B1C-A5EA-875FED73D050}"/>
  <tableColumns count="39">
    <tableColumn id="1" xr3:uid="{21867904-D69E-41E3-B5BE-D9B124B8D7E4}" name="CompanyName"/>
    <tableColumn id="2" xr3:uid="{21867904-D69E-41E3-B5BE-D9B124B8D7E4}" name="PageGroupNo"/>
    <tableColumn id="3" xr3:uid="{21867904-D69E-41E3-B5BE-D9B124B8D7E4}" name="GLAccTableCaption"/>
    <tableColumn id="4" xr3:uid="{21867904-D69E-41E3-B5BE-D9B124B8D7E4}" name="GLFilter"/>
    <tableColumn id="5" xr3:uid="{21867904-D69E-41E3-B5BE-D9B124B8D7E4}" name="EmptyString"/>
    <tableColumn id="6" xr3:uid="{21867904-D69E-41E3-B5BE-D9B124B8D7E4}" name="VendorFilter"/>
    <tableColumn id="7" xr3:uid="{21867904-D69E-41E3-B5BE-D9B124B8D7E4}" name="VendNo"/>
    <tableColumn id="8" xr3:uid="{21867904-D69E-41E3-B5BE-D9B124B8D7E4}" name="No_GLAcc"/>
    <tableColumn id="9" xr3:uid="{21867904-D69E-41E3-B5BE-D9B124B8D7E4}" name="Document_No"/>
    <tableColumn id="10" xr3:uid="{21867904-D69E-41E3-B5BE-D9B124B8D7E4}" name="Document_Type"/>
    <tableColumn id="11" xr3:uid="{21867904-D69E-41E3-B5BE-D9B124B8D7E4}" name="DocumentTypeString"/>
    <tableColumn id="12" xr3:uid="{21867904-D69E-41E3-B5BE-D9B124B8D7E4}" name="Line_No"/>
    <tableColumn id="13" xr3:uid="{21867904-D69E-41E3-B5BE-D9B124B8D7E4}" name="DeferralSummaryPurchCaption"/>
    <tableColumn id="14" xr3:uid="{21867904-D69E-41E3-B5BE-D9B124B8D7E4}" name="PageCaption"/>
    <tableColumn id="15" xr3:uid="{21867904-D69E-41E3-B5BE-D9B124B8D7E4}" name="BalanceCaption"/>
    <tableColumn id="16" xr3:uid="{21867904-D69E-41E3-B5BE-D9B124B8D7E4}" name="PeriodCaption"/>
    <tableColumn id="17" xr3:uid="{21867904-D69E-41E3-B5BE-D9B124B8D7E4}" name="GLBalCaption"/>
    <tableColumn id="18" xr3:uid="{21867904-D69E-41E3-B5BE-D9B124B8D7E4}" name="RemAmtDefCaption"/>
    <tableColumn id="19" xr3:uid="{21867904-D69E-41E3-B5BE-D9B124B8D7E4}" name="TotAmtDefCaption"/>
    <tableColumn id="20" xr3:uid="{21867904-D69E-41E3-B5BE-D9B124B8D7E4}" name="BalanceAsOfDateCaption"/>
    <tableColumn id="21" xr3:uid="{21867904-D69E-41E3-B5BE-D9B124B8D7E4}" name="BalanceAsOfDateFilter"/>
    <tableColumn id="22" xr3:uid="{21867904-D69E-41E3-B5BE-D9B124B8D7E4}" name="DocumentCaption"/>
    <tableColumn id="23" xr3:uid="{21867904-D69E-41E3-B5BE-D9B124B8D7E4}" name="DocumentFilter"/>
    <tableColumn id="24" xr3:uid="{21867904-D69E-41E3-B5BE-D9B124B8D7E4}" name="VendorCaption"/>
    <tableColumn id="25" xr3:uid="{21867904-D69E-41E3-B5BE-D9B124B8D7E4}" name="AccountNoCaption"/>
    <tableColumn id="26" xr3:uid="{21867904-D69E-41E3-B5BE-D9B124B8D7E4}" name="AmtRecognizedCaption"/>
    <tableColumn id="27" xr3:uid="{21867904-D69E-41E3-B5BE-D9B124B8D7E4}" name="AccountName"/>
    <tableColumn id="28" xr3:uid="{21867904-D69E-41E3-B5BE-D9B124B8D7E4}" name="VendorName"/>
    <tableColumn id="29" xr3:uid="{21867904-D69E-41E3-B5BE-D9B124B8D7E4}" name="TotalAmtDeferred"/>
    <tableColumn id="30" xr3:uid="{21867904-D69E-41E3-B5BE-D9B124B8D7E4}" name="NumOfPeriods"/>
    <tableColumn id="31" xr3:uid="{21867904-D69E-41E3-B5BE-D9B124B8D7E4}" name="DocumentType"/>
    <tableColumn id="32" xr3:uid="{21867904-D69E-41E3-B5BE-D9B124B8D7E4}" name="DeferralStartDate"/>
    <tableColumn id="33" xr3:uid="{21867904-D69E-41E3-B5BE-D9B124B8D7E4}" name="AmtRecognized"/>
    <tableColumn id="34" xr3:uid="{21867904-D69E-41E3-B5BE-D9B124B8D7E4}" name="RemainingAmtDeferred"/>
    <tableColumn id="35" xr3:uid="{21867904-D69E-41E3-B5BE-D9B124B8D7E4}" name="PostingDate"/>
    <tableColumn id="36" xr3:uid="{21867904-D69E-41E3-B5BE-D9B124B8D7E4}" name="DeferralAccount"/>
    <tableColumn id="37" xr3:uid="{21867904-D69E-41E3-B5BE-D9B124B8D7E4}" name="Amount"/>
    <tableColumn id="38" xr3:uid="{21867904-D69E-41E3-B5BE-D9B124B8D7E4}" name="LineDescription"/>
    <tableColumn id="39" xr3:uid="{21867904-D69E-41E3-B5BE-D9B124B8D7E4}" name="LineTyp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64">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63">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62">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61">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2353-BBAD-4A4A-9102-E46D35A64165}">
  <sheetPr>
    <pageSetUpPr fitToPage="1"/>
  </sheetPr>
  <dimension ref="A2:N9"/>
  <sheetViews>
    <sheetView showGridLines="0" tabSelected="1" workbookViewId="0"/>
  </sheetViews>
  <sheetFormatPr defaultRowHeight="20.399999999999999" x14ac:dyDescent="0.45"/>
  <cols>
    <col min="1" max="1" width="9.09765625" style="14" customWidth="1"/>
    <col min="2" max="2" width="11.59765625" customWidth="1"/>
    <col min="3" max="3" width="23.69921875" customWidth="1"/>
    <col min="4" max="4" width="11" customWidth="1"/>
    <col min="5" max="5" width="13.796875" customWidth="1"/>
    <col min="6" max="6" width="14.796875" customWidth="1"/>
    <col min="7" max="7" width="10" customWidth="1"/>
    <col min="8" max="8" width="21.796875" customWidth="1"/>
    <col min="9" max="9" width="15.59765625" customWidth="1"/>
    <col min="10" max="10" width="15" customWidth="1"/>
    <col min="11" max="11" width="11.796875" customWidth="1"/>
    <col min="12" max="12" width="13.59765625" customWidth="1"/>
    <col min="13" max="13" width="20" customWidth="1"/>
    <col min="14" max="14" width="19.59765625" customWidth="1"/>
  </cols>
  <sheetData>
    <row r="2" spans="2:14" ht="27.6" thickBot="1" x14ac:dyDescent="0.5">
      <c r="B2" s="7" t="s">
        <v>110</v>
      </c>
      <c r="N2" s="8" t="str" cm="1">
        <f t="array" ref="N2">ReportRequest.CompanyName</f>
        <v>Company name Value</v>
      </c>
    </row>
    <row r="3" spans="2:14" ht="21" thickTop="1" x14ac:dyDescent="0.45"/>
    <row r="4" spans="2:14" x14ac:dyDescent="0.45">
      <c r="B4" s="9" t="e" cm="1">
        <f t="array" ref="B4">IF(EndDateFilter="", "", Caption.BalAsOfDate)</f>
        <v>#N/A</v>
      </c>
      <c r="C4" s="17" t="e" cm="1">
        <f t="array" ref="C4">EndDateFilter</f>
        <v>#N/A</v>
      </c>
      <c r="M4" s="10" t="e" cm="1">
        <f t="array" ref="M4">Caption.DataRetrieved</f>
        <v>#NAME?</v>
      </c>
      <c r="N4" s="11" t="str" cm="1">
        <f t="array" ref="N4">ReportRequest.DateLocal</f>
        <v>Date (Local) Value</v>
      </c>
    </row>
    <row r="6" spans="2:14" x14ac:dyDescent="0.45">
      <c r="B6" s="18" t="s">
        <v>113</v>
      </c>
      <c r="C6" s="18" t="s">
        <v>114</v>
      </c>
      <c r="D6" s="19" t="s">
        <v>115</v>
      </c>
      <c r="E6" s="18" t="s">
        <v>116</v>
      </c>
      <c r="F6" s="18" t="s">
        <v>117</v>
      </c>
      <c r="G6" s="18" t="s">
        <v>118</v>
      </c>
      <c r="H6" s="18" t="s">
        <v>119</v>
      </c>
      <c r="I6" s="18" t="s">
        <v>120</v>
      </c>
      <c r="J6" s="19" t="s">
        <v>121</v>
      </c>
      <c r="K6" s="19" t="s">
        <v>122</v>
      </c>
      <c r="L6" s="20" t="s">
        <v>123</v>
      </c>
      <c r="M6" s="20" t="s">
        <v>124</v>
      </c>
      <c r="N6" s="20" t="s">
        <v>125</v>
      </c>
    </row>
    <row r="7" spans="2:14" x14ac:dyDescent="0.45">
      <c r="B7" s="6"/>
      <c r="C7" s="6"/>
      <c r="D7" s="16">
        <v>1</v>
      </c>
      <c r="E7" s="6"/>
      <c r="F7" s="6"/>
      <c r="G7" s="6" t="s">
        <v>111</v>
      </c>
      <c r="H7" s="6"/>
      <c r="I7" s="6"/>
      <c r="J7" s="16">
        <v>1</v>
      </c>
      <c r="K7" s="15">
        <v>0</v>
      </c>
      <c r="L7" s="26">
        <v>0</v>
      </c>
      <c r="M7" s="26">
        <v>0</v>
      </c>
      <c r="N7" s="26">
        <v>0</v>
      </c>
    </row>
    <row r="8" spans="2:14" x14ac:dyDescent="0.45">
      <c r="B8" s="6"/>
      <c r="C8" s="25" t="s">
        <v>126</v>
      </c>
      <c r="D8" s="25"/>
      <c r="E8" s="25"/>
      <c r="F8" s="25"/>
      <c r="G8" s="25"/>
      <c r="H8" s="25"/>
      <c r="I8" s="25"/>
      <c r="J8" s="25"/>
      <c r="K8" s="25"/>
      <c r="L8" s="27">
        <v>0</v>
      </c>
      <c r="M8" s="27">
        <v>0</v>
      </c>
      <c r="N8" s="27">
        <v>0</v>
      </c>
    </row>
    <row r="9" spans="2:14" x14ac:dyDescent="0.45">
      <c r="B9" s="6" t="s">
        <v>112</v>
      </c>
      <c r="C9" s="6"/>
      <c r="D9" s="6"/>
      <c r="E9" s="6"/>
      <c r="F9" s="6"/>
      <c r="G9" s="6"/>
      <c r="H9" s="6"/>
      <c r="I9" s="6"/>
      <c r="J9" s="6"/>
      <c r="K9" s="6"/>
      <c r="L9" s="26">
        <v>0</v>
      </c>
      <c r="M9" s="26">
        <v>0</v>
      </c>
      <c r="N9" s="26">
        <v>0</v>
      </c>
    </row>
  </sheetData>
  <pageMargins left="0.25" right="0.25" top="0.75" bottom="0.75" header="0.3" footer="0.3"/>
  <pageSetup paperSize="9" scale="43"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2FB7-D227-412A-8EE2-14E7E0FA4DC5}">
  <dimension ref="A1:N4"/>
  <sheetViews>
    <sheetView showGridLines="0" workbookViewId="0"/>
  </sheetViews>
  <sheetFormatPr defaultRowHeight="20.399999999999999" x14ac:dyDescent="0.45"/>
  <cols>
    <col min="1" max="1" width="50.59765625" style="14" customWidth="1"/>
    <col min="2" max="2" width="11.59765625" customWidth="1"/>
    <col min="3" max="3" width="23.69921875" customWidth="1"/>
    <col min="4" max="4" width="11" customWidth="1"/>
    <col min="5" max="5" width="13.796875" customWidth="1"/>
    <col min="6" max="6" width="14.796875" customWidth="1"/>
    <col min="7" max="7" width="10" customWidth="1"/>
    <col min="8" max="8" width="21.796875" customWidth="1"/>
    <col min="9" max="9" width="15.59765625" customWidth="1"/>
    <col min="10" max="10" width="15" customWidth="1"/>
    <col min="11" max="11" width="11.796875" customWidth="1"/>
    <col min="12" max="12" width="13.59765625" customWidth="1"/>
    <col min="13" max="13" width="20" customWidth="1"/>
    <col min="14" max="14" width="19.59765625" customWidth="1"/>
  </cols>
  <sheetData>
    <row r="1" spans="2:14" x14ac:dyDescent="0.45">
      <c r="B1" s="18" t="s">
        <v>113</v>
      </c>
      <c r="C1" s="18" t="s">
        <v>114</v>
      </c>
      <c r="D1" s="19" t="s">
        <v>115</v>
      </c>
      <c r="E1" s="18" t="s">
        <v>116</v>
      </c>
      <c r="F1" s="18" t="s">
        <v>117</v>
      </c>
      <c r="G1" s="18" t="s">
        <v>118</v>
      </c>
      <c r="H1" s="18" t="s">
        <v>119</v>
      </c>
      <c r="I1" s="18" t="s">
        <v>120</v>
      </c>
      <c r="J1" s="19" t="s">
        <v>121</v>
      </c>
      <c r="K1" s="19" t="s">
        <v>122</v>
      </c>
      <c r="L1" s="20" t="s">
        <v>123</v>
      </c>
      <c r="M1" s="20" t="s">
        <v>124</v>
      </c>
      <c r="N1" s="20" t="s">
        <v>125</v>
      </c>
    </row>
    <row r="2" spans="2:14" x14ac:dyDescent="0.45">
      <c r="B2" s="6"/>
      <c r="C2" s="6"/>
      <c r="D2" s="16">
        <v>1</v>
      </c>
      <c r="E2" s="6"/>
      <c r="F2" s="6"/>
      <c r="G2" s="6" t="s">
        <v>111</v>
      </c>
      <c r="H2" s="6"/>
      <c r="I2" s="6"/>
      <c r="J2" s="16">
        <v>1</v>
      </c>
      <c r="K2" s="15">
        <v>0</v>
      </c>
      <c r="L2" s="26">
        <v>0</v>
      </c>
      <c r="M2" s="26">
        <v>0</v>
      </c>
      <c r="N2" s="26">
        <v>0</v>
      </c>
    </row>
    <row r="3" spans="2:14" x14ac:dyDescent="0.45">
      <c r="B3" s="6"/>
      <c r="C3" s="25" t="s">
        <v>126</v>
      </c>
      <c r="D3" s="25"/>
      <c r="E3" s="25"/>
      <c r="F3" s="25"/>
      <c r="G3" s="25"/>
      <c r="H3" s="25"/>
      <c r="I3" s="25"/>
      <c r="J3" s="25"/>
      <c r="K3" s="25"/>
      <c r="L3" s="27">
        <v>0</v>
      </c>
      <c r="M3" s="27">
        <v>0</v>
      </c>
      <c r="N3" s="27">
        <v>0</v>
      </c>
    </row>
    <row r="4" spans="2:14" x14ac:dyDescent="0.45">
      <c r="B4" s="13" t="s">
        <v>112</v>
      </c>
      <c r="C4" s="13"/>
      <c r="D4" s="13"/>
      <c r="E4" s="13"/>
      <c r="F4" s="13"/>
      <c r="G4" s="13"/>
      <c r="H4" s="13"/>
      <c r="I4" s="13"/>
      <c r="J4" s="13"/>
      <c r="K4" s="13"/>
      <c r="L4" s="26">
        <v>0</v>
      </c>
      <c r="M4" s="26">
        <v>0</v>
      </c>
      <c r="N4" s="26">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1F61-FDCE-470D-BE6D-A5ED5EC4A774}">
  <dimension ref="A1:B8"/>
  <sheetViews>
    <sheetView showGridLines="0" workbookViewId="0"/>
  </sheetViews>
  <sheetFormatPr defaultRowHeight="19.95" customHeight="1" x14ac:dyDescent="0.4"/>
  <cols>
    <col min="1" max="1" width="17.296875" customWidth="1"/>
    <col min="2" max="2" width="25.59765625" customWidth="1"/>
  </cols>
  <sheetData>
    <row r="1" spans="1:2" ht="19.95" customHeight="1" x14ac:dyDescent="0.4">
      <c r="A1" s="5" t="s">
        <v>104</v>
      </c>
      <c r="B1" s="21" t="str" cm="1">
        <f t="array" ref="B1">ReportRequest.EnvironmentName</f>
        <v>Environment name Value</v>
      </c>
    </row>
    <row r="2" spans="1:2" ht="19.95" customHeight="1" x14ac:dyDescent="0.4">
      <c r="A2" s="5" t="s">
        <v>105</v>
      </c>
      <c r="B2" s="21" t="str" cm="1">
        <f t="array" ref="B2">ReportRequest.CompanyName</f>
        <v>Company name Value</v>
      </c>
    </row>
    <row r="3" spans="1:2" ht="19.95" customHeight="1" x14ac:dyDescent="0.4">
      <c r="A3" s="5" t="s">
        <v>106</v>
      </c>
      <c r="B3" s="21" t="str" cm="1">
        <f t="array" ref="B3">ReportRequest.UserName</f>
        <v>User name Value</v>
      </c>
    </row>
    <row r="4" spans="1:2" ht="19.95" customHeight="1" x14ac:dyDescent="0.4">
      <c r="A4" s="5" t="s">
        <v>107</v>
      </c>
      <c r="B4" s="22" t="str" cm="1">
        <f t="array" ref="B4">ReportRequest.DateLocal</f>
        <v>Date (Local) Value</v>
      </c>
    </row>
    <row r="5" spans="1:2" ht="19.95" customHeight="1" x14ac:dyDescent="0.4">
      <c r="A5" s="5"/>
      <c r="B5" s="23" t="str" cm="1">
        <f t="array" ref="B5">ReportRequest.DateLocal</f>
        <v>Date (Local) Value</v>
      </c>
    </row>
    <row r="6" spans="1:2" ht="19.95" customHeight="1" x14ac:dyDescent="0.4">
      <c r="A6" s="5" t="s">
        <v>108</v>
      </c>
      <c r="B6" s="21" t="str" cm="1">
        <f t="array" ref="B6">ReportMetadata.ObjectCaption</f>
        <v>Object Caption Value</v>
      </c>
    </row>
    <row r="7" spans="1:2" ht="19.95" customHeight="1" x14ac:dyDescent="0.4">
      <c r="A7" s="5" t="s">
        <v>109</v>
      </c>
      <c r="B7" s="24" t="str">
        <f>HYPERLINK(_xlfn.CONCAT("https://learn.microsoft.com/dynamics365/business-central/reports/report-",ReportMetadata.ObjectID))</f>
        <v>https://learn.microsoft.com/dynamics365/business-central/reports/report-Object ID Value</v>
      </c>
    </row>
    <row r="8" spans="1:2" ht="19.95" customHeight="1" x14ac:dyDescent="0.4">
      <c r="A8" s="5"/>
      <c r="B8"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D03A-AE8C-4D0E-8ECD-C18C966B1F06}">
  <dimension ref="A1:X2"/>
  <sheetViews>
    <sheetView workbookViewId="0">
      <selection sqref="A1:X2"/>
    </sheetView>
  </sheetViews>
  <sheetFormatPr defaultRowHeight="16.8" x14ac:dyDescent="0.4"/>
  <cols>
    <col min="1" max="1" width="9.796875" bestFit="1" customWidth="1"/>
    <col min="2" max="2" width="15" bestFit="1" customWidth="1"/>
    <col min="3" max="3" width="21.19921875" bestFit="1" customWidth="1"/>
    <col min="4" max="4" width="14.09765625" bestFit="1" customWidth="1"/>
    <col min="5" max="5" width="18.5" bestFit="1" customWidth="1"/>
    <col min="6" max="6" width="15.5" bestFit="1" customWidth="1"/>
    <col min="7" max="7" width="16.5" bestFit="1" customWidth="1"/>
    <col min="8" max="8" width="23.3984375" bestFit="1" customWidth="1"/>
    <col min="9" max="9" width="13.296875" bestFit="1" customWidth="1"/>
    <col min="10" max="10" width="17" bestFit="1" customWidth="1"/>
    <col min="11" max="11" width="16.19921875" bestFit="1" customWidth="1"/>
    <col min="12" max="12" width="10.59765625" bestFit="1" customWidth="1"/>
    <col min="13" max="13" width="19.69921875" bestFit="1" customWidth="1"/>
    <col min="14" max="14" width="9.3984375" bestFit="1" customWidth="1"/>
    <col min="15" max="15" width="13.3984375" bestFit="1" customWidth="1"/>
    <col min="16" max="16" width="11.3984375" bestFit="1" customWidth="1"/>
    <col min="17" max="17" width="16.69921875" bestFit="1" customWidth="1"/>
    <col min="18" max="18" width="9.59765625" bestFit="1" customWidth="1"/>
    <col min="19" max="19" width="22.296875" bestFit="1" customWidth="1"/>
    <col min="20" max="20" width="16.09765625" bestFit="1" customWidth="1"/>
    <col min="21" max="21" width="15.09765625" bestFit="1" customWidth="1"/>
    <col min="22" max="22" width="16" bestFit="1" customWidth="1"/>
    <col min="23" max="23" width="18" bestFit="1" customWidth="1"/>
    <col min="24" max="24" width="9.796875" bestFit="1" customWidth="1"/>
    <col min="25" max="25" width="20" bestFit="1" customWidth="1"/>
    <col min="26" max="26" width="24.09765625" bestFit="1" customWidth="1"/>
    <col min="27" max="27" width="15.69921875" bestFit="1" customWidth="1"/>
    <col min="28" max="28" width="14.69921875" bestFit="1" customWidth="1"/>
    <col min="29" max="29" width="19.5" bestFit="1" customWidth="1"/>
    <col min="30" max="30" width="16.19921875" bestFit="1" customWidth="1"/>
    <col min="31" max="31" width="16.59765625" bestFit="1" customWidth="1"/>
    <col min="32" max="32" width="18.69921875" bestFit="1" customWidth="1"/>
    <col min="33" max="33" width="17.09765625" bestFit="1" customWidth="1"/>
    <col min="34" max="34" width="24.5" bestFit="1" customWidth="1"/>
    <col min="35" max="35" width="13.796875" bestFit="1" customWidth="1"/>
    <col min="36" max="36" width="17.59765625" bestFit="1" customWidth="1"/>
    <col min="37" max="37" width="10.296875" bestFit="1" customWidth="1"/>
    <col min="38" max="38" width="16.796875" bestFit="1" customWidth="1"/>
    <col min="39" max="39" width="11" bestFit="1" customWidth="1"/>
  </cols>
  <sheetData>
    <row r="1" spans="1:24" x14ac:dyDescent="0.4">
      <c r="A1" t="s">
        <v>70</v>
      </c>
      <c r="B1" t="s">
        <v>72</v>
      </c>
      <c r="C1" t="s">
        <v>74</v>
      </c>
      <c r="D1" t="s">
        <v>91</v>
      </c>
      <c r="E1" t="s">
        <v>92</v>
      </c>
      <c r="F1" t="s">
        <v>93</v>
      </c>
      <c r="G1" t="s">
        <v>96</v>
      </c>
      <c r="H1" t="s">
        <v>97</v>
      </c>
      <c r="I1" t="s">
        <v>98</v>
      </c>
      <c r="J1" t="s">
        <v>99</v>
      </c>
      <c r="K1" t="s">
        <v>101</v>
      </c>
      <c r="L1" t="s">
        <v>102</v>
      </c>
      <c r="M1" t="s">
        <v>66</v>
      </c>
      <c r="N1" t="s">
        <v>67</v>
      </c>
      <c r="O1" t="s">
        <v>69</v>
      </c>
      <c r="P1" t="s">
        <v>71</v>
      </c>
      <c r="Q1" t="s">
        <v>73</v>
      </c>
      <c r="R1" t="s">
        <v>75</v>
      </c>
      <c r="S1" t="s">
        <v>84</v>
      </c>
      <c r="T1" t="s">
        <v>86</v>
      </c>
      <c r="U1" t="s">
        <v>90</v>
      </c>
      <c r="V1" t="s">
        <v>94</v>
      </c>
      <c r="W1" t="s">
        <v>95</v>
      </c>
      <c r="X1" t="s">
        <v>100</v>
      </c>
    </row>
    <row r="2" spans="1:24" x14ac:dyDescent="0.4">
      <c r="A2" t="s">
        <v>103</v>
      </c>
      <c r="B2" t="s">
        <v>103</v>
      </c>
      <c r="C2" t="s">
        <v>103</v>
      </c>
      <c r="D2" t="s">
        <v>103</v>
      </c>
      <c r="E2">
        <v>0</v>
      </c>
      <c r="F2">
        <v>0</v>
      </c>
      <c r="G2">
        <v>0</v>
      </c>
      <c r="H2">
        <v>0</v>
      </c>
      <c r="I2" s="3">
        <v>1</v>
      </c>
      <c r="J2" t="s">
        <v>103</v>
      </c>
      <c r="K2" t="s">
        <v>103</v>
      </c>
      <c r="L2" t="s">
        <v>111</v>
      </c>
      <c r="M2" t="s">
        <v>103</v>
      </c>
      <c r="N2" t="s">
        <v>103</v>
      </c>
      <c r="O2" t="s">
        <v>103</v>
      </c>
      <c r="P2" t="s">
        <v>103</v>
      </c>
      <c r="Q2" t="s">
        <v>111</v>
      </c>
      <c r="R2">
        <v>0</v>
      </c>
      <c r="S2" s="12">
        <v>0</v>
      </c>
      <c r="T2" t="s">
        <v>103</v>
      </c>
      <c r="U2" t="s">
        <v>103</v>
      </c>
      <c r="V2" t="s">
        <v>111</v>
      </c>
      <c r="W2" s="3">
        <v>1</v>
      </c>
      <c r="X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
  <sheetViews>
    <sheetView workbookViewId="0">
      <pane ySplit="1" topLeftCell="A2" activePane="bottomLeft" state="frozen"/>
      <selection pane="bottomLeft" activeCell="A2" sqref="A2"/>
    </sheetView>
  </sheetViews>
  <sheetFormatPr defaultRowHeight="16.8" x14ac:dyDescent="0.4"/>
  <cols>
    <col min="1" max="1" width="18.296875" customWidth="1"/>
  </cols>
  <sheetData>
    <row r="1" spans="1:39" x14ac:dyDescent="0.4">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84</v>
      </c>
      <c r="V1" t="s">
        <v>85</v>
      </c>
      <c r="W1" t="s">
        <v>86</v>
      </c>
      <c r="X1" t="s">
        <v>87</v>
      </c>
      <c r="Y1" t="s">
        <v>88</v>
      </c>
      <c r="Z1" t="s">
        <v>89</v>
      </c>
      <c r="AA1" t="s">
        <v>90</v>
      </c>
      <c r="AB1" t="s">
        <v>91</v>
      </c>
      <c r="AC1" t="s">
        <v>92</v>
      </c>
      <c r="AD1" t="s">
        <v>93</v>
      </c>
      <c r="AE1" t="s">
        <v>94</v>
      </c>
      <c r="AF1" t="s">
        <v>95</v>
      </c>
      <c r="AG1" t="s">
        <v>96</v>
      </c>
      <c r="AH1" t="s">
        <v>97</v>
      </c>
      <c r="AI1" t="s">
        <v>98</v>
      </c>
      <c r="AJ1" t="s">
        <v>99</v>
      </c>
      <c r="AK1" t="s">
        <v>100</v>
      </c>
      <c r="AL1" t="s">
        <v>101</v>
      </c>
      <c r="AM1" t="s">
        <v>102</v>
      </c>
    </row>
    <row r="2" spans="1:39" x14ac:dyDescent="0.4">
      <c r="A2" t="s">
        <v>103</v>
      </c>
      <c r="B2" s="2">
        <v>0</v>
      </c>
      <c r="C2" t="s">
        <v>103</v>
      </c>
      <c r="D2" t="s">
        <v>103</v>
      </c>
      <c r="E2" t="s">
        <v>103</v>
      </c>
      <c r="F2" t="s">
        <v>103</v>
      </c>
      <c r="G2" t="s">
        <v>103</v>
      </c>
      <c r="H2" t="s">
        <v>103</v>
      </c>
      <c r="I2" t="s">
        <v>103</v>
      </c>
      <c r="J2" s="2">
        <v>0</v>
      </c>
      <c r="K2" t="s">
        <v>103</v>
      </c>
      <c r="L2" s="2">
        <v>0</v>
      </c>
      <c r="M2" t="s">
        <v>103</v>
      </c>
      <c r="N2" t="s">
        <v>103</v>
      </c>
      <c r="O2" t="s">
        <v>103</v>
      </c>
      <c r="P2" t="s">
        <v>103</v>
      </c>
      <c r="Q2" t="s">
        <v>103</v>
      </c>
      <c r="R2" t="s">
        <v>103</v>
      </c>
      <c r="S2" t="s">
        <v>103</v>
      </c>
      <c r="T2" t="s">
        <v>103</v>
      </c>
      <c r="U2" s="3">
        <v>0</v>
      </c>
      <c r="V2" t="s">
        <v>103</v>
      </c>
      <c r="W2" t="s">
        <v>103</v>
      </c>
      <c r="X2" t="s">
        <v>103</v>
      </c>
      <c r="Y2" t="s">
        <v>103</v>
      </c>
      <c r="Z2" t="s">
        <v>103</v>
      </c>
      <c r="AA2" t="s">
        <v>103</v>
      </c>
      <c r="AB2" t="s">
        <v>103</v>
      </c>
      <c r="AC2" s="4">
        <v>0</v>
      </c>
      <c r="AD2" s="2">
        <v>0</v>
      </c>
      <c r="AE2" s="2">
        <v>0</v>
      </c>
      <c r="AF2" t="s">
        <v>103</v>
      </c>
      <c r="AG2" s="4">
        <v>0</v>
      </c>
      <c r="AH2" s="4">
        <v>0</v>
      </c>
      <c r="AI2" t="s">
        <v>103</v>
      </c>
      <c r="AJ2" t="s">
        <v>103</v>
      </c>
      <c r="AK2" s="4">
        <v>0</v>
      </c>
      <c r="AL2" t="s">
        <v>103</v>
      </c>
      <c r="AM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796875" customWidth="1"/>
    <col min="2" max="2" width="11.2968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8" x14ac:dyDescent="0.4"/>
  <cols>
    <col min="1" max="1" width="10" customWidth="1"/>
    <col min="2" max="2" width="17.2968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8" x14ac:dyDescent="0.4"/>
  <cols>
    <col min="1" max="1" width="25.59765625" customWidth="1"/>
    <col min="2" max="2" width="40.59765625" customWidth="1"/>
    <col min="3" max="3" width="5.59765625" customWidth="1"/>
    <col min="4" max="4" width="25.59765625" customWidth="1"/>
    <col min="5" max="5" width="40.59765625" customWidth="1"/>
    <col min="6" max="6" width="5.59765625" customWidth="1"/>
    <col min="7" max="7" width="25.59765625" customWidth="1"/>
    <col min="8" max="8" width="40.59765625" customWidth="1"/>
    <col min="9" max="9" width="5.59765625" customWidth="1"/>
    <col min="10" max="10" width="40.59765625" customWidth="1"/>
    <col min="11" max="11" width="25.5976562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73F939-2D26-4184-8741-C3FE019BCF3B}">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$DeferralSummaryPurchPrint$</vt:lpstr>
      <vt:lpstr>$DefSummaryPurchAnalysis$</vt:lpstr>
      <vt:lpstr>$AboutTheReportLabel$</vt:lpstr>
      <vt:lpstr>DeferralSummaryPurch_Query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2025-06-04T22:56:47Z</cp:lastPrinted>
  <dcterms:modified xsi:type="dcterms:W3CDTF">2026-02-23T03:34:45Z</dcterms:modified>
</cp:coreProperties>
</file>
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Repos\Gold\Yellowstone.BaseApplication\App\Layers\W1\BaseApp\Finance\Deferral\"/>
    </mc:Choice>
  </mc:AlternateContent>
  <xr:revisionPtr revIDLastSave="0" documentId="13_ncr:1_{E149946F-CDF9-4C24-9C37-3CB6D6D01D10}" xr6:coauthVersionLast="47" xr6:coauthVersionMax="47" xr10:uidLastSave="{00000000-0000-0000-0000-000000000000}"/>
  <bookViews>
    <workbookView xWindow="-108" yWindow="-108" windowWidth="30936" windowHeight="16776" xr2:uid="{00000000-000D-0000-FFFF-FFFF00000000}"/>
  </bookViews>
  <sheets>
    <sheet name="$DeferralSummarySalesPrint$" sheetId="6" r:id="rId1"/>
    <sheet name="$DefSummarySalesAnalysis$" sheetId="8" r:id="rId2"/>
    <sheet name="$AboutTheReportLabel$" sheetId="7" r:id="rId3"/>
    <sheet name="DeferralSalesSummary_Query" sheetId="5" state="hidden" r:id="rId4"/>
    <sheet name="Data" sheetId="1" state="hidden" r:id="rId5"/>
    <sheet name="TranslationData" sheetId="2" state="hidden" r:id="rId6"/>
    <sheet name="CaptionData" sheetId="3" state="hidden" r:id="rId7"/>
    <sheet name="Aggregated Metadata" sheetId="4" state="hidden" r:id="rId8"/>
  </sheets>
  <definedNames>
    <definedName name="Caption.AboutTheReportLabel" comment="Use this function to get the AboutTheReportLabel from the CaptionData table in the CaptionData worksheet">_xlfn.XLOOKUP("AboutTheReportLabel",#REF!,#REF!,"none",)</definedName>
    <definedName name="Caption.Capacity" comment="Use this function to get the Capacity from the CaptionData table in the CaptionData worksheet">_xlfn.XLOOKUP("Capacity",#REF!,#REF!,"none",)</definedName>
    <definedName name="Caption.CompanyLabel" comment="Use this function to get the CompanyLabel from the CaptionData table in the CaptionData worksheet">_xlfn.XLOOKUP("CompanyLabel",#REF!,#REF!,"none",)</definedName>
    <definedName name="Caption.Consumption" comment="Use this function to get the Consumption from the CaptionData table in the CaptionData worksheet">_xlfn.XLOOKUP("Consumption",#REF!,#REF!,"none",)</definedName>
    <definedName name="Caption.CostPostedToGL" comment="Use this function to get the CostPostedToGL from the CaptionData table in the CaptionData worksheet">_xlfn.XLOOKUP("CostPostedToGL",#REF!,#REF!,"none",)</definedName>
    <definedName name="Caption.CurrReportPageNo" comment="Use this function to get the CurrReportPageNo from the CaptionData table in the CaptionData worksheet">_xlfn.XLOOKUP("CurrReportPageNo",#REF!,#REF!,"none",)</definedName>
    <definedName name="Caption.Desc_ProductionOrder" comment="Use this function to get the Desc_ProductionOrder from the CaptionData table in the CaptionData worksheet">_xlfn.XLOOKUP("Desc_ProductionOrder",#REF!,#REF!,"none",)</definedName>
    <definedName name="Caption.DocumentationLabel" comment="Use this function to get the DocumentationLabel from the CaptionData table in the CaptionData worksheet">_xlfn.XLOOKUP("DocumentationLabel",#REF!,#REF!,"none",)</definedName>
    <definedName name="Caption.EndDate" comment="Use this function to get the EndDate from the CaptionData table in the CaptionData worksheet">_xlfn.XLOOKUP("EndDate",#REF!,#REF!,"none",)</definedName>
    <definedName name="Caption.EndDateHeader" comment="Use this function to get the EndDateHeader from the CaptionData table in the CaptionData worksheet">_xlfn.XLOOKUP("EndDateHeader",#REF!,#REF!,"none",)</definedName>
    <definedName name="Caption.EnvironmentLabel" comment="Use this function to get the EnvironmentLabel from the CaptionData table in the CaptionData worksheet">_xlfn.XLOOKUP("EnvironmentLabel",#REF!,#REF!,"none",)</definedName>
    <definedName name="Caption.InventoryValuationWIP" comment="Use this function to get the InventoryValuationWIP from the CaptionData table in the CaptionData worksheet">_xlfn.XLOOKUP("InventoryValuationWIP",#REF!,#REF!,"none",)</definedName>
    <definedName name="Caption.No_ProductionOrder" comment="Use this function to get the No_ProductionOrder from the CaptionData table in the CaptionData worksheet">_xlfn.XLOOKUP("No_ProductionOrder",#REF!,#REF!,"none",)</definedName>
    <definedName name="Caption.Output" comment="Use this function to get the Output from the CaptionData table in the CaptionData worksheet">_xlfn.XLOOKUP("Output",#REF!,#REF!,"none",)</definedName>
    <definedName name="Caption.ProdOrderWipLabel" comment="Use this function to get the ProdOrderWipLabel from the CaptionData table in the CaptionData worksheet">_xlfn.XLOOKUP("ProdOrderWipLabel",#REF!,#REF!,"none",)</definedName>
    <definedName name="Caption.ProdOrderWipPrintLabel" comment="Use this function to get the ProdOrderWipPrintLabel from the CaptionData table in the CaptionData worksheet">_xlfn.XLOOKUP("ProdOrderWipPrintLabel",#REF!,#REF!,"none",)</definedName>
    <definedName name="Caption.ReportNameLabel" comment="Use this function to get the ReportNameLabel from the CaptionData table in the CaptionData worksheet">_xlfn.XLOOKUP("ReportNameLabel",#REF!,#REF!,"none",)</definedName>
    <definedName name="Caption.RunOnLabel" comment="Use this function to get the RunOnLabel from the CaptionData table in the CaptionData worksheet">_xlfn.XLOOKUP("RunOnLabel",#REF!,#REF!,"none",)</definedName>
    <definedName name="Caption.SourceNo_ProductionOrder" comment="Use this function to get the SourceNo_ProductionOrder from the CaptionData table in the CaptionData worksheet">_xlfn.XLOOKUP("SourceNo_ProductionOrder",#REF!,#REF!,"none",)</definedName>
    <definedName name="Caption.SrcType_ProductionOrder" comment="Use this function to get the SrcType_ProductionOrder from the CaptionData table in the CaptionData worksheet">_xlfn.XLOOKUP("SrcType_ProductionOrder",#REF!,#REF!,"none",)</definedName>
    <definedName name="Caption.StartDate" comment="Use this function to get the StartDate from the CaptionData table in the CaptionData worksheet">_xlfn.XLOOKUP("StartDate",#REF!,#REF!,"none",)</definedName>
    <definedName name="Caption.StartDateHeader" comment="Use this function to get the StartDateHeader from the CaptionData table in the CaptionData worksheet">_xlfn.XLOOKUP("StartDateHeader",#REF!,#REF!,"none",)</definedName>
    <definedName name="Caption.Status_ProductionOrder" comment="Use this function to get the Status_ProductionOrder from the CaptionData table in the CaptionData worksheet">_xlfn.XLOOKUP("Status_ProductionOrder",#REF!,#REF!,"none",)</definedName>
    <definedName name="Caption.Total" comment="Use this function to get the Total from the CaptionData table in the CaptionData worksheet">_xlfn.XLOOKUP("Total",#REF!,#REF!,"none",)</definedName>
    <definedName name="Caption.UserLabel" comment="Use this function to get the UserLabel from the CaptionData table in the CaptionData worksheet">_xlfn.XLOOKUP("UserLabel",#REF!,#REF!,"none",)</definedName>
    <definedName name="DataRetrieved">#REF!</definedName>
    <definedName name="DateFilter" xml:space="preserve"> _xlfn.XLOOKUP("DateFilter",#REF!,#REF!)</definedName>
    <definedName name="DuplicateEndDateFilter" xml:space="preserve"> _xlfn.XLOOKUP("BalanceAsOfDateFilter",#REF!,#REF!)</definedName>
    <definedName name="EndDateFilter" localSheetId="1">_xlfn.XLOOKUP("BalanceAsOfDateFilter", ReportRequestPageValues[Request Page Option], ReportRequestPageValues[Request Page Option Value])</definedName>
    <definedName name="EndDateFilter">_xlfn.XLOOKUP("BalanceAsOfDateFilter", ReportRequestPageValues[Request Page Option], ReportRequestPageValues[Request Page Option Value])</definedName>
    <definedName name="ExternalData_1" localSheetId="3" hidden="1">DeferralSalesSummary_Query!$A$1:$T$2</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comment="Use this function to get the Date (Local) from the ReportRequestValues table in the Aggregated Metadata worksheet"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CustName">#N/A</definedName>
    <definedName name="Slicer_DeferralAccount">#N/A</definedName>
    <definedName name="Slicer_Document_No">#N/A</definedName>
    <definedName name="Slicer_DocumentTypeString">#N/A</definedName>
    <definedName name="Slicer_LineDescription">#N/A</definedName>
    <definedName name="Slicer_LineType">#N/A</definedName>
    <definedName name="StartDate" xml:space="preserve"> _xlfn.XLOOKUP("StartDate",#REF!,#REF!)</definedName>
  </definedNames>
  <calcPr calcId="191029"/>
  <pivotCaches>
    <pivotCache cacheId="1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6" l="1" a="1"/>
  <c r="N4" i="6" s="1"/>
  <c r="B7" i="7"/>
  <c r="B6" i="7" a="1"/>
  <c r="B6" i="7" s="1"/>
  <c r="B5" i="7" a="1"/>
  <c r="B5" i="7" s="1"/>
  <c r="B4" i="7" a="1"/>
  <c r="B4" i="7" s="1"/>
  <c r="B3" i="7" a="1"/>
  <c r="B3" i="7" s="1"/>
  <c r="B2" i="7" a="1"/>
  <c r="B2" i="7" s="1"/>
  <c r="B1" i="7" a="1"/>
  <c r="B1" i="7" s="1"/>
  <c r="C4" i="6" a="1"/>
  <c r="C4" i="6" s="1"/>
  <c r="B4" i="6" a="1"/>
  <c r="B4" i="6" s="1"/>
  <c r="M4" i="6" a="1"/>
  <c r="M4" i="6" s="1"/>
  <c r="N2" i="6" a="1"/>
  <c r="N2"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CB3A94-FBCD-46CB-826D-C3A7BF19E850}" keepAlive="1" name="Query - DeferralSalesSummary_Query" description="Connection to the 'DeferralSalesSummary_Query' query in the workbook." type="5" refreshedVersion="8" refreshOnLoad="1" saveData="1">
    <dbPr connection="Provider=Microsoft.Mashup.OleDb.1;Data Source=$Workbook$;Location=DeferralSalesSummary_Query;Extended Properties=&quot;&quot;" command="SELECT * FROM [DeferralSalesSummary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<sst xmlns="http://schemas.openxmlformats.org/spreadsheetml/2006/main" count="208" uniqueCount="127">
  <si>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</si>
  <si>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</si>
  <si>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</si>
  <si>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</si>
  <si>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</si>
  <si>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</si>
  <si>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</si>
  <si>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</si>
  <si>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</si>
  <si>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</si>
  <si>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</si>
  <si>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</si>
  <si>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</si>
  <si>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</si>
  <si>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</si>
  <si>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</si>
  <si>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</si>
  <si>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</si>
  <si>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</si>
  <si>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</si>
  <si>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</si>
  <si>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</si>
  <si>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</si>
  <si>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</si>
  <si>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</si>
  <si>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</si>
  <si>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</si>
  <si>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</si>
  <si>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</si>
  <si>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</si>
  <si>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</si>
  <si>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</si>
  <si>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</si>
  <si>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</si>
  <si>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</si>
  <si>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</si>
  <si>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</si>
  <si>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</si>
  <si>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</si>
  <si>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</si>
  <si>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</si>
  <si>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</si>
  <si>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</si>
  <si>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</si>
  <si>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</si>
  <si>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</si>
  <si>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</si>
  <si>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</si>
  <si>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</si>
  <si>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</si>
  <si>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</si>
  <si>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</si>
  <si>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</si>
  <si>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</si>
  <si>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</si>
  <si>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</si>
  <si>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</si>
  <si>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</si>
  <si>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</si>
  <si>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</si>
  <si>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</si>
  <si>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</si>
  <si>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</si>
  <si>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</si>
  <si>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CompanyName</t>
  </si>
  <si>
    <t>PageGroupNo</t>
  </si>
  <si>
    <t>GLAccTableCaption</t>
  </si>
  <si>
    <t>GLFilter</t>
  </si>
  <si>
    <t>EmptyString</t>
  </si>
  <si>
    <t>CustomerFilter</t>
  </si>
  <si>
    <t>CustNo</t>
  </si>
  <si>
    <t>No_GLAcc</t>
  </si>
  <si>
    <t>Document_No</t>
  </si>
  <si>
    <t>Document_Type</t>
  </si>
  <si>
    <t>DocumentTypeString</t>
  </si>
  <si>
    <t>Line_No</t>
  </si>
  <si>
    <t>DeferralSummarySalesCaption</t>
  </si>
  <si>
    <t>PageCaption</t>
  </si>
  <si>
    <t>BalanceCaption</t>
  </si>
  <si>
    <t>PeriodCaption</t>
  </si>
  <si>
    <t>GLBalCaption</t>
  </si>
  <si>
    <t>RemAmtDefCaption</t>
  </si>
  <si>
    <t>TotAmtDefCaption</t>
  </si>
  <si>
    <t>BalanceAsOfDateCaption</t>
  </si>
  <si>
    <t>BalanceAsOfDateFilter</t>
  </si>
  <si>
    <t>DocumentCaption</t>
  </si>
  <si>
    <t>DocumentFilter</t>
  </si>
  <si>
    <t>CustomerCaption</t>
  </si>
  <si>
    <t>AccountNoCaption</t>
  </si>
  <si>
    <t>AmtRecognizedCaption</t>
  </si>
  <si>
    <t>AccountName</t>
  </si>
  <si>
    <t>CustName</t>
  </si>
  <si>
    <t>TotalAmtDeferred</t>
  </si>
  <si>
    <t>NumOfPeriods</t>
  </si>
  <si>
    <t>DocumentType</t>
  </si>
  <si>
    <t>DeferralStartDate</t>
  </si>
  <si>
    <t>AmtRecognized</t>
  </si>
  <si>
    <t>RemainingAmtDeferred</t>
  </si>
  <si>
    <t>PostingDate</t>
  </si>
  <si>
    <t>DeferralAccount</t>
  </si>
  <si>
    <t>Amount</t>
  </si>
  <si>
    <t>LineDescription</t>
  </si>
  <si>
    <t>LineType</t>
  </si>
  <si>
    <t/>
  </si>
  <si>
    <t>0</t>
  </si>
  <si>
    <t>$DeferralSummarySalesLabel$</t>
  </si>
  <si>
    <t>Grand Total</t>
  </si>
  <si>
    <t>$CustNo$</t>
  </si>
  <si>
    <t>$CustName$</t>
  </si>
  <si>
    <t>$PostingDate$</t>
  </si>
  <si>
    <t>$Document_No$</t>
  </si>
  <si>
    <t>$DocType$</t>
  </si>
  <si>
    <t>$LineType$</t>
  </si>
  <si>
    <t>$LineDesc$</t>
  </si>
  <si>
    <t>$DeferralAccount$</t>
  </si>
  <si>
    <t>$NumOfPeriods$</t>
  </si>
  <si>
    <t>$EnvironmentLabel$</t>
  </si>
  <si>
    <t>$CompanyLabel$</t>
  </si>
  <si>
    <t>$UserLabel$</t>
  </si>
  <si>
    <t>$RunOnLabel$</t>
  </si>
  <si>
    <t>$ReportNameLabel$</t>
  </si>
  <si>
    <t>$DocumentationLabel$</t>
  </si>
  <si>
    <t>$AmountRecognized$</t>
  </si>
  <si>
    <t>$DefStartDate$</t>
  </si>
  <si>
    <t>$RemAmountDef$</t>
  </si>
  <si>
    <t>$TotalAmountDef$</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</si>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</sst>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4" x14ac:knownFonts="1">
    <font>
      <sz val="11"/>
      <name val="Segoe UI"/>
      <family val="2"/>
      <scheme val="minor"/>
    </font>
    <font>
      <sz val="11"/>
      <color theme="1"/>
      <name val="Segoe UI"/>
      <family val="2"/>
      <scheme val="minor"/>
    </font>
    <font>
      <b/>
      <sz val="11"/>
      <name val="Segoe UI"/>
      <family val="2"/>
      <scheme val="minor"/>
    </font>
    <font>
      <sz val="10"/>
      <color rgb="FF212121"/>
      <name val="Segoe UI"/>
      <family val="2"/>
      <scheme val="minor"/>
    </font>
    <font>
      <b/>
      <sz val="13"/>
      <color theme="1"/>
      <name val="Segoe UI"/>
      <family val="2"/>
      <scheme val="minor"/>
    </font>
    <font>
      <b/>
      <sz val="10"/>
      <color theme="1"/>
      <name val="Segoe UI Semibold"/>
      <family val="2"/>
      <scheme val="major"/>
    </font>
    <font>
      <b/>
      <sz val="18"/>
      <color rgb="FF212121"/>
      <name val="Segoe UI Semibold"/>
      <family val="2"/>
      <scheme val="major"/>
    </font>
    <font>
      <sz val="10"/>
      <color theme="1"/>
      <name val="Segoe UI"/>
      <family val="2"/>
      <scheme val="minor"/>
    </font>
    <font>
      <sz val="10"/>
      <name val="Segoe UI"/>
      <family val="2"/>
      <scheme val="minor"/>
    </font>
    <font>
      <sz val="10"/>
      <color theme="1"/>
      <name val="Segoe UI Semibold"/>
      <family val="2"/>
      <scheme val="major"/>
    </font>
    <font>
      <u/>
      <sz val="11"/>
      <color theme="10"/>
      <name val="Segoe UI"/>
      <family val="2"/>
      <scheme val="minor"/>
    </font>
    <font>
      <u/>
      <sz val="10"/>
      <color theme="10"/>
      <name val="Segoe UI"/>
      <family val="2"/>
      <scheme val="minor"/>
    </font>
    <font>
      <sz val="14"/>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4">
    <xf numFmtId="0" fontId="0" fillId="0" borderId="0"/>
    <xf numFmtId="0" fontId="4" fillId="0" borderId="1" applyNumberFormat="0" applyFill="0" applyAlignment="0" applyProtection="0"/>
    <xf numFmtId="0" fontId="1" fillId="0" borderId="0"/>
    <xf numFmtId="0" fontId="10" fillId="0" borderId="0" applyNumberFormat="0" applyFill="0" applyBorder="0" applyAlignment="0" applyProtection="0"/>
  </cellStyleXfs>
  <cellXfs count="29">
    <xf numFmtId="0" fontId="0" fillId="0" borderId="0" xfId="0"/>
    <xf numFmtId="49" fontId="2" fillId="2" borderId="0" xfId="0" applyNumberFormat="1" applyFont="1" applyFill="1"/>
    <xf numFmtId="1" fontId="0" fillId="0" borderId="0" xfId="0" applyNumberFormat="1"/>
    <xf numFmtId="14" fontId="0" fillId="0" borderId="0" xfId="0" applyNumberFormat="1"/>
    <xf numFmtId="4" fontId="0" fillId="0" borderId="0" xfId="0" applyNumberFormat="1"/>
    <xf numFmtId="22" fontId="0" fillId="0" borderId="0" xfId="0" applyNumberFormat="1"/>
    <xf numFmtId="164" fontId="3" fillId="0" borderId="0" xfId="0" applyNumberFormat="1" applyFont="1" applyAlignment="1">
      <alignment horizontal="right" vertical="center"/>
    </xf>
    <xf numFmtId="0" fontId="3" fillId="0" borderId="0" xfId="0" applyFont="1" applyAlignment="1">
      <alignment horizontal="right" vertical="center"/>
    </xf>
    <xf numFmtId="0" fontId="5" fillId="0" borderId="1" xfId="1" applyFont="1" applyAlignment="1">
      <alignment horizontal="right" vertical="center"/>
    </xf>
    <xf numFmtId="0" fontId="6" fillId="0" borderId="0" xfId="2" applyFont="1" applyAlignment="1">
      <alignment vertical="center"/>
    </xf>
    <xf numFmtId="0" fontId="7" fillId="0" borderId="0" xfId="0" applyFont="1" applyAlignment="1">
      <alignment horizontal="left" vertical="center"/>
    </xf>
    <xf numFmtId="14" fontId="7" fillId="0" borderId="0" xfId="0" applyNumberFormat="1" applyFont="1" applyAlignment="1">
      <alignment horizontal="left" vertical="center"/>
    </xf>
    <xf numFmtId="0" fontId="8" fillId="0" borderId="0" xfId="0" applyFont="1" applyAlignment="1">
      <alignment vertical="center"/>
    </xf>
    <xf numFmtId="14" fontId="8" fillId="0" borderId="0" xfId="0" applyNumberFormat="1" applyFont="1" applyAlignment="1">
      <alignment vertical="center"/>
    </xf>
    <xf numFmtId="0" fontId="8" fillId="0" borderId="0" xfId="0" applyFont="1" applyAlignment="1">
      <alignment horizontal="right" vertical="center"/>
    </xf>
    <xf numFmtId="0" fontId="0" fillId="0" borderId="0" xfId="0" applyAlignment="1">
      <alignment vertical="center"/>
    </xf>
    <xf numFmtId="0" fontId="9" fillId="0" borderId="0" xfId="0" applyFont="1" applyAlignment="1">
      <alignment vertical="center"/>
    </xf>
    <xf numFmtId="0" fontId="12" fillId="0" borderId="0" xfId="0" applyFont="1" applyAlignment="1">
      <alignment vertical="center"/>
    </xf>
    <xf numFmtId="0" fontId="8" fillId="0" borderId="0" xfId="0" applyFont="1" applyAlignment="1">
      <alignment horizontal="left" vertical="center"/>
    </xf>
    <xf numFmtId="164" fontId="8" fillId="0" borderId="0" xfId="0" applyNumberFormat="1" applyFont="1" applyAlignment="1">
      <alignment horizontal="left" vertical="center"/>
    </xf>
    <xf numFmtId="165" fontId="8" fillId="0" borderId="0" xfId="0" applyNumberFormat="1" applyFont="1" applyAlignment="1">
      <alignment horizontal="left" vertical="center"/>
    </xf>
    <xf numFmtId="0" fontId="11" fillId="0" borderId="0" xfId="3" applyFont="1" applyAlignment="1">
      <alignment horizontal="left" vertical="center"/>
    </xf>
    <xf numFmtId="0" fontId="13" fillId="0" borderId="0" xfId="0" pivotButton="1" applyFont="1" applyAlignment="1">
      <alignment vertical="center"/>
    </xf>
    <xf numFmtId="0" fontId="13" fillId="0" borderId="0" xfId="0" pivotButton="1" applyFont="1" applyAlignment="1">
      <alignment horizontal="right" vertical="center"/>
    </xf>
    <xf numFmtId="0" fontId="13" fillId="0" borderId="0" xfId="0" applyFont="1" applyAlignment="1">
      <alignment horizontal="right" vertical="center"/>
    </xf>
    <xf numFmtId="0" fontId="8" fillId="0" borderId="0" xfId="0" applyNumberFormat="1" applyFont="1" applyAlignment="1">
      <alignment horizontal="right" vertical="center"/>
    </xf>
    <xf numFmtId="0" fontId="8" fillId="0" borderId="0" xfId="0" applyNumberFormat="1" applyFont="1" applyAlignment="1">
      <alignment vertical="center"/>
    </xf>
    <xf numFmtId="0" fontId="13" fillId="0" borderId="0" xfId="0" applyNumberFormat="1" applyFont="1" applyAlignment="1">
      <alignment vertical="center"/>
    </xf>
    <xf numFmtId="0" fontId="13" fillId="0" borderId="0" xfId="0" applyFont="1" applyAlignment="1">
      <alignment vertical="center"/>
    </xf>
  </cellXfs>
  <cellStyles count="4">
    <cellStyle name="Heading 2 2" xfId="1" xr:uid="{2D2CF118-54F1-4364-9300-1027DD8505E2}"/>
    <cellStyle name="Hyperlink" xfId="3" builtinId="8"/>
    <cellStyle name="Normal" xfId="0" builtinId="0"/>
    <cellStyle name="Normal 2" xfId="2" xr:uid="{793F05B2-CDCD-42C7-B991-84D50A113750}"/>
  </cellStyles>
  <dxfs count="300">
    <dxf>
      <font>
        <name val="Segoe UI Semibold"/>
        <scheme val="major"/>
      </font>
    </dxf>
    <dxf>
      <font>
        <name val="Segoe UI"/>
        <family val="2"/>
        <scheme val="minor"/>
      </font>
    </dxf>
    <dxf>
      <font>
        <name val="Segoe UI Semibold"/>
        <scheme val="major"/>
      </font>
    </dxf>
    <dxf>
      <font>
        <name val="Segoe UI"/>
        <family val="2"/>
        <scheme val="minor"/>
      </font>
    </dxf>
    <dxf>
      <alignment horizontal="right"/>
    </dxf>
    <dxf>
      <alignment horizontal="right"/>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font>
        <name val="Segoe UI Semibold"/>
        <scheme val="major"/>
      </font>
    </dxf>
    <dxf>
      <font>
        <name val="Segoe UI Semibold"/>
        <scheme val="major"/>
      </font>
    </dxf>
    <dxf>
      <font>
        <name val="Segoe UI Semibold"/>
        <scheme val="major"/>
      </font>
    </dxf>
    <dxf>
      <numFmt numFmtId="27" formatCode="d/mm/yyyy\ h:mm"/>
    </dxf>
    <dxf>
      <numFmt numFmtId="19" formatCode="d/mm/yyyy"/>
    </dxf>
    <dxf>
      <numFmt numFmtId="19" formatCode="d/mm/yyyy"/>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Segoe UI Semibold"/>
        <scheme val="major"/>
      </font>
    </dxf>
    <dxf>
      <font>
        <name val="Segoe UI Semibold"/>
        <scheme val="major"/>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font>
        <name val="Segoe UI Semibold"/>
        <scheme val="major"/>
      </font>
    </dxf>
    <dxf>
      <font>
        <name val="Segoe UI Semibold"/>
        <scheme val="major"/>
      </fon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border>
        <top style="thin">
          <color auto="1"/>
        </top>
        <bottom style="thin">
          <color auto="1"/>
        </bottom>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5" xr9:uid="{C240C21A-5975-45F2-8C15-D9572C183A36}">
      <tableStyleElement type="wholeTable" dxfId="299"/>
      <tableStyleElement type="headerRow" dxfId="298"/>
      <tableStyleElement type="totalRow" dxfId="297"/>
      <tableStyleElement type="secondRowStripe" dxfId="296"/>
      <tableStyleElement type="secondSubtotalRow" dxfId="295"/>
    </tableStyle>
    <tableStyle name="Business Central Reports Slicer Style (Template)" pivot="0" table="0" count="10" xr9:uid="{F46E611E-FFE6-4DB9-8A9C-9253EF7F85DA}">
      <tableStyleElement type="wholeTable" dxfId="294"/>
      <tableStyleElement type="headerRow" dxfId="293"/>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1811650</xdr:colOff>
      <xdr:row>9</xdr:row>
      <xdr:rowOff>212240</xdr:rowOff>
    </xdr:to>
    <mc:AlternateContent xmlns:mc="http://schemas.openxmlformats.org/markup-compatibility/2006" xmlns:a14="http://schemas.microsoft.com/office/drawing/2010/main">
      <mc:Choice Requires="a14">
        <xdr:graphicFrame macro="">
          <xdr:nvGraphicFramePr>
            <xdr:cNvPr id="2" name="$CustName$">
              <a:extLst>
                <a:ext uri="{FF2B5EF4-FFF2-40B4-BE49-F238E27FC236}">
                  <a16:creationId xmlns:a16="http://schemas.microsoft.com/office/drawing/2014/main" id="{DF1B1640-4062-CE44-9B0D-94C984602E4A}"/>
                </a:ext>
              </a:extLst>
            </xdr:cNvPr>
            <xdr:cNvGraphicFramePr/>
          </xdr:nvGraphicFramePr>
          <xdr:xfrm>
            <a:off x="0" y="0"/>
            <a:ext cx="0" cy="0"/>
          </xdr:xfrm>
          <a:graphic>
            <a:graphicData uri="http://schemas.microsoft.com/office/drawing/2010/slicer">
              <sle:slicer xmlns:sle="http://schemas.microsoft.com/office/drawing/2010/slicer" name="$CustName$"/>
            </a:graphicData>
          </a:graphic>
        </xdr:graphicFrame>
      </mc:Choice>
      <mc:Fallback xmlns="">
        <xdr:sp macro="" textlink="">
          <xdr:nvSpPr>
            <xdr:cNvPr id="0" name=""/>
            <xdr:cNvSpPr>
              <a:spLocks noTextEdit="1"/>
            </xdr:cNvSpPr>
          </xdr:nvSpPr>
          <xdr:spPr>
            <a:xfrm>
              <a:off x="0" y="0"/>
              <a:ext cx="1815460" cy="261508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1851660</xdr:colOff>
      <xdr:row>0</xdr:row>
      <xdr:rowOff>0</xdr:rowOff>
    </xdr:from>
    <xdr:to>
      <xdr:col>0</xdr:col>
      <xdr:colOff>3659500</xdr:colOff>
      <xdr:row>9</xdr:row>
      <xdr:rowOff>228750</xdr:rowOff>
    </xdr:to>
    <mc:AlternateContent xmlns:mc="http://schemas.openxmlformats.org/markup-compatibility/2006" xmlns:a14="http://schemas.microsoft.com/office/drawing/2010/main">
      <mc:Choice Requires="a14">
        <xdr:graphicFrame macro="">
          <xdr:nvGraphicFramePr>
            <xdr:cNvPr id="3" name="$Document_No$">
              <a:extLst>
                <a:ext uri="{FF2B5EF4-FFF2-40B4-BE49-F238E27FC236}">
                  <a16:creationId xmlns:a16="http://schemas.microsoft.com/office/drawing/2014/main" id="{3FD29C7F-53B9-E6BB-4637-2AFADEAA7DF0}"/>
                </a:ext>
              </a:extLst>
            </xdr:cNvPr>
            <xdr:cNvGraphicFramePr/>
          </xdr:nvGraphicFramePr>
          <xdr:xfrm>
            <a:off x="0" y="0"/>
            <a:ext cx="0" cy="0"/>
          </xdr:xfrm>
          <a:graphic>
            <a:graphicData uri="http://schemas.microsoft.com/office/drawing/2010/slicer">
              <sle:slicer xmlns:sle="http://schemas.microsoft.com/office/drawing/2010/slicer" name="$Document_No$"/>
            </a:graphicData>
          </a:graphic>
        </xdr:graphicFrame>
      </mc:Choice>
      <mc:Fallback xmlns="">
        <xdr:sp macro="" textlink="">
          <xdr:nvSpPr>
            <xdr:cNvPr id="0" name=""/>
            <xdr:cNvSpPr>
              <a:spLocks noTextEdit="1"/>
            </xdr:cNvSpPr>
          </xdr:nvSpPr>
          <xdr:spPr>
            <a:xfrm>
              <a:off x="1859280" y="0"/>
              <a:ext cx="1800220" cy="26227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10</xdr:row>
      <xdr:rowOff>2540</xdr:rowOff>
    </xdr:from>
    <xdr:to>
      <xdr:col>0</xdr:col>
      <xdr:colOff>1811650</xdr:colOff>
      <xdr:row>19</xdr:row>
      <xdr:rowOff>222400</xdr:rowOff>
    </xdr:to>
    <mc:AlternateContent xmlns:mc="http://schemas.openxmlformats.org/markup-compatibility/2006" xmlns:a14="http://schemas.microsoft.com/office/drawing/2010/main">
      <mc:Choice Requires="a14">
        <xdr:graphicFrame macro="">
          <xdr:nvGraphicFramePr>
            <xdr:cNvPr id="4" name="$DocType$">
              <a:extLst>
                <a:ext uri="{FF2B5EF4-FFF2-40B4-BE49-F238E27FC236}">
                  <a16:creationId xmlns:a16="http://schemas.microsoft.com/office/drawing/2014/main" id="{8CCDB5B0-30E1-D137-FA3B-1ADC64BCE650}"/>
                </a:ext>
              </a:extLst>
            </xdr:cNvPr>
            <xdr:cNvGraphicFramePr/>
          </xdr:nvGraphicFramePr>
          <xdr:xfrm>
            <a:off x="0" y="0"/>
            <a:ext cx="0" cy="0"/>
          </xdr:xfrm>
          <a:graphic>
            <a:graphicData uri="http://schemas.microsoft.com/office/drawing/2010/slicer">
              <sle:slicer xmlns:sle="http://schemas.microsoft.com/office/drawing/2010/slicer" name="$DocType$"/>
            </a:graphicData>
          </a:graphic>
        </xdr:graphicFrame>
      </mc:Choice>
      <mc:Fallback xmlns="">
        <xdr:sp macro="" textlink="">
          <xdr:nvSpPr>
            <xdr:cNvPr id="0" name=""/>
            <xdr:cNvSpPr>
              <a:spLocks noTextEdit="1"/>
            </xdr:cNvSpPr>
          </xdr:nvSpPr>
          <xdr:spPr>
            <a:xfrm>
              <a:off x="0" y="2661920"/>
              <a:ext cx="1815460" cy="262397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20</xdr:row>
      <xdr:rowOff>0</xdr:rowOff>
    </xdr:from>
    <xdr:to>
      <xdr:col>0</xdr:col>
      <xdr:colOff>1816730</xdr:colOff>
      <xdr:row>29</xdr:row>
      <xdr:rowOff>210970</xdr:rowOff>
    </xdr:to>
    <mc:AlternateContent xmlns:mc="http://schemas.openxmlformats.org/markup-compatibility/2006" xmlns:a14="http://schemas.microsoft.com/office/drawing/2010/main">
      <mc:Choice Requires="a14">
        <xdr:graphicFrame macro="">
          <xdr:nvGraphicFramePr>
            <xdr:cNvPr id="5" name="$LineType$">
              <a:extLst>
                <a:ext uri="{FF2B5EF4-FFF2-40B4-BE49-F238E27FC236}">
                  <a16:creationId xmlns:a16="http://schemas.microsoft.com/office/drawing/2014/main" id="{8CD3D2AB-4A7E-13CD-089D-34AE658BDDC9}"/>
                </a:ext>
              </a:extLst>
            </xdr:cNvPr>
            <xdr:cNvGraphicFramePr/>
          </xdr:nvGraphicFramePr>
          <xdr:xfrm>
            <a:off x="0" y="0"/>
            <a:ext cx="0" cy="0"/>
          </xdr:xfrm>
          <a:graphic>
            <a:graphicData uri="http://schemas.microsoft.com/office/drawing/2010/slicer">
              <sle:slicer xmlns:sle="http://schemas.microsoft.com/office/drawing/2010/slicer" name="$LineType$"/>
            </a:graphicData>
          </a:graphic>
        </xdr:graphicFrame>
      </mc:Choice>
      <mc:Fallback xmlns="">
        <xdr:sp macro="" textlink="">
          <xdr:nvSpPr>
            <xdr:cNvPr id="0" name=""/>
            <xdr:cNvSpPr>
              <a:spLocks noTextEdit="1"/>
            </xdr:cNvSpPr>
          </xdr:nvSpPr>
          <xdr:spPr>
            <a:xfrm>
              <a:off x="0" y="5328920"/>
              <a:ext cx="1814190" cy="260619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1852930</xdr:colOff>
      <xdr:row>20</xdr:row>
      <xdr:rowOff>0</xdr:rowOff>
    </xdr:from>
    <xdr:to>
      <xdr:col>0</xdr:col>
      <xdr:colOff>3659500</xdr:colOff>
      <xdr:row>29</xdr:row>
      <xdr:rowOff>208430</xdr:rowOff>
    </xdr:to>
    <mc:AlternateContent xmlns:mc="http://schemas.openxmlformats.org/markup-compatibility/2006" xmlns:a14="http://schemas.microsoft.com/office/drawing/2010/main">
      <mc:Choice Requires="a14">
        <xdr:graphicFrame macro="">
          <xdr:nvGraphicFramePr>
            <xdr:cNvPr id="6" name="$LineDesc$">
              <a:extLst>
                <a:ext uri="{FF2B5EF4-FFF2-40B4-BE49-F238E27FC236}">
                  <a16:creationId xmlns:a16="http://schemas.microsoft.com/office/drawing/2014/main" id="{7229BACC-BF18-5148-3FE1-7DB0FD696FA8}"/>
                </a:ext>
              </a:extLst>
            </xdr:cNvPr>
            <xdr:cNvGraphicFramePr/>
          </xdr:nvGraphicFramePr>
          <xdr:xfrm>
            <a:off x="0" y="0"/>
            <a:ext cx="0" cy="0"/>
          </xdr:xfrm>
          <a:graphic>
            <a:graphicData uri="http://schemas.microsoft.com/office/drawing/2010/slicer">
              <sle:slicer xmlns:sle="http://schemas.microsoft.com/office/drawing/2010/slicer" name="$LineDesc$"/>
            </a:graphicData>
          </a:graphic>
        </xdr:graphicFrame>
      </mc:Choice>
      <mc:Fallback xmlns="">
        <xdr:sp macro="" textlink="">
          <xdr:nvSpPr>
            <xdr:cNvPr id="0" name=""/>
            <xdr:cNvSpPr>
              <a:spLocks noTextEdit="1"/>
            </xdr:cNvSpPr>
          </xdr:nvSpPr>
          <xdr:spPr>
            <a:xfrm>
              <a:off x="1856740" y="5328920"/>
              <a:ext cx="1802760" cy="261127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1849120</xdr:colOff>
      <xdr:row>10</xdr:row>
      <xdr:rowOff>2540</xdr:rowOff>
    </xdr:from>
    <xdr:to>
      <xdr:col>0</xdr:col>
      <xdr:colOff>3681090</xdr:colOff>
      <xdr:row>19</xdr:row>
      <xdr:rowOff>218590</xdr:rowOff>
    </xdr:to>
    <mc:AlternateContent xmlns:mc="http://schemas.openxmlformats.org/markup-compatibility/2006" xmlns:a14="http://schemas.microsoft.com/office/drawing/2010/main">
      <mc:Choice Requires="a14">
        <xdr:graphicFrame macro="">
          <xdr:nvGraphicFramePr>
            <xdr:cNvPr id="7" name="$DeferralAccount$">
              <a:extLst>
                <a:ext uri="{FF2B5EF4-FFF2-40B4-BE49-F238E27FC236}">
                  <a16:creationId xmlns:a16="http://schemas.microsoft.com/office/drawing/2014/main" id="{078A1E52-77FC-3D8B-607D-DFE525A94264}"/>
                </a:ext>
              </a:extLst>
            </xdr:cNvPr>
            <xdr:cNvGraphicFramePr/>
          </xdr:nvGraphicFramePr>
          <xdr:xfrm>
            <a:off x="0" y="0"/>
            <a:ext cx="0" cy="0"/>
          </xdr:xfrm>
          <a:graphic>
            <a:graphicData uri="http://schemas.microsoft.com/office/drawing/2010/slicer">
              <sle:slicer xmlns:sle="http://schemas.microsoft.com/office/drawing/2010/slicer" name="$DeferralAccount$"/>
            </a:graphicData>
          </a:graphic>
        </xdr:graphicFrame>
      </mc:Choice>
      <mc:Fallback xmlns="">
        <xdr:sp macro="" textlink="">
          <xdr:nvSpPr>
            <xdr:cNvPr id="0" name=""/>
            <xdr:cNvSpPr>
              <a:spLocks noTextEdit="1"/>
            </xdr:cNvSpPr>
          </xdr:nvSpPr>
          <xdr:spPr>
            <a:xfrm>
              <a:off x="1858010" y="2661920"/>
              <a:ext cx="1820540" cy="262651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eline Soerjonoto" refreshedDate="46076.607682638889" createdVersion="8" refreshedVersion="8" minRefreshableVersion="3" recordCount="1" xr:uid="{32A7630B-49FB-410E-99D9-902298E4E6FA}">
  <cacheSource type="worksheet">
    <worksheetSource name="DeferralSalesSummary_Query"/>
  </cacheSource>
  <cacheFields count="20">
    <cacheField name="CustNo" numFmtId="0">
      <sharedItems count="1">
        <s v=""/>
      </sharedItems>
    </cacheField>
    <cacheField name="CustName" numFmtId="0">
      <sharedItems count="1">
        <s v=""/>
      </sharedItems>
    </cacheField>
    <cacheField name="PostingDate" numFmtId="14">
      <sharedItems containsSemiMixedTypes="0" containsNonDate="0" containsDate="1" containsString="0" minDate="1899-12-31T00:00:00" maxDate="1900-01-01T00:00:00" count="1">
        <d v="1899-12-31T00:00:00"/>
      </sharedItems>
    </cacheField>
    <cacheField name="Document_No" numFmtId="0">
      <sharedItems count="1">
        <s v=""/>
      </sharedItems>
    </cacheField>
    <cacheField name="DocumentTypeString" numFmtId="0">
      <sharedItems count="1">
        <s v=""/>
      </sharedItems>
    </cacheField>
    <cacheField name="LineType" numFmtId="0">
      <sharedItems count="1">
        <s v="0"/>
      </sharedItems>
    </cacheField>
    <cacheField name="LineDescription" numFmtId="0">
      <sharedItems count="1">
        <s v=""/>
      </sharedItems>
    </cacheField>
    <cacheField name="DeferralAccount" numFmtId="0">
      <sharedItems count="1">
        <s v=""/>
      </sharedItems>
    </cacheField>
    <cacheField name="DeferralStartDate" numFmtId="14">
      <sharedItems containsSemiMixedTypes="0" containsNonDate="0" containsDate="1" containsString="0" minDate="1899-12-31T00:00:00" maxDate="1900-01-01T00:00:00" count="1">
        <d v="1899-12-31T00:00:00"/>
      </sharedItems>
    </cacheField>
    <cacheField name="NumOfPeriods" numFmtId="0">
      <sharedItems containsSemiMixedTypes="0" containsString="0" containsNumber="1" containsInteger="1" minValue="0" maxValue="0" count="1">
        <n v="0"/>
      </sharedItems>
    </cacheField>
    <cacheField name="AmtRecognized" numFmtId="0">
      <sharedItems containsSemiMixedTypes="0" containsString="0" containsNumber="1" containsInteger="1" minValue="0" maxValue="0"/>
    </cacheField>
    <cacheField name="RemainingAmtDeferred" numFmtId="0">
      <sharedItems containsSemiMixedTypes="0" containsString="0" containsNumber="1" containsInteger="1" minValue="0" maxValue="0"/>
    </cacheField>
    <cacheField name="TotalAmtDeferred" numFmtId="0">
      <sharedItems containsSemiMixedTypes="0" containsString="0" containsNumber="1" containsInteger="1" minValue="0" maxValue="0"/>
    </cacheField>
    <cacheField name="No_GLAcc" numFmtId="0">
      <sharedItems/>
    </cacheField>
    <cacheField name="Line_No" numFmtId="0">
      <sharedItems containsSemiMixedTypes="0" containsString="0" containsNumber="1" containsInteger="1" minValue="0" maxValue="0"/>
    </cacheField>
    <cacheField name="BalanceAsOfDateFilter" numFmtId="22">
      <sharedItems containsSemiMixedTypes="0" containsNonDate="0" containsDate="1" containsString="0" minDate="1899-12-30T00:00:00" maxDate="1899-12-31T00:00:00"/>
    </cacheField>
    <cacheField name="DocumentFilter" numFmtId="0">
      <sharedItems/>
    </cacheField>
    <cacheField name="AccountName" numFmtId="0">
      <sharedItems/>
    </cacheField>
    <cacheField name="DocumentType" numFmtId="0">
      <sharedItems/>
    </cacheField>
    <cacheField name="Amount"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649830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n v="0"/>
    <n v="0"/>
    <n v="0"/>
    <s v=""/>
    <n v="0"/>
    <d v="1899-12-30T00:00:00"/>
    <s v=""/>
    <s v=""/>
    <s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5CD304-31D1-4F08-9E33-5C2093BE8390}" name="PivotTable1" cacheId="13"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6:N9" firstHeaderRow="0" firstDataRow="1" firstDataCol="10"/>
  <pivotFields count="20">
    <pivotField name="$CustNo$" axis="axisRow" compact="0" outline="0" showAll="0" defaultSubtotal="0">
      <items count="1">
        <item x="0"/>
      </items>
    </pivotField>
    <pivotField name="$CustName$" axis="axisRow" compact="0" outline="0" showAll="0">
      <items count="2">
        <item x="0"/>
        <item t="default"/>
      </items>
    </pivotField>
    <pivotField name="$PostingDate$" axis="axisRow" compact="0" numFmtId="14" outline="0" showAll="0" defaultSubtotal="0">
      <items count="1">
        <item x="0"/>
      </items>
    </pivotField>
    <pivotField name="$Document_No$" axis="axisRow" compact="0" outline="0" showAll="0" defaultSubtotal="0">
      <items count="1">
        <item x="0"/>
      </items>
    </pivotField>
    <pivotField name="$DocType$" axis="axisRow" compact="0" outline="0" showAll="0" defaultSubtotal="0">
      <items count="1">
        <item x="0"/>
      </items>
    </pivotField>
    <pivotField name="$LineType$" axis="axisRow" compact="0" outline="0" showAll="0" defaultSubtotal="0">
      <items count="1">
        <item x="0"/>
      </items>
    </pivotField>
    <pivotField name="$LineDesc$" axis="axisRow" compact="0" outline="0" showAll="0" defaultSubtotal="0">
      <items count="1">
        <item x="0"/>
      </items>
    </pivotField>
    <pivotField name="$DeferralAccount$" axis="axisRow" compact="0" outline="0" showAll="0" defaultSubtotal="0">
      <items count="1">
        <item x="0"/>
      </items>
    </pivotField>
    <pivotField name="$DefStartDate$" axis="axisRow" compact="0" numFmtId="14" outline="0" showAll="0" defaultSubtotal="0">
      <items count="1">
        <item x="0"/>
      </items>
    </pivotField>
    <pivotField name="$NumOfPeriods$"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0">
    <field x="0"/>
    <field x="1"/>
    <field x="2"/>
    <field x="3"/>
    <field x="4"/>
    <field x="5"/>
    <field x="6"/>
    <field x="7"/>
    <field x="8"/>
    <field x="9"/>
  </rowFields>
  <rowItems count="3">
    <i>
      <x/>
      <x/>
      <x/>
      <x/>
      <x/>
      <x/>
      <x/>
      <x/>
      <x/>
      <x/>
    </i>
    <i t="default" r="1">
      <x/>
    </i>
    <i t="grand">
      <x/>
    </i>
  </rowItems>
  <colFields count="1">
    <field x="-2"/>
  </colFields>
  <colItems count="3">
    <i>
      <x/>
    </i>
    <i i="1">
      <x v="1"/>
    </i>
    <i i="2">
      <x v="2"/>
    </i>
  </colItems>
  <dataFields count="3">
    <dataField name="$AmountRecognized$" fld="10" baseField="0" baseItem="0"/>
    <dataField name="$RemAmountDef$" fld="11" baseField="0" baseItem="0"/>
    <dataField name="$TotalAmountDef$" fld="12" baseField="0" baseItem="0"/>
  </dataFields>
  <formats count="68">
    <format dxfId="292">
      <pivotArea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selected="0"/>
        </references>
      </pivotArea>
    </format>
    <format dxfId="291">
      <pivotArea field="9" type="button" dataOnly="0" labelOnly="1" outline="0" axis="axisRow" fieldPosition="9"/>
    </format>
    <format dxfId="290">
      <pivotArea dataOnly="0" labelOnly="1"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references>
      </pivotArea>
    </format>
    <format dxfId="289">
      <pivotArea dataOnly="0" labelOnly="1" outline="0" fieldPosition="0">
        <references count="1">
          <reference field="4294967294" count="3">
            <x v="0"/>
            <x v="1"/>
            <x v="2"/>
          </reference>
        </references>
      </pivotArea>
    </format>
    <format dxfId="288">
      <pivotArea field="0" type="button" dataOnly="0" labelOnly="1" outline="0" axis="axisRow" fieldPosition="0"/>
    </format>
    <format dxfId="287">
      <pivotArea field="1" type="button" dataOnly="0" labelOnly="1" outline="0" axis="axisRow" fieldPosition="1"/>
    </format>
    <format dxfId="286">
      <pivotArea field="2" type="button" dataOnly="0" labelOnly="1" outline="0" axis="axisRow" fieldPosition="2"/>
    </format>
    <format dxfId="285">
      <pivotArea field="3" type="button" dataOnly="0" labelOnly="1" outline="0" axis="axisRow" fieldPosition="3"/>
    </format>
    <format dxfId="284">
      <pivotArea field="4" type="button" dataOnly="0" labelOnly="1" outline="0" axis="axisRow" fieldPosition="4"/>
    </format>
    <format dxfId="283">
      <pivotArea field="5" type="button" dataOnly="0" labelOnly="1" outline="0" axis="axisRow" fieldPosition="5"/>
    </format>
    <format dxfId="282">
      <pivotArea field="6" type="button" dataOnly="0" labelOnly="1" outline="0" axis="axisRow" fieldPosition="6"/>
    </format>
    <format dxfId="281">
      <pivotArea field="7" type="button" dataOnly="0" labelOnly="1" outline="0" axis="axisRow" fieldPosition="7"/>
    </format>
    <format dxfId="280">
      <pivotArea field="8" type="button" dataOnly="0" labelOnly="1" outline="0" axis="axisRow" fieldPosition="8"/>
    </format>
    <format dxfId="279">
      <pivotArea field="9" type="button" dataOnly="0" labelOnly="1" outline="0" axis="axisRow" fieldPosition="9"/>
    </format>
    <format dxfId="278">
      <pivotArea dataOnly="0" labelOnly="1" outline="0" fieldPosition="0">
        <references count="1">
          <reference field="4294967294" count="3">
            <x v="0"/>
            <x v="1"/>
            <x v="2"/>
          </reference>
        </references>
      </pivotArea>
    </format>
    <format dxfId="277">
      <pivotArea type="all" dataOnly="0" outline="0" fieldPosition="0"/>
    </format>
    <format dxfId="276">
      <pivotArea outline="0" collapsedLevelsAreSubtotals="1" fieldPosition="0"/>
    </format>
    <format dxfId="275">
      <pivotArea field="0" type="button" dataOnly="0" labelOnly="1" outline="0" axis="axisRow" fieldPosition="0"/>
    </format>
    <format dxfId="274">
      <pivotArea field="1" type="button" dataOnly="0" labelOnly="1" outline="0" axis="axisRow" fieldPosition="1"/>
    </format>
    <format dxfId="273">
      <pivotArea field="2" type="button" dataOnly="0" labelOnly="1" outline="0" axis="axisRow" fieldPosition="2"/>
    </format>
    <format dxfId="272">
      <pivotArea field="3" type="button" dataOnly="0" labelOnly="1" outline="0" axis="axisRow" fieldPosition="3"/>
    </format>
    <format dxfId="271">
      <pivotArea field="4" type="button" dataOnly="0" labelOnly="1" outline="0" axis="axisRow" fieldPosition="4"/>
    </format>
    <format dxfId="270">
      <pivotArea field="5" type="button" dataOnly="0" labelOnly="1" outline="0" axis="axisRow" fieldPosition="5"/>
    </format>
    <format dxfId="269">
      <pivotArea field="6" type="button" dataOnly="0" labelOnly="1" outline="0" axis="axisRow" fieldPosition="6"/>
    </format>
    <format dxfId="268">
      <pivotArea field="7" type="button" dataOnly="0" labelOnly="1" outline="0" axis="axisRow" fieldPosition="7"/>
    </format>
    <format dxfId="267">
      <pivotArea field="8" type="button" dataOnly="0" labelOnly="1" outline="0" axis="axisRow" fieldPosition="8"/>
    </format>
    <format dxfId="266">
      <pivotArea field="9" type="button" dataOnly="0" labelOnly="1" outline="0" axis="axisRow" fieldPosition="9"/>
    </format>
    <format dxfId="265">
      <pivotArea dataOnly="0" labelOnly="1" outline="0" fieldPosition="0">
        <references count="1">
          <reference field="0" count="0"/>
        </references>
      </pivotArea>
    </format>
    <format dxfId="264">
      <pivotArea dataOnly="0" labelOnly="1" grandRow="1" outline="0" fieldPosition="0"/>
    </format>
    <format dxfId="263">
      <pivotArea dataOnly="0" labelOnly="1" outline="0" fieldPosition="0">
        <references count="2">
          <reference field="0" count="0" selected="0"/>
          <reference field="1" count="0"/>
        </references>
      </pivotArea>
    </format>
    <format dxfId="262">
      <pivotArea dataOnly="0" labelOnly="1" outline="0" fieldPosition="0">
        <references count="3">
          <reference field="0" count="0" selected="0"/>
          <reference field="1" count="0" selected="0"/>
          <reference field="2" count="0"/>
        </references>
      </pivotArea>
    </format>
    <format dxfId="261">
      <pivotArea dataOnly="0" labelOnly="1" outline="0" fieldPosition="0">
        <references count="4">
          <reference field="0" count="0" selected="0"/>
          <reference field="1" count="0" selected="0"/>
          <reference field="2" count="0" selected="0"/>
          <reference field="3" count="0"/>
        </references>
      </pivotArea>
    </format>
    <format dxfId="260">
      <pivotArea dataOnly="0" labelOnly="1" outline="0" fieldPosition="0">
        <references count="5">
          <reference field="0" count="0" selected="0"/>
          <reference field="1" count="0" selected="0"/>
          <reference field="2" count="0" selected="0"/>
          <reference field="3" count="0" selected="0"/>
          <reference field="4" count="0"/>
        </references>
      </pivotArea>
    </format>
    <format dxfId="259">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258">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6" count="0"/>
        </references>
      </pivotArea>
    </format>
    <format dxfId="257">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7" count="0"/>
        </references>
      </pivotArea>
    </format>
    <format dxfId="256">
      <pivotArea dataOnly="0" labelOnly="1" outline="0" fieldPosition="0">
        <references count="9">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references>
      </pivotArea>
    </format>
    <format dxfId="255">
      <pivotArea dataOnly="0" labelOnly="1"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references>
      </pivotArea>
    </format>
    <format dxfId="254">
      <pivotArea dataOnly="0" labelOnly="1" outline="0" fieldPosition="0">
        <references count="1">
          <reference field="4294967294" count="3">
            <x v="0"/>
            <x v="1"/>
            <x v="2"/>
          </reference>
        </references>
      </pivotArea>
    </format>
    <format dxfId="253">
      <pivotArea type="all" dataOnly="0" outline="0" fieldPosition="0"/>
    </format>
    <format dxfId="252">
      <pivotArea outline="0" collapsedLevelsAreSubtotals="1" fieldPosition="0"/>
    </format>
    <format dxfId="251">
      <pivotArea field="0" type="button" dataOnly="0" labelOnly="1" outline="0" axis="axisRow" fieldPosition="0"/>
    </format>
    <format dxfId="250">
      <pivotArea field="1" type="button" dataOnly="0" labelOnly="1" outline="0" axis="axisRow" fieldPosition="1"/>
    </format>
    <format dxfId="249">
      <pivotArea field="2" type="button" dataOnly="0" labelOnly="1" outline="0" axis="axisRow" fieldPosition="2"/>
    </format>
    <format dxfId="248">
      <pivotArea field="3" type="button" dataOnly="0" labelOnly="1" outline="0" axis="axisRow" fieldPosition="3"/>
    </format>
    <format dxfId="247">
      <pivotArea field="4" type="button" dataOnly="0" labelOnly="1" outline="0" axis="axisRow" fieldPosition="4"/>
    </format>
    <format dxfId="246">
      <pivotArea field="5" type="button" dataOnly="0" labelOnly="1" outline="0" axis="axisRow" fieldPosition="5"/>
    </format>
    <format dxfId="245">
      <pivotArea field="6" type="button" dataOnly="0" labelOnly="1" outline="0" axis="axisRow" fieldPosition="6"/>
    </format>
    <format dxfId="244">
      <pivotArea field="7" type="button" dataOnly="0" labelOnly="1" outline="0" axis="axisRow" fieldPosition="7"/>
    </format>
    <format dxfId="243">
      <pivotArea field="8" type="button" dataOnly="0" labelOnly="1" outline="0" axis="axisRow" fieldPosition="8"/>
    </format>
    <format dxfId="242">
      <pivotArea field="9" type="button" dataOnly="0" labelOnly="1" outline="0" axis="axisRow" fieldPosition="9"/>
    </format>
    <format dxfId="241">
      <pivotArea dataOnly="0" labelOnly="1" outline="0" fieldPosition="0">
        <references count="1">
          <reference field="0" count="0"/>
        </references>
      </pivotArea>
    </format>
    <format dxfId="240">
      <pivotArea dataOnly="0" labelOnly="1" grandRow="1" outline="0" fieldPosition="0"/>
    </format>
    <format dxfId="239">
      <pivotArea dataOnly="0" labelOnly="1" outline="0" fieldPosition="0">
        <references count="2">
          <reference field="0" count="0" selected="0"/>
          <reference field="1" count="0"/>
        </references>
      </pivotArea>
    </format>
    <format dxfId="238">
      <pivotArea dataOnly="0" labelOnly="1" outline="0" fieldPosition="0">
        <references count="3">
          <reference field="0" count="0" selected="0"/>
          <reference field="1" count="0" selected="0"/>
          <reference field="2" count="0"/>
        </references>
      </pivotArea>
    </format>
    <format dxfId="237">
      <pivotArea dataOnly="0" labelOnly="1" outline="0" fieldPosition="0">
        <references count="4">
          <reference field="0" count="0" selected="0"/>
          <reference field="1" count="0" selected="0"/>
          <reference field="2" count="0" selected="0"/>
          <reference field="3" count="0"/>
        </references>
      </pivotArea>
    </format>
    <format dxfId="236">
      <pivotArea dataOnly="0" labelOnly="1" outline="0" fieldPosition="0">
        <references count="5">
          <reference field="0" count="0" selected="0"/>
          <reference field="1" count="0" selected="0"/>
          <reference field="2" count="0" selected="0"/>
          <reference field="3" count="0" selected="0"/>
          <reference field="4" count="0"/>
        </references>
      </pivotArea>
    </format>
    <format dxfId="235">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234">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6" count="0"/>
        </references>
      </pivotArea>
    </format>
    <format dxfId="233">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7" count="0"/>
        </references>
      </pivotArea>
    </format>
    <format dxfId="232">
      <pivotArea dataOnly="0" labelOnly="1" outline="0" fieldPosition="0">
        <references count="9">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references>
      </pivotArea>
    </format>
    <format dxfId="231">
      <pivotArea dataOnly="0" labelOnly="1"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references>
      </pivotArea>
    </format>
    <format dxfId="230">
      <pivotArea dataOnly="0" labelOnly="1" outline="0" fieldPosition="0">
        <references count="1">
          <reference field="4294967294" count="3">
            <x v="0"/>
            <x v="1"/>
            <x v="2"/>
          </reference>
        </references>
      </pivotArea>
    </format>
    <format dxfId="229">
      <pivotArea field="2" type="button" dataOnly="0" labelOnly="1" outline="0" axis="axisRow" fieldPosition="2"/>
    </format>
    <format dxfId="228">
      <pivotArea field="8" type="button" dataOnly="0" labelOnly="1" outline="0" axis="axisRow" fieldPosition="8"/>
    </format>
    <format dxfId="227">
      <pivotArea outline="0" fieldPosition="0">
        <references count="2">
          <reference field="0" count="0" selected="0"/>
          <reference field="1" count="0" selected="0" defaultSubtotal="1"/>
        </references>
      </pivotArea>
    </format>
    <format dxfId="226">
      <pivotArea dataOnly="0" labelOnly="1" outline="0" fieldPosition="0">
        <references count="2">
          <reference field="0" count="0" selected="0"/>
          <reference field="1" count="0" defaultSubtotal="1"/>
        </references>
      </pivotArea>
    </format>
    <format dxfId="3">
      <pivotArea dataOnly="0" labelOnly="1" outline="0" fieldPosition="0">
        <references count="1">
          <reference field="0" count="0"/>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438CFE-DAD1-4615-A408-3E2AF6E2A064}" name="PivotTable1" cacheId="13"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N4" firstHeaderRow="0" firstDataRow="1" firstDataCol="10"/>
  <pivotFields count="20">
    <pivotField name="$CustNo$" axis="axisRow" compact="0" outline="0" showAll="0" defaultSubtotal="0">
      <items count="1">
        <item x="0"/>
      </items>
    </pivotField>
    <pivotField name="$CustName$" axis="axisRow" compact="0" outline="0" showAll="0">
      <items count="2">
        <item x="0"/>
        <item t="default"/>
      </items>
    </pivotField>
    <pivotField name="$PostingDate$" axis="axisRow" compact="0" numFmtId="14" outline="0" showAll="0" defaultSubtotal="0">
      <items count="1">
        <item x="0"/>
      </items>
    </pivotField>
    <pivotField name="$Document_No$" axis="axisRow" compact="0" outline="0" showAll="0" defaultSubtotal="0">
      <items count="1">
        <item x="0"/>
      </items>
    </pivotField>
    <pivotField name="$DocType$" axis="axisRow" compact="0" outline="0" showAll="0" defaultSubtotal="0">
      <items count="1">
        <item x="0"/>
      </items>
    </pivotField>
    <pivotField name="$LineType$" axis="axisRow" compact="0" outline="0" showAll="0" defaultSubtotal="0">
      <items count="1">
        <item x="0"/>
      </items>
    </pivotField>
    <pivotField name="$LineDesc$" axis="axisRow" compact="0" outline="0" showAll="0" defaultSubtotal="0">
      <items count="1">
        <item x="0"/>
      </items>
    </pivotField>
    <pivotField name="$DeferralAccount$" axis="axisRow" compact="0" outline="0" showAll="0" defaultSubtotal="0">
      <items count="1">
        <item x="0"/>
      </items>
    </pivotField>
    <pivotField name="$DefStartDate$" axis="axisRow" compact="0" numFmtId="14" outline="0" showAll="0" defaultSubtotal="0">
      <items count="1">
        <item x="0"/>
      </items>
    </pivotField>
    <pivotField name="$NumOfPeriods$"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0">
    <field x="0"/>
    <field x="1"/>
    <field x="2"/>
    <field x="3"/>
    <field x="4"/>
    <field x="5"/>
    <field x="6"/>
    <field x="7"/>
    <field x="8"/>
    <field x="9"/>
  </rowFields>
  <rowItems count="3">
    <i>
      <x/>
      <x/>
      <x/>
      <x/>
      <x/>
      <x/>
      <x/>
      <x/>
      <x/>
      <x/>
    </i>
    <i t="default" r="1">
      <x/>
    </i>
    <i t="grand">
      <x/>
    </i>
  </rowItems>
  <colFields count="1">
    <field x="-2"/>
  </colFields>
  <colItems count="3">
    <i>
      <x/>
    </i>
    <i i="1">
      <x v="1"/>
    </i>
    <i i="2">
      <x v="2"/>
    </i>
  </colItems>
  <dataFields count="3">
    <dataField name="$AmountRecognized$" fld="10" baseField="0" baseItem="0"/>
    <dataField name="$RemAmountDef$" fld="11" baseField="0" baseItem="0"/>
    <dataField name="$TotalAmountDef$" fld="12" baseField="0" baseItem="0"/>
  </dataFields>
  <formats count="68">
    <format dxfId="225">
      <pivotArea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selected="0"/>
        </references>
      </pivotArea>
    </format>
    <format dxfId="224">
      <pivotArea field="9" type="button" dataOnly="0" labelOnly="1" outline="0" axis="axisRow" fieldPosition="9"/>
    </format>
    <format dxfId="223">
      <pivotArea dataOnly="0" labelOnly="1"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references>
      </pivotArea>
    </format>
    <format dxfId="222">
      <pivotArea dataOnly="0" labelOnly="1" outline="0" fieldPosition="0">
        <references count="1">
          <reference field="4294967294" count="3">
            <x v="0"/>
            <x v="1"/>
            <x v="2"/>
          </reference>
        </references>
      </pivotArea>
    </format>
    <format dxfId="221">
      <pivotArea field="0" type="button" dataOnly="0" labelOnly="1" outline="0" axis="axisRow" fieldPosition="0"/>
    </format>
    <format dxfId="220">
      <pivotArea field="1" type="button" dataOnly="0" labelOnly="1" outline="0" axis="axisRow" fieldPosition="1"/>
    </format>
    <format dxfId="219">
      <pivotArea field="2" type="button" dataOnly="0" labelOnly="1" outline="0" axis="axisRow" fieldPosition="2"/>
    </format>
    <format dxfId="218">
      <pivotArea field="3" type="button" dataOnly="0" labelOnly="1" outline="0" axis="axisRow" fieldPosition="3"/>
    </format>
    <format dxfId="217">
      <pivotArea field="4" type="button" dataOnly="0" labelOnly="1" outline="0" axis="axisRow" fieldPosition="4"/>
    </format>
    <format dxfId="216">
      <pivotArea field="5" type="button" dataOnly="0" labelOnly="1" outline="0" axis="axisRow" fieldPosition="5"/>
    </format>
    <format dxfId="215">
      <pivotArea field="6" type="button" dataOnly="0" labelOnly="1" outline="0" axis="axisRow" fieldPosition="6"/>
    </format>
    <format dxfId="214">
      <pivotArea field="7" type="button" dataOnly="0" labelOnly="1" outline="0" axis="axisRow" fieldPosition="7"/>
    </format>
    <format dxfId="213">
      <pivotArea field="8" type="button" dataOnly="0" labelOnly="1" outline="0" axis="axisRow" fieldPosition="8"/>
    </format>
    <format dxfId="212">
      <pivotArea field="9" type="button" dataOnly="0" labelOnly="1" outline="0" axis="axisRow" fieldPosition="9"/>
    </format>
    <format dxfId="211">
      <pivotArea dataOnly="0" labelOnly="1" outline="0" fieldPosition="0">
        <references count="1">
          <reference field="4294967294" count="3">
            <x v="0"/>
            <x v="1"/>
            <x v="2"/>
          </reference>
        </references>
      </pivotArea>
    </format>
    <format dxfId="210">
      <pivotArea type="all" dataOnly="0" outline="0" fieldPosition="0"/>
    </format>
    <format dxfId="209">
      <pivotArea outline="0" collapsedLevelsAreSubtotals="1" fieldPosition="0"/>
    </format>
    <format dxfId="208">
      <pivotArea field="0" type="button" dataOnly="0" labelOnly="1" outline="0" axis="axisRow" fieldPosition="0"/>
    </format>
    <format dxfId="207">
      <pivotArea field="1" type="button" dataOnly="0" labelOnly="1" outline="0" axis="axisRow" fieldPosition="1"/>
    </format>
    <format dxfId="206">
      <pivotArea field="2" type="button" dataOnly="0" labelOnly="1" outline="0" axis="axisRow" fieldPosition="2"/>
    </format>
    <format dxfId="205">
      <pivotArea field="3" type="button" dataOnly="0" labelOnly="1" outline="0" axis="axisRow" fieldPosition="3"/>
    </format>
    <format dxfId="204">
      <pivotArea field="4" type="button" dataOnly="0" labelOnly="1" outline="0" axis="axisRow" fieldPosition="4"/>
    </format>
    <format dxfId="203">
      <pivotArea field="5" type="button" dataOnly="0" labelOnly="1" outline="0" axis="axisRow" fieldPosition="5"/>
    </format>
    <format dxfId="202">
      <pivotArea field="6" type="button" dataOnly="0" labelOnly="1" outline="0" axis="axisRow" fieldPosition="6"/>
    </format>
    <format dxfId="201">
      <pivotArea field="7" type="button" dataOnly="0" labelOnly="1" outline="0" axis="axisRow" fieldPosition="7"/>
    </format>
    <format dxfId="200">
      <pivotArea field="8" type="button" dataOnly="0" labelOnly="1" outline="0" axis="axisRow" fieldPosition="8"/>
    </format>
    <format dxfId="199">
      <pivotArea field="9" type="button" dataOnly="0" labelOnly="1" outline="0" axis="axisRow" fieldPosition="9"/>
    </format>
    <format dxfId="198">
      <pivotArea dataOnly="0" labelOnly="1" outline="0" fieldPosition="0">
        <references count="1">
          <reference field="0" count="0"/>
        </references>
      </pivotArea>
    </format>
    <format dxfId="197">
      <pivotArea dataOnly="0" labelOnly="1" grandRow="1" outline="0" fieldPosition="0"/>
    </format>
    <format dxfId="196">
      <pivotArea dataOnly="0" labelOnly="1" outline="0" fieldPosition="0">
        <references count="2">
          <reference field="0" count="0" selected="0"/>
          <reference field="1" count="0"/>
        </references>
      </pivotArea>
    </format>
    <format dxfId="195">
      <pivotArea dataOnly="0" labelOnly="1" outline="0" fieldPosition="0">
        <references count="3">
          <reference field="0" count="0" selected="0"/>
          <reference field="1" count="0" selected="0"/>
          <reference field="2" count="0"/>
        </references>
      </pivotArea>
    </format>
    <format dxfId="194">
      <pivotArea dataOnly="0" labelOnly="1" outline="0" fieldPosition="0">
        <references count="4">
          <reference field="0" count="0" selected="0"/>
          <reference field="1" count="0" selected="0"/>
          <reference field="2" count="0" selected="0"/>
          <reference field="3" count="0"/>
        </references>
      </pivotArea>
    </format>
    <format dxfId="193">
      <pivotArea dataOnly="0" labelOnly="1" outline="0" fieldPosition="0">
        <references count="5">
          <reference field="0" count="0" selected="0"/>
          <reference field="1" count="0" selected="0"/>
          <reference field="2" count="0" selected="0"/>
          <reference field="3" count="0" selected="0"/>
          <reference field="4" count="0"/>
        </references>
      </pivotArea>
    </format>
    <format dxfId="192">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191">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6" count="0"/>
        </references>
      </pivotArea>
    </format>
    <format dxfId="190">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7" count="0"/>
        </references>
      </pivotArea>
    </format>
    <format dxfId="189">
      <pivotArea dataOnly="0" labelOnly="1" outline="0" fieldPosition="0">
        <references count="9">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references>
      </pivotArea>
    </format>
    <format dxfId="188">
      <pivotArea dataOnly="0" labelOnly="1"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references>
      </pivotArea>
    </format>
    <format dxfId="187">
      <pivotArea dataOnly="0" labelOnly="1" outline="0" fieldPosition="0">
        <references count="1">
          <reference field="4294967294" count="3">
            <x v="0"/>
            <x v="1"/>
            <x v="2"/>
          </reference>
        </references>
      </pivotArea>
    </format>
    <format dxfId="186">
      <pivotArea type="all" dataOnly="0" outline="0" fieldPosition="0"/>
    </format>
    <format dxfId="185">
      <pivotArea outline="0" collapsedLevelsAreSubtotals="1" fieldPosition="0"/>
    </format>
    <format dxfId="184">
      <pivotArea field="0" type="button" dataOnly="0" labelOnly="1" outline="0" axis="axisRow" fieldPosition="0"/>
    </format>
    <format dxfId="183">
      <pivotArea field="1" type="button" dataOnly="0" labelOnly="1" outline="0" axis="axisRow" fieldPosition="1"/>
    </format>
    <format dxfId="182">
      <pivotArea field="2" type="button" dataOnly="0" labelOnly="1" outline="0" axis="axisRow" fieldPosition="2"/>
    </format>
    <format dxfId="181">
      <pivotArea field="3" type="button" dataOnly="0" labelOnly="1" outline="0" axis="axisRow" fieldPosition="3"/>
    </format>
    <format dxfId="180">
      <pivotArea field="4" type="button" dataOnly="0" labelOnly="1" outline="0" axis="axisRow" fieldPosition="4"/>
    </format>
    <format dxfId="179">
      <pivotArea field="5" type="button" dataOnly="0" labelOnly="1" outline="0" axis="axisRow" fieldPosition="5"/>
    </format>
    <format dxfId="178">
      <pivotArea field="6" type="button" dataOnly="0" labelOnly="1" outline="0" axis="axisRow" fieldPosition="6"/>
    </format>
    <format dxfId="177">
      <pivotArea field="7" type="button" dataOnly="0" labelOnly="1" outline="0" axis="axisRow" fieldPosition="7"/>
    </format>
    <format dxfId="176">
      <pivotArea field="8" type="button" dataOnly="0" labelOnly="1" outline="0" axis="axisRow" fieldPosition="8"/>
    </format>
    <format dxfId="175">
      <pivotArea field="9" type="button" dataOnly="0" labelOnly="1" outline="0" axis="axisRow" fieldPosition="9"/>
    </format>
    <format dxfId="174">
      <pivotArea dataOnly="0" labelOnly="1" outline="0" fieldPosition="0">
        <references count="1">
          <reference field="0" count="0"/>
        </references>
      </pivotArea>
    </format>
    <format dxfId="173">
      <pivotArea dataOnly="0" labelOnly="1" grandRow="1" outline="0" fieldPosition="0"/>
    </format>
    <format dxfId="172">
      <pivotArea dataOnly="0" labelOnly="1" outline="0" fieldPosition="0">
        <references count="2">
          <reference field="0" count="0" selected="0"/>
          <reference field="1" count="0"/>
        </references>
      </pivotArea>
    </format>
    <format dxfId="171">
      <pivotArea dataOnly="0" labelOnly="1" outline="0" fieldPosition="0">
        <references count="3">
          <reference field="0" count="0" selected="0"/>
          <reference field="1" count="0" selected="0"/>
          <reference field="2" count="0"/>
        </references>
      </pivotArea>
    </format>
    <format dxfId="170">
      <pivotArea dataOnly="0" labelOnly="1" outline="0" fieldPosition="0">
        <references count="4">
          <reference field="0" count="0" selected="0"/>
          <reference field="1" count="0" selected="0"/>
          <reference field="2" count="0" selected="0"/>
          <reference field="3" count="0"/>
        </references>
      </pivotArea>
    </format>
    <format dxfId="169">
      <pivotArea dataOnly="0" labelOnly="1" outline="0" fieldPosition="0">
        <references count="5">
          <reference field="0" count="0" selected="0"/>
          <reference field="1" count="0" selected="0"/>
          <reference field="2" count="0" selected="0"/>
          <reference field="3" count="0" selected="0"/>
          <reference field="4" count="0"/>
        </references>
      </pivotArea>
    </format>
    <format dxfId="168">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167">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6" count="0"/>
        </references>
      </pivotArea>
    </format>
    <format dxfId="166">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7" count="0"/>
        </references>
      </pivotArea>
    </format>
    <format dxfId="165">
      <pivotArea dataOnly="0" labelOnly="1" outline="0" fieldPosition="0">
        <references count="9">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references>
      </pivotArea>
    </format>
    <format dxfId="164">
      <pivotArea dataOnly="0" labelOnly="1" outline="0" fieldPosition="0">
        <references count="10">
          <reference field="0" count="0" selected="0"/>
          <reference field="1" count="0" selected="0"/>
          <reference field="2" count="0" selected="0"/>
          <reference field="3" count="0" selected="0"/>
          <reference field="4" count="0" selected="0"/>
          <reference field="5" count="0" selected="0"/>
          <reference field="6" count="0" selected="0"/>
          <reference field="7" count="0" selected="0"/>
          <reference field="8" count="0" selected="0"/>
          <reference field="9" count="0"/>
        </references>
      </pivotArea>
    </format>
    <format dxfId="163">
      <pivotArea dataOnly="0" labelOnly="1" outline="0" fieldPosition="0">
        <references count="1">
          <reference field="4294967294" count="3">
            <x v="0"/>
            <x v="1"/>
            <x v="2"/>
          </reference>
        </references>
      </pivotArea>
    </format>
    <format dxfId="162">
      <pivotArea field="2" type="button" dataOnly="0" labelOnly="1" outline="0" axis="axisRow" fieldPosition="2"/>
    </format>
    <format dxfId="161">
      <pivotArea field="8" type="button" dataOnly="0" labelOnly="1" outline="0" axis="axisRow" fieldPosition="8"/>
    </format>
    <format dxfId="160">
      <pivotArea outline="0" fieldPosition="0">
        <references count="2">
          <reference field="0" count="0" selected="0"/>
          <reference field="1" count="0" selected="0" defaultSubtotal="1"/>
        </references>
      </pivotArea>
    </format>
    <format dxfId="159">
      <pivotArea dataOnly="0" labelOnly="1" outline="0" fieldPosition="0">
        <references count="2">
          <reference field="0" count="0" selected="0"/>
          <reference field="1" count="0" defaultSubtotal="1"/>
        </references>
      </pivotArea>
    </format>
    <format dxfId="1">
      <pivotArea dataOnly="0" labelOnly="1" outline="0" fieldPosition="0">
        <references count="1">
          <reference field="0" count="0"/>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4C86610A-90CE-4EBB-B7D1-0E928EB749D2}" autoFormatId="16" applyNumberFormats="0" applyBorderFormats="0" applyFontFormats="0" applyPatternFormats="0" applyAlignmentFormats="0" applyWidthHeightFormats="0">
  <queryTableRefresh nextId="33">
    <queryTableFields count="20">
      <queryTableField id="1" name="CustNo" tableColumnId="1"/>
      <queryTableField id="9" name="CustName" tableColumnId="9"/>
      <queryTableField id="16" name="PostingDate" tableColumnId="16"/>
      <queryTableField id="3" name="Document_No" tableColumnId="3"/>
      <queryTableField id="4" name="DocumentTypeString" tableColumnId="4"/>
      <queryTableField id="20" name="LineType" tableColumnId="20"/>
      <queryTableField id="19" name="LineDescription" tableColumnId="19"/>
      <queryTableField id="17" name="DeferralAccount" tableColumnId="17"/>
      <queryTableField id="13" name="DeferralStartDate" tableColumnId="13"/>
      <queryTableField id="11" name="NumOfPeriods" tableColumnId="11"/>
      <queryTableField id="14" name="AmtRecognized" tableColumnId="14"/>
      <queryTableField id="15" name="RemainingAmtDeferred" tableColumnId="15"/>
      <queryTableField id="10" name="TotalAmtDeferred" tableColumnId="10"/>
      <queryTableField id="2" name="No_GLAcc" tableColumnId="2"/>
      <queryTableField id="5" name="Line_No" tableColumnId="5"/>
      <queryTableField id="6" name="BalanceAsOfDateFilter" tableColumnId="6"/>
      <queryTableField id="7" name="DocumentFilter" tableColumnId="7"/>
      <queryTableField id="8" name="AccountName" tableColumnId="8"/>
      <queryTableField id="12" name="DocumentType" tableColumnId="12"/>
      <queryTableField id="18" name="Amoun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Name" xr10:uid="{2827A8EF-364C-4C88-9489-261A0136C4F3}" sourceName="CustName">
  <pivotTables>
    <pivotTable tabId="8" name="PivotTable1"/>
  </pivotTables>
  <data>
    <tabular pivotCacheId="649830973"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_No" xr10:uid="{6A4F4954-00FE-4973-89D5-8B9923F8D07C}" sourceName="Document_No">
  <pivotTables>
    <pivotTable tabId="8" name="PivotTable1"/>
  </pivotTables>
  <data>
    <tabular pivotCacheId="649830973"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TypeString" xr10:uid="{9D4269F2-7E48-4EAF-A96A-FC4B586DC9C2}" sourceName="DocumentTypeString">
  <pivotTables>
    <pivotTable tabId="8" name="PivotTable1"/>
  </pivotTables>
  <data>
    <tabular pivotCacheId="649830973"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Type" xr10:uid="{88CA446F-B06A-4178-B2FA-B9AA81FF376C}" sourceName="LineType">
  <pivotTables>
    <pivotTable tabId="8" name="PivotTable1"/>
  </pivotTables>
  <data>
    <tabular pivotCacheId="649830973" showMissing="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Description" xr10:uid="{CA4578A9-39AD-4C90-A879-2C15FB6A95CF}" sourceName="LineDescription">
  <pivotTables>
    <pivotTable tabId="8" name="PivotTable1"/>
  </pivotTables>
  <data>
    <tabular pivotCacheId="649830973" showMissing="0">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rralAccount" xr10:uid="{E97B5B83-1D23-4096-981E-33F0B879753D}" sourceName="DeferralAccount">
  <pivotTables>
    <pivotTable tabId="8" name="PivotTable1"/>
  </pivotTables>
  <data>
    <tabular pivotCacheId="649830973"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Name$" xr10:uid="{6E118AE9-047C-49C0-B783-EA099E3F5B35}" cache="Slicer_CustName" caption="$CustName$" style="Business Central Reports Slicer Style (Template)" rowHeight="273050"/>
  <slicer name="$Document_No$" xr10:uid="{E6769FF6-778F-4EAA-AE1D-763E6D4DAC8A}" cache="Slicer_Document_No" caption="$Document_No$" style="Business Central Reports Slicer Style (Template)" rowHeight="273050"/>
  <slicer name="$DocType$" xr10:uid="{28EA82B3-00DB-423D-B3F0-8119B64EA43A}" cache="Slicer_DocumentTypeString" caption="$DocType$" style="Business Central Reports Slicer Style (Template)" rowHeight="273050"/>
  <slicer name="$LineType$" xr10:uid="{C2767635-5880-415E-9BAB-FD73226A6259}" cache="Slicer_LineType" caption="$LineType$" style="Business Central Reports Slicer Style (Template)" rowHeight="273050"/>
  <slicer name="$LineDesc$" xr10:uid="{9B9A6D9E-3180-477E-9254-B2C6FB53D813}" cache="Slicer_LineDescription" caption="$LineDesc$" style="Business Central Reports Slicer Style (Template)" rowHeight="273050"/>
  <slicer name="$DeferralAccount$" xr10:uid="{55671C9B-588A-4EFB-B397-B289C59E4AB1}" cache="Slicer_DeferralAccount" caption="$DeferralAccount$"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5A36B0-F642-4A03-AE43-9A71C504563C}" name="DeferralSalesSummary_Query" displayName="DeferralSalesSummary_Query" ref="A1:T2" tableType="queryTable" totalsRowShown="0">
  <autoFilter ref="A1:T2" xr:uid="{0B5A36B0-F642-4A03-AE43-9A71C504563C}"/>
  <tableColumns count="20">
    <tableColumn id="1" xr3:uid="{CBE807A5-A0E7-42A8-9609-DC93858F9437}" uniqueName="1" name="CustNo" queryTableFieldId="1" dataDxfId="158"/>
    <tableColumn id="9" xr3:uid="{35B7BB07-03FA-4949-9548-16C716F659FA}" uniqueName="9" name="CustName" queryTableFieldId="9" dataDxfId="157"/>
    <tableColumn id="16" xr3:uid="{181CC522-392B-4835-8389-DFAD7F9EFC13}" uniqueName="16" name="PostingDate" queryTableFieldId="16" dataDxfId="142"/>
    <tableColumn id="3" xr3:uid="{03165D95-9E22-4C6E-9B9D-2117B907A8AC}" uniqueName="3" name="Document_No" queryTableFieldId="3" dataDxfId="156"/>
    <tableColumn id="4" xr3:uid="{BD210668-A835-4953-A707-5834CAFBFB38}" uniqueName="4" name="DocumentTypeString" queryTableFieldId="4" dataDxfId="155"/>
    <tableColumn id="20" xr3:uid="{9852B1C4-0313-4B92-B133-6376780F20C9}" uniqueName="20" name="LineType" queryTableFieldId="20" dataDxfId="154"/>
    <tableColumn id="19" xr3:uid="{33C9BFAD-83D9-4A6A-AEEF-462AC40D89BA}" uniqueName="19" name="LineDescription" queryTableFieldId="19" dataDxfId="153"/>
    <tableColumn id="17" xr3:uid="{FD5982E1-3502-40E3-95A2-062C3DFFA313}" uniqueName="17" name="DeferralAccount" queryTableFieldId="17" dataDxfId="152"/>
    <tableColumn id="13" xr3:uid="{2403399B-DD39-4643-A882-57B9F43895AE}" uniqueName="13" name="DeferralStartDate" queryTableFieldId="13" dataDxfId="141"/>
    <tableColumn id="11" xr3:uid="{026D5B70-4C77-4E6E-976B-A9D6F8D7C378}" uniqueName="11" name="NumOfPeriods" queryTableFieldId="11"/>
    <tableColumn id="14" xr3:uid="{00FFE377-BEAE-4464-91D4-76EB9BE5577B}" uniqueName="14" name="AmtRecognized" queryTableFieldId="14"/>
    <tableColumn id="15" xr3:uid="{607BA793-765D-4310-B3F0-5DC990DA4665}" uniqueName="15" name="RemainingAmtDeferred" queryTableFieldId="15"/>
    <tableColumn id="10" xr3:uid="{B035F451-447D-44A5-AAAC-0831C82F9E3F}" uniqueName="10" name="TotalAmtDeferred" queryTableFieldId="10"/>
    <tableColumn id="2" xr3:uid="{128D4AC5-0CE0-4ECC-8A23-3EF49F0023A9}" uniqueName="2" name="No_GLAcc" queryTableFieldId="2" dataDxfId="151"/>
    <tableColumn id="5" xr3:uid="{68D7DD9D-4E6C-46F1-934D-C88C982C4733}" uniqueName="5" name="Line_No" queryTableFieldId="5"/>
    <tableColumn id="6" xr3:uid="{2B6697D9-2B87-4679-A33B-5EFFA2DCAA34}" uniqueName="6" name="BalanceAsOfDateFilter" queryTableFieldId="6" dataDxfId="140"/>
    <tableColumn id="7" xr3:uid="{A7AF9D5C-A31E-4CDD-A873-ACD6006CE9C3}" uniqueName="7" name="DocumentFilter" queryTableFieldId="7" dataDxfId="150"/>
    <tableColumn id="8" xr3:uid="{530B33E3-3EA8-4E3A-B5F9-4B940676D996}" uniqueName="8" name="AccountName" queryTableFieldId="8" dataDxfId="149"/>
    <tableColumn id="12" xr3:uid="{36C44957-829A-4A37-9375-9D8C05F49D47}" uniqueName="12" name="DocumentType" queryTableFieldId="12" dataDxfId="148"/>
    <tableColumn id="18" xr3:uid="{C0053FDC-EEFE-4397-B1CC-C507C81BA9F4}" uniqueName="18" name="Amount"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AM2" totalsRowShown="0" headerRowDxfId="147">
  <autoFilter ref="A1:AM2" xr:uid="{41D726F2-778D-4B1C-A5EA-875FED73D050}"/>
  <tableColumns count="39">
    <tableColumn id="1" xr3:uid="{21867904-D69E-41E3-B5BE-D9B124B8D7E4}" name="CompanyName"/>
    <tableColumn id="2" xr3:uid="{21867904-D69E-41E3-B5BE-D9B124B8D7E4}" name="PageGroupNo"/>
    <tableColumn id="3" xr3:uid="{21867904-D69E-41E3-B5BE-D9B124B8D7E4}" name="GLAccTableCaption"/>
    <tableColumn id="4" xr3:uid="{21867904-D69E-41E3-B5BE-D9B124B8D7E4}" name="GLFilter"/>
    <tableColumn id="5" xr3:uid="{21867904-D69E-41E3-B5BE-D9B124B8D7E4}" name="EmptyString"/>
    <tableColumn id="6" xr3:uid="{21867904-D69E-41E3-B5BE-D9B124B8D7E4}" name="CustomerFilter"/>
    <tableColumn id="7" xr3:uid="{21867904-D69E-41E3-B5BE-D9B124B8D7E4}" name="CustNo"/>
    <tableColumn id="8" xr3:uid="{21867904-D69E-41E3-B5BE-D9B124B8D7E4}" name="No_GLAcc"/>
    <tableColumn id="9" xr3:uid="{21867904-D69E-41E3-B5BE-D9B124B8D7E4}" name="Document_No"/>
    <tableColumn id="10" xr3:uid="{21867904-D69E-41E3-B5BE-D9B124B8D7E4}" name="Document_Type"/>
    <tableColumn id="11" xr3:uid="{21867904-D69E-41E3-B5BE-D9B124B8D7E4}" name="DocumentTypeString"/>
    <tableColumn id="12" xr3:uid="{21867904-D69E-41E3-B5BE-D9B124B8D7E4}" name="Line_No"/>
    <tableColumn id="13" xr3:uid="{21867904-D69E-41E3-B5BE-D9B124B8D7E4}" name="DeferralSummarySalesCaption"/>
    <tableColumn id="14" xr3:uid="{21867904-D69E-41E3-B5BE-D9B124B8D7E4}" name="PageCaption"/>
    <tableColumn id="15" xr3:uid="{21867904-D69E-41E3-B5BE-D9B124B8D7E4}" name="BalanceCaption"/>
    <tableColumn id="16" xr3:uid="{21867904-D69E-41E3-B5BE-D9B124B8D7E4}" name="PeriodCaption"/>
    <tableColumn id="17" xr3:uid="{21867904-D69E-41E3-B5BE-D9B124B8D7E4}" name="GLBalCaption"/>
    <tableColumn id="18" xr3:uid="{21867904-D69E-41E3-B5BE-D9B124B8D7E4}" name="RemAmtDefCaption"/>
    <tableColumn id="19" xr3:uid="{21867904-D69E-41E3-B5BE-D9B124B8D7E4}" name="TotAmtDefCaption"/>
    <tableColumn id="20" xr3:uid="{21867904-D69E-41E3-B5BE-D9B124B8D7E4}" name="BalanceAsOfDateCaption"/>
    <tableColumn id="21" xr3:uid="{21867904-D69E-41E3-B5BE-D9B124B8D7E4}" name="BalanceAsOfDateFilter"/>
    <tableColumn id="22" xr3:uid="{21867904-D69E-41E3-B5BE-D9B124B8D7E4}" name="DocumentCaption"/>
    <tableColumn id="23" xr3:uid="{21867904-D69E-41E3-B5BE-D9B124B8D7E4}" name="DocumentFilter"/>
    <tableColumn id="24" xr3:uid="{21867904-D69E-41E3-B5BE-D9B124B8D7E4}" name="CustomerCaption"/>
    <tableColumn id="25" xr3:uid="{21867904-D69E-41E3-B5BE-D9B124B8D7E4}" name="AccountNoCaption"/>
    <tableColumn id="26" xr3:uid="{21867904-D69E-41E3-B5BE-D9B124B8D7E4}" name="AmtRecognizedCaption"/>
    <tableColumn id="27" xr3:uid="{21867904-D69E-41E3-B5BE-D9B124B8D7E4}" name="AccountName"/>
    <tableColumn id="28" xr3:uid="{21867904-D69E-41E3-B5BE-D9B124B8D7E4}" name="CustName"/>
    <tableColumn id="29" xr3:uid="{21867904-D69E-41E3-B5BE-D9B124B8D7E4}" name="TotalAmtDeferred"/>
    <tableColumn id="30" xr3:uid="{21867904-D69E-41E3-B5BE-D9B124B8D7E4}" name="NumOfPeriods"/>
    <tableColumn id="31" xr3:uid="{21867904-D69E-41E3-B5BE-D9B124B8D7E4}" name="DocumentType"/>
    <tableColumn id="32" xr3:uid="{21867904-D69E-41E3-B5BE-D9B124B8D7E4}" name="DeferralStartDate"/>
    <tableColumn id="33" xr3:uid="{21867904-D69E-41E3-B5BE-D9B124B8D7E4}" name="AmtRecognized"/>
    <tableColumn id="34" xr3:uid="{21867904-D69E-41E3-B5BE-D9B124B8D7E4}" name="RemainingAmtDeferred"/>
    <tableColumn id="35" xr3:uid="{21867904-D69E-41E3-B5BE-D9B124B8D7E4}" name="PostingDate"/>
    <tableColumn id="36" xr3:uid="{21867904-D69E-41E3-B5BE-D9B124B8D7E4}" name="DeferralAccount"/>
    <tableColumn id="37" xr3:uid="{21867904-D69E-41E3-B5BE-D9B124B8D7E4}" name="Amount"/>
    <tableColumn id="38" xr3:uid="{21867904-D69E-41E3-B5BE-D9B124B8D7E4}" name="LineDescription"/>
    <tableColumn id="39" xr3:uid="{21867904-D69E-41E3-B5BE-D9B124B8D7E4}" name="LineTyp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146">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145">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144">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143">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7B98-EF79-491E-B4E1-0B557EAF1F08}">
  <dimension ref="A2:N9"/>
  <sheetViews>
    <sheetView showGridLines="0" tabSelected="1" workbookViewId="0"/>
  </sheetViews>
  <sheetFormatPr defaultColWidth="8.69921875" defaultRowHeight="20.399999999999999" x14ac:dyDescent="0.4"/>
  <cols>
    <col min="1" max="1" width="9.09765625" style="17" customWidth="1"/>
    <col min="2" max="2" width="13.59765625" style="15" customWidth="1"/>
    <col min="3" max="3" width="23.8984375" style="15" customWidth="1"/>
    <col min="4" max="4" width="11.296875" style="15" customWidth="1"/>
    <col min="5" max="5" width="13.796875" style="15" customWidth="1"/>
    <col min="6" max="6" width="14.796875" style="15" customWidth="1"/>
    <col min="7" max="7" width="10" style="15" customWidth="1"/>
    <col min="8" max="8" width="21.796875" style="15" customWidth="1"/>
    <col min="9" max="9" width="15.59765625" style="15" customWidth="1"/>
    <col min="10" max="10" width="15.5" style="15" customWidth="1"/>
    <col min="11" max="11" width="11.796875" style="15" customWidth="1"/>
    <col min="12" max="12" width="13.59765625" style="15" customWidth="1"/>
    <col min="13" max="13" width="20" style="15" customWidth="1"/>
    <col min="14" max="14" width="18.3984375" style="15" customWidth="1"/>
    <col min="15" max="16384" width="8.69921875" style="15"/>
  </cols>
  <sheetData>
    <row r="2" spans="2:14" ht="27.6" thickBot="1" x14ac:dyDescent="0.45">
      <c r="B2" s="9" t="s">
        <v>105</v>
      </c>
      <c r="N2" s="8" t="str" cm="1">
        <f t="array" ref="N2">ReportRequest.CompanyName</f>
        <v>Company name Value</v>
      </c>
    </row>
    <row r="3" spans="2:14" ht="21" thickTop="1" x14ac:dyDescent="0.4"/>
    <row r="4" spans="2:14" x14ac:dyDescent="0.4">
      <c r="B4" s="10" t="e" cm="1">
        <f t="array" ref="B4">IF(EndDateFilter="", "", Caption.BalAsOfDate)</f>
        <v>#N/A</v>
      </c>
      <c r="C4" s="11" t="e" cm="1">
        <f t="array" ref="C4">EndDateFilter</f>
        <v>#N/A</v>
      </c>
      <c r="M4" s="7" t="e" cm="1">
        <f t="array" ref="M4">Caption.DataRetrieved</f>
        <v>#NAME?</v>
      </c>
      <c r="N4" s="6" t="str" cm="1">
        <f t="array" ref="N4">ReportRequest.DateLocal</f>
        <v>Date (Local) Value</v>
      </c>
    </row>
    <row r="5" spans="2:14" x14ac:dyDescent="0.4">
      <c r="B5"/>
      <c r="C5"/>
      <c r="D5"/>
      <c r="E5"/>
      <c r="F5"/>
      <c r="G5"/>
      <c r="H5"/>
      <c r="I5"/>
      <c r="J5"/>
      <c r="K5"/>
      <c r="L5"/>
      <c r="M5"/>
      <c r="N5"/>
    </row>
    <row r="6" spans="2:14" x14ac:dyDescent="0.4">
      <c r="B6" s="22" t="s">
        <v>107</v>
      </c>
      <c r="C6" s="22" t="s">
        <v>108</v>
      </c>
      <c r="D6" s="23" t="s">
        <v>109</v>
      </c>
      <c r="E6" s="22" t="s">
        <v>110</v>
      </c>
      <c r="F6" s="22" t="s">
        <v>111</v>
      </c>
      <c r="G6" s="22" t="s">
        <v>112</v>
      </c>
      <c r="H6" s="22" t="s">
        <v>113</v>
      </c>
      <c r="I6" s="22" t="s">
        <v>114</v>
      </c>
      <c r="J6" s="23" t="s">
        <v>123</v>
      </c>
      <c r="K6" s="23" t="s">
        <v>115</v>
      </c>
      <c r="L6" s="24" t="s">
        <v>122</v>
      </c>
      <c r="M6" s="24" t="s">
        <v>124</v>
      </c>
      <c r="N6" s="24" t="s">
        <v>125</v>
      </c>
    </row>
    <row r="7" spans="2:14" x14ac:dyDescent="0.4">
      <c r="B7" s="12"/>
      <c r="C7" s="12"/>
      <c r="D7" s="13">
        <v>1</v>
      </c>
      <c r="E7" s="12"/>
      <c r="F7" s="12"/>
      <c r="G7" s="12" t="s">
        <v>104</v>
      </c>
      <c r="H7" s="12"/>
      <c r="I7" s="12"/>
      <c r="J7" s="13">
        <v>1</v>
      </c>
      <c r="K7" s="14">
        <v>0</v>
      </c>
      <c r="L7" s="25">
        <v>0</v>
      </c>
      <c r="M7" s="25">
        <v>0</v>
      </c>
      <c r="N7" s="25">
        <v>0</v>
      </c>
    </row>
    <row r="8" spans="2:14" x14ac:dyDescent="0.4">
      <c r="B8" s="12"/>
      <c r="C8" s="28" t="s">
        <v>126</v>
      </c>
      <c r="D8" s="28"/>
      <c r="E8" s="28"/>
      <c r="F8" s="28"/>
      <c r="G8" s="28"/>
      <c r="H8" s="28"/>
      <c r="I8" s="28"/>
      <c r="J8" s="28"/>
      <c r="K8" s="28"/>
      <c r="L8" s="27">
        <v>0</v>
      </c>
      <c r="M8" s="27">
        <v>0</v>
      </c>
      <c r="N8" s="27">
        <v>0</v>
      </c>
    </row>
    <row r="9" spans="2:14" x14ac:dyDescent="0.4">
      <c r="B9" s="12" t="s">
        <v>106</v>
      </c>
      <c r="C9" s="12"/>
      <c r="D9" s="12"/>
      <c r="E9" s="12"/>
      <c r="F9" s="12"/>
      <c r="G9" s="12"/>
      <c r="H9" s="12"/>
      <c r="I9" s="12"/>
      <c r="J9" s="12"/>
      <c r="K9" s="12"/>
      <c r="L9" s="26">
        <v>0</v>
      </c>
      <c r="M9" s="26">
        <v>0</v>
      </c>
      <c r="N9" s="2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C5B59-C4A2-4186-B7A6-72C319D94B16}">
  <dimension ref="A1:N4"/>
  <sheetViews>
    <sheetView showGridLines="0" workbookViewId="0"/>
  </sheetViews>
  <sheetFormatPr defaultColWidth="8.69921875" defaultRowHeight="20.399999999999999" x14ac:dyDescent="0.4"/>
  <cols>
    <col min="1" max="1" width="50.59765625" style="17" customWidth="1"/>
    <col min="2" max="2" width="13.59765625" style="15" customWidth="1"/>
    <col min="3" max="3" width="23.8984375" style="15" customWidth="1"/>
    <col min="4" max="4" width="11.296875" style="15" customWidth="1"/>
    <col min="5" max="5" width="13.796875" style="15" customWidth="1"/>
    <col min="6" max="6" width="14.796875" style="15" customWidth="1"/>
    <col min="7" max="7" width="10" style="15" customWidth="1"/>
    <col min="8" max="8" width="21.796875" style="15" customWidth="1"/>
    <col min="9" max="9" width="15.59765625" style="15" customWidth="1"/>
    <col min="10" max="10" width="15.5" style="15" customWidth="1"/>
    <col min="11" max="11" width="11.796875" style="15" customWidth="1"/>
    <col min="12" max="12" width="13.59765625" style="15" customWidth="1"/>
    <col min="13" max="13" width="20" style="15" customWidth="1"/>
    <col min="14" max="14" width="18.3984375" style="15" customWidth="1"/>
    <col min="15" max="16384" width="8.69921875" style="15"/>
  </cols>
  <sheetData>
    <row r="1" spans="2:14" x14ac:dyDescent="0.4">
      <c r="B1" s="22" t="s">
        <v>107</v>
      </c>
      <c r="C1" s="22" t="s">
        <v>108</v>
      </c>
      <c r="D1" s="23" t="s">
        <v>109</v>
      </c>
      <c r="E1" s="22" t="s">
        <v>110</v>
      </c>
      <c r="F1" s="22" t="s">
        <v>111</v>
      </c>
      <c r="G1" s="22" t="s">
        <v>112</v>
      </c>
      <c r="H1" s="22" t="s">
        <v>113</v>
      </c>
      <c r="I1" s="22" t="s">
        <v>114</v>
      </c>
      <c r="J1" s="23" t="s">
        <v>123</v>
      </c>
      <c r="K1" s="23" t="s">
        <v>115</v>
      </c>
      <c r="L1" s="24" t="s">
        <v>122</v>
      </c>
      <c r="M1" s="24" t="s">
        <v>124</v>
      </c>
      <c r="N1" s="24" t="s">
        <v>125</v>
      </c>
    </row>
    <row r="2" spans="2:14" x14ac:dyDescent="0.4">
      <c r="B2" s="12"/>
      <c r="C2" s="12"/>
      <c r="D2" s="13">
        <v>1</v>
      </c>
      <c r="E2" s="12"/>
      <c r="F2" s="12"/>
      <c r="G2" s="12" t="s">
        <v>104</v>
      </c>
      <c r="H2" s="12"/>
      <c r="I2" s="12"/>
      <c r="J2" s="13">
        <v>1</v>
      </c>
      <c r="K2" s="14">
        <v>0</v>
      </c>
      <c r="L2" s="25">
        <v>0</v>
      </c>
      <c r="M2" s="25">
        <v>0</v>
      </c>
      <c r="N2" s="25">
        <v>0</v>
      </c>
    </row>
    <row r="3" spans="2:14" x14ac:dyDescent="0.4">
      <c r="B3" s="12"/>
      <c r="C3" s="28" t="s">
        <v>126</v>
      </c>
      <c r="D3" s="28"/>
      <c r="E3" s="28"/>
      <c r="F3" s="28"/>
      <c r="G3" s="28"/>
      <c r="H3" s="28"/>
      <c r="I3" s="28"/>
      <c r="J3" s="28"/>
      <c r="K3" s="28"/>
      <c r="L3" s="27">
        <v>0</v>
      </c>
      <c r="M3" s="27">
        <v>0</v>
      </c>
      <c r="N3" s="27">
        <v>0</v>
      </c>
    </row>
    <row r="4" spans="2:14" x14ac:dyDescent="0.4">
      <c r="B4" s="12" t="s">
        <v>106</v>
      </c>
      <c r="C4" s="12"/>
      <c r="D4" s="12"/>
      <c r="E4" s="12"/>
      <c r="F4" s="12"/>
      <c r="G4" s="12"/>
      <c r="H4" s="12"/>
      <c r="I4" s="12"/>
      <c r="J4" s="12"/>
      <c r="K4" s="12"/>
      <c r="L4" s="26">
        <v>0</v>
      </c>
      <c r="M4" s="26">
        <v>0</v>
      </c>
      <c r="N4" s="26">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93A8D-40D3-46CE-8D2A-B5CD5F7C3D7C}">
  <dimension ref="A1:B8"/>
  <sheetViews>
    <sheetView showGridLines="0" workbookViewId="0"/>
  </sheetViews>
  <sheetFormatPr defaultColWidth="8.69921875" defaultRowHeight="19.95" customHeight="1" x14ac:dyDescent="0.4"/>
  <cols>
    <col min="1" max="1" width="17.296875" style="15" customWidth="1"/>
    <col min="2" max="2" width="25.59765625" style="15" customWidth="1"/>
    <col min="3" max="16384" width="8.69921875" style="15"/>
  </cols>
  <sheetData>
    <row r="1" spans="1:2" ht="19.95" customHeight="1" x14ac:dyDescent="0.4">
      <c r="A1" s="16" t="s">
        <v>116</v>
      </c>
      <c r="B1" s="18" t="str" cm="1">
        <f t="array" ref="B1">ReportRequest.EnvironmentName</f>
        <v>Environment name Value</v>
      </c>
    </row>
    <row r="2" spans="1:2" ht="19.95" customHeight="1" x14ac:dyDescent="0.4">
      <c r="A2" s="16" t="s">
        <v>117</v>
      </c>
      <c r="B2" s="18" t="str" cm="1">
        <f t="array" ref="B2">ReportRequest.CompanyName</f>
        <v>Company name Value</v>
      </c>
    </row>
    <row r="3" spans="1:2" ht="19.95" customHeight="1" x14ac:dyDescent="0.4">
      <c r="A3" s="16" t="s">
        <v>118</v>
      </c>
      <c r="B3" s="18" t="str" cm="1">
        <f t="array" ref="B3">ReportRequest.UserName</f>
        <v>User name Value</v>
      </c>
    </row>
    <row r="4" spans="1:2" ht="19.95" customHeight="1" x14ac:dyDescent="0.4">
      <c r="A4" s="16" t="s">
        <v>119</v>
      </c>
      <c r="B4" s="19" t="str" cm="1">
        <f t="array" ref="B4">ReportRequest.DateLocal</f>
        <v>Date (Local) Value</v>
      </c>
    </row>
    <row r="5" spans="1:2" ht="19.95" customHeight="1" x14ac:dyDescent="0.4">
      <c r="A5" s="16"/>
      <c r="B5" s="20" t="str" cm="1">
        <f t="array" ref="B5">ReportRequest.DateLocal</f>
        <v>Date (Local) Value</v>
      </c>
    </row>
    <row r="6" spans="1:2" ht="19.95" customHeight="1" x14ac:dyDescent="0.4">
      <c r="A6" s="16" t="s">
        <v>120</v>
      </c>
      <c r="B6" s="18" t="str" cm="1">
        <f t="array" ref="B6">ReportMetadata.ObjectCaption</f>
        <v>Object Caption Value</v>
      </c>
    </row>
    <row r="7" spans="1:2" ht="19.95" customHeight="1" x14ac:dyDescent="0.4">
      <c r="A7" s="16" t="s">
        <v>121</v>
      </c>
      <c r="B7" s="21" t="str">
        <f>HYPERLINK(_xlfn.CONCAT("https://learn.microsoft.com/dynamics365/business-central/reports/report-",ReportMetadata.ObjectID))</f>
        <v>https://learn.microsoft.com/dynamics365/business-central/reports/report-Object ID Value</v>
      </c>
    </row>
    <row r="8" spans="1:2" ht="19.95" customHeight="1" x14ac:dyDescent="0.4">
      <c r="A8" s="16"/>
      <c r="B8"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5D95-5796-4E6E-9DEE-EF10FFAF66DE}">
  <dimension ref="A1:T2"/>
  <sheetViews>
    <sheetView topLeftCell="D1" workbookViewId="0">
      <selection activeCell="D1" sqref="D1"/>
    </sheetView>
  </sheetViews>
  <sheetFormatPr defaultRowHeight="16.8" x14ac:dyDescent="0.4"/>
  <cols>
    <col min="1" max="1" width="9.09765625" bestFit="1" customWidth="1"/>
    <col min="2" max="2" width="11.59765625" bestFit="1" customWidth="1"/>
    <col min="3" max="3" width="13.296875" bestFit="1" customWidth="1"/>
    <col min="4" max="4" width="15" bestFit="1" customWidth="1"/>
    <col min="5" max="5" width="21.19921875" bestFit="1" customWidth="1"/>
    <col min="6" max="6" width="10.59765625" bestFit="1" customWidth="1"/>
    <col min="7" max="7" width="16.19921875" bestFit="1" customWidth="1"/>
    <col min="8" max="8" width="17" bestFit="1" customWidth="1"/>
    <col min="9" max="9" width="18" bestFit="1" customWidth="1"/>
    <col min="10" max="10" width="15.5" bestFit="1" customWidth="1"/>
    <col min="11" max="11" width="16.5" bestFit="1" customWidth="1"/>
    <col min="12" max="12" width="23.3984375" bestFit="1" customWidth="1"/>
    <col min="13" max="13" width="18.5" bestFit="1" customWidth="1"/>
    <col min="14" max="14" width="11.3984375" bestFit="1" customWidth="1"/>
    <col min="15" max="15" width="9.59765625" bestFit="1" customWidth="1"/>
    <col min="16" max="16" width="22.296875" bestFit="1" customWidth="1"/>
    <col min="17" max="17" width="16.09765625" bestFit="1" customWidth="1"/>
    <col min="18" max="18" width="15.09765625" bestFit="1" customWidth="1"/>
    <col min="19" max="19" width="16" bestFit="1" customWidth="1"/>
    <col min="20" max="20" width="9.796875" bestFit="1" customWidth="1"/>
  </cols>
  <sheetData>
    <row r="1" spans="1:20" x14ac:dyDescent="0.4">
      <c r="A1" t="s">
        <v>70</v>
      </c>
      <c r="B1" t="s">
        <v>91</v>
      </c>
      <c r="C1" t="s">
        <v>98</v>
      </c>
      <c r="D1" t="s">
        <v>72</v>
      </c>
      <c r="E1" t="s">
        <v>74</v>
      </c>
      <c r="F1" t="s">
        <v>102</v>
      </c>
      <c r="G1" t="s">
        <v>101</v>
      </c>
      <c r="H1" t="s">
        <v>99</v>
      </c>
      <c r="I1" t="s">
        <v>95</v>
      </c>
      <c r="J1" t="s">
        <v>93</v>
      </c>
      <c r="K1" t="s">
        <v>96</v>
      </c>
      <c r="L1" t="s">
        <v>97</v>
      </c>
      <c r="M1" t="s">
        <v>92</v>
      </c>
      <c r="N1" t="s">
        <v>71</v>
      </c>
      <c r="O1" t="s">
        <v>75</v>
      </c>
      <c r="P1" t="s">
        <v>84</v>
      </c>
      <c r="Q1" t="s">
        <v>86</v>
      </c>
      <c r="R1" t="s">
        <v>90</v>
      </c>
      <c r="S1" t="s">
        <v>94</v>
      </c>
      <c r="T1" t="s">
        <v>100</v>
      </c>
    </row>
    <row r="2" spans="1:20" x14ac:dyDescent="0.4">
      <c r="A2" t="s">
        <v>103</v>
      </c>
      <c r="B2" t="s">
        <v>103</v>
      </c>
      <c r="C2" s="3">
        <v>1</v>
      </c>
      <c r="D2" t="s">
        <v>103</v>
      </c>
      <c r="E2" t="s">
        <v>103</v>
      </c>
      <c r="F2" t="s">
        <v>104</v>
      </c>
      <c r="G2" t="s">
        <v>103</v>
      </c>
      <c r="H2" t="s">
        <v>103</v>
      </c>
      <c r="I2" s="3">
        <v>1</v>
      </c>
      <c r="J2">
        <v>0</v>
      </c>
      <c r="K2">
        <v>0</v>
      </c>
      <c r="L2">
        <v>0</v>
      </c>
      <c r="M2">
        <v>0</v>
      </c>
      <c r="N2" t="s">
        <v>103</v>
      </c>
      <c r="O2">
        <v>0</v>
      </c>
      <c r="P2" s="5">
        <v>0</v>
      </c>
      <c r="Q2" t="s">
        <v>103</v>
      </c>
      <c r="R2" t="s">
        <v>103</v>
      </c>
      <c r="S2" t="s">
        <v>104</v>
      </c>
      <c r="T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
  <sheetViews>
    <sheetView workbookViewId="0">
      <pane ySplit="1" topLeftCell="A2" activePane="bottomLeft" state="frozen"/>
      <selection pane="bottomLeft" activeCell="A2" sqref="A2"/>
    </sheetView>
  </sheetViews>
  <sheetFormatPr defaultRowHeight="16.8" x14ac:dyDescent="0.4"/>
  <cols>
    <col min="1" max="1" width="18.3984375" customWidth="1"/>
  </cols>
  <sheetData>
    <row r="1" spans="1:39" x14ac:dyDescent="0.4">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c r="T1" t="s">
        <v>83</v>
      </c>
      <c r="U1" t="s">
        <v>84</v>
      </c>
      <c r="V1" t="s">
        <v>85</v>
      </c>
      <c r="W1" t="s">
        <v>86</v>
      </c>
      <c r="X1" t="s">
        <v>87</v>
      </c>
      <c r="Y1" t="s">
        <v>88</v>
      </c>
      <c r="Z1" t="s">
        <v>89</v>
      </c>
      <c r="AA1" t="s">
        <v>90</v>
      </c>
      <c r="AB1" t="s">
        <v>91</v>
      </c>
      <c r="AC1" t="s">
        <v>92</v>
      </c>
      <c r="AD1" t="s">
        <v>93</v>
      </c>
      <c r="AE1" t="s">
        <v>94</v>
      </c>
      <c r="AF1" t="s">
        <v>95</v>
      </c>
      <c r="AG1" t="s">
        <v>96</v>
      </c>
      <c r="AH1" t="s">
        <v>97</v>
      </c>
      <c r="AI1" t="s">
        <v>98</v>
      </c>
      <c r="AJ1" t="s">
        <v>99</v>
      </c>
      <c r="AK1" t="s">
        <v>100</v>
      </c>
      <c r="AL1" t="s">
        <v>101</v>
      </c>
      <c r="AM1" t="s">
        <v>102</v>
      </c>
    </row>
    <row r="2" spans="1:39" x14ac:dyDescent="0.4">
      <c r="A2" t="s">
        <v>103</v>
      </c>
      <c r="B2" s="2">
        <v>0</v>
      </c>
      <c r="C2" t="s">
        <v>103</v>
      </c>
      <c r="D2" t="s">
        <v>103</v>
      </c>
      <c r="E2" t="s">
        <v>103</v>
      </c>
      <c r="F2" t="s">
        <v>103</v>
      </c>
      <c r="G2" t="s">
        <v>103</v>
      </c>
      <c r="H2" t="s">
        <v>103</v>
      </c>
      <c r="I2" t="s">
        <v>103</v>
      </c>
      <c r="J2" s="2">
        <v>0</v>
      </c>
      <c r="K2" t="s">
        <v>103</v>
      </c>
      <c r="L2" s="2">
        <v>0</v>
      </c>
      <c r="M2" t="s">
        <v>103</v>
      </c>
      <c r="N2" t="s">
        <v>103</v>
      </c>
      <c r="O2" t="s">
        <v>103</v>
      </c>
      <c r="P2" t="s">
        <v>103</v>
      </c>
      <c r="Q2" t="s">
        <v>103</v>
      </c>
      <c r="R2" t="s">
        <v>103</v>
      </c>
      <c r="S2" t="s">
        <v>103</v>
      </c>
      <c r="T2" t="s">
        <v>103</v>
      </c>
      <c r="U2" s="3">
        <v>0</v>
      </c>
      <c r="V2" t="s">
        <v>103</v>
      </c>
      <c r="W2" t="s">
        <v>103</v>
      </c>
      <c r="X2" t="s">
        <v>103</v>
      </c>
      <c r="Y2" t="s">
        <v>103</v>
      </c>
      <c r="Z2" t="s">
        <v>103</v>
      </c>
      <c r="AA2" t="s">
        <v>103</v>
      </c>
      <c r="AB2" t="s">
        <v>103</v>
      </c>
      <c r="AC2" s="4">
        <v>0</v>
      </c>
      <c r="AD2" s="2">
        <v>0</v>
      </c>
      <c r="AE2" s="2">
        <v>0</v>
      </c>
      <c r="AF2" t="s">
        <v>103</v>
      </c>
      <c r="AG2" s="4">
        <v>0</v>
      </c>
      <c r="AH2" s="4">
        <v>0</v>
      </c>
      <c r="AI2" t="s">
        <v>103</v>
      </c>
      <c r="AJ2" t="s">
        <v>103</v>
      </c>
      <c r="AK2" s="4">
        <v>0</v>
      </c>
      <c r="AL2" t="s">
        <v>103</v>
      </c>
      <c r="AM2" s="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8" x14ac:dyDescent="0.4"/>
  <cols>
    <col min="1" max="1" width="16.8984375" customWidth="1"/>
    <col min="2" max="2" width="11.3984375" customWidth="1"/>
  </cols>
  <sheetData>
    <row r="1" spans="1:3" x14ac:dyDescent="0.4">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B2"/>
    </sheetView>
  </sheetViews>
  <sheetFormatPr defaultRowHeight="16.8" x14ac:dyDescent="0.4"/>
  <cols>
    <col min="1" max="1" width="10.19921875" customWidth="1"/>
    <col min="2" max="2" width="17.3984375" customWidth="1"/>
  </cols>
  <sheetData>
    <row r="1" spans="1:2" x14ac:dyDescent="0.4">
      <c r="A1" t="s">
        <v>3</v>
      </c>
      <c r="B1" t="s">
        <v>1</v>
      </c>
    </row>
    <row r="2" spans="1:2" x14ac:dyDescent="0.4">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8" x14ac:dyDescent="0.4"/>
  <cols>
    <col min="1" max="1" width="25.69921875" customWidth="1"/>
    <col min="2" max="2" width="40.69921875" customWidth="1"/>
    <col min="3" max="3" width="5.69921875" customWidth="1"/>
    <col min="4" max="4" width="25.69921875" customWidth="1"/>
    <col min="5" max="5" width="40.69921875" customWidth="1"/>
    <col min="6" max="6" width="5.69921875" customWidth="1"/>
    <col min="7" max="7" width="25.69921875" customWidth="1"/>
    <col min="8" max="8" width="40.69921875" customWidth="1"/>
    <col min="9" max="9" width="5.69921875" customWidth="1"/>
    <col min="10" max="10" width="40.69921875" customWidth="1"/>
    <col min="11" max="11" width="25.69921875" customWidth="1"/>
  </cols>
  <sheetData>
    <row r="1" spans="1:11" x14ac:dyDescent="0.4">
      <c r="A1" s="1" t="s">
        <v>6</v>
      </c>
      <c r="B1" s="1" t="s">
        <v>7</v>
      </c>
      <c r="D1" s="1" t="s">
        <v>26</v>
      </c>
      <c r="E1" s="1" t="s">
        <v>27</v>
      </c>
      <c r="G1" s="1" t="s">
        <v>4</v>
      </c>
      <c r="H1" s="1" t="s">
        <v>5</v>
      </c>
      <c r="J1" s="1" t="s">
        <v>45</v>
      </c>
      <c r="K1" s="1" t="s">
        <v>46</v>
      </c>
    </row>
    <row r="2" spans="1:11" x14ac:dyDescent="0.4">
      <c r="A2" t="s">
        <v>8</v>
      </c>
      <c r="B2" t="s">
        <v>9</v>
      </c>
      <c r="D2" t="s">
        <v>48</v>
      </c>
      <c r="E2" t="s">
        <v>49</v>
      </c>
      <c r="G2" t="s">
        <v>4</v>
      </c>
      <c r="H2" t="s">
        <v>5</v>
      </c>
      <c r="J2" t="s">
        <v>45</v>
      </c>
      <c r="K2" t="s">
        <v>46</v>
      </c>
    </row>
    <row r="3" spans="1:11" x14ac:dyDescent="0.4">
      <c r="A3" t="s">
        <v>10</v>
      </c>
      <c r="B3" t="s">
        <v>11</v>
      </c>
      <c r="D3" t="s">
        <v>28</v>
      </c>
      <c r="E3" t="s">
        <v>29</v>
      </c>
    </row>
    <row r="4" spans="1:11" x14ac:dyDescent="0.4">
      <c r="A4" t="s">
        <v>12</v>
      </c>
      <c r="B4" t="s">
        <v>13</v>
      </c>
      <c r="D4" t="s">
        <v>30</v>
      </c>
      <c r="E4" t="s">
        <v>31</v>
      </c>
    </row>
    <row r="5" spans="1:11" x14ac:dyDescent="0.4">
      <c r="A5" t="s">
        <v>14</v>
      </c>
      <c r="B5" t="s">
        <v>15</v>
      </c>
      <c r="D5" t="s">
        <v>32</v>
      </c>
      <c r="E5" t="s">
        <v>33</v>
      </c>
    </row>
    <row r="6" spans="1:11" x14ac:dyDescent="0.4">
      <c r="A6" t="s">
        <v>16</v>
      </c>
      <c r="B6" t="s">
        <v>17</v>
      </c>
      <c r="D6" t="s">
        <v>34</v>
      </c>
      <c r="E6" t="s">
        <v>35</v>
      </c>
    </row>
    <row r="7" spans="1:11" x14ac:dyDescent="0.4">
      <c r="A7" t="s">
        <v>18</v>
      </c>
      <c r="B7" t="s">
        <v>19</v>
      </c>
      <c r="D7" t="s">
        <v>50</v>
      </c>
      <c r="E7" t="s">
        <v>51</v>
      </c>
    </row>
    <row r="8" spans="1:11" x14ac:dyDescent="0.4">
      <c r="A8" t="s">
        <v>58</v>
      </c>
      <c r="B8" t="s">
        <v>59</v>
      </c>
      <c r="D8" t="s">
        <v>36</v>
      </c>
      <c r="E8" t="s">
        <v>37</v>
      </c>
    </row>
    <row r="9" spans="1:11" x14ac:dyDescent="0.4">
      <c r="A9" t="s">
        <v>20</v>
      </c>
      <c r="B9" t="s">
        <v>21</v>
      </c>
      <c r="D9" t="s">
        <v>38</v>
      </c>
      <c r="E9" t="s">
        <v>39</v>
      </c>
    </row>
    <row r="10" spans="1:11" x14ac:dyDescent="0.4">
      <c r="A10" t="s">
        <v>22</v>
      </c>
      <c r="B10" t="s">
        <v>23</v>
      </c>
      <c r="D10" t="s">
        <v>40</v>
      </c>
      <c r="E10" t="s">
        <v>41</v>
      </c>
    </row>
    <row r="11" spans="1:11" x14ac:dyDescent="0.4">
      <c r="A11" t="s">
        <v>24</v>
      </c>
      <c r="B11" t="s">
        <v>25</v>
      </c>
      <c r="D11" t="s">
        <v>60</v>
      </c>
      <c r="E11" t="s">
        <v>61</v>
      </c>
    </row>
    <row r="12" spans="1:11" x14ac:dyDescent="0.4">
      <c r="D12" t="s">
        <v>62</v>
      </c>
      <c r="E12" t="s">
        <v>63</v>
      </c>
    </row>
    <row r="13" spans="1:11" x14ac:dyDescent="0.4">
      <c r="D13" t="s">
        <v>0</v>
      </c>
      <c r="E13" t="s">
        <v>42</v>
      </c>
    </row>
    <row r="14" spans="1:11" x14ac:dyDescent="0.4">
      <c r="D14" t="s">
        <v>43</v>
      </c>
      <c r="E14" t="s">
        <v>44</v>
      </c>
    </row>
    <row r="15" spans="1:11" x14ac:dyDescent="0.4">
      <c r="D15" t="s">
        <v>52</v>
      </c>
      <c r="E15" t="s">
        <v>53</v>
      </c>
    </row>
    <row r="16" spans="1:11" x14ac:dyDescent="0.4">
      <c r="D16" t="s">
        <v>54</v>
      </c>
      <c r="E16" t="s">
        <v>55</v>
      </c>
    </row>
    <row r="17" spans="4:5" x14ac:dyDescent="0.4">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049854-FD5D-4FDF-9BD9-2199ED683495}">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$DeferralSummarySalesPrint$</vt:lpstr>
      <vt:lpstr>$DefSummarySalesAnalysis$</vt:lpstr>
      <vt:lpstr>$AboutTheReportLabel$</vt:lpstr>
      <vt:lpstr>DeferralSalesSummary_Query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Adeline Soerjonoto</cp:lastModifiedBy>
  <dcterms:modified xsi:type="dcterms:W3CDTF">2026-02-23T03:35:25Z</dcterms:modified>
</cp:coreProperties>
</file>
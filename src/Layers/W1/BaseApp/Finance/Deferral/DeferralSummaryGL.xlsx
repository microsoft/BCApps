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Repos\Gold\Yellowstone.BaseApplication\App\Layers\W1\BaseApp\Finance\Deferral\"/>
    </mc:Choice>
  </mc:AlternateContent>
  <xr:revisionPtr revIDLastSave="0" documentId="13_ncr:1_{E017C06C-857C-459F-9D19-C7AB4C68FEA6}" xr6:coauthVersionLast="47" xr6:coauthVersionMax="47" xr10:uidLastSave="{00000000-0000-0000-0000-000000000000}"/>
  <bookViews>
    <workbookView xWindow="-108" yWindow="-108" windowWidth="30936" windowHeight="16776" xr2:uid="{00000000-000D-0000-FFFF-FFFF00000000}"/>
  </bookViews>
  <sheets>
    <sheet name="$DeferralSummaryGLPrint$" sheetId="7" r:id="rId1"/>
    <sheet name="$DeferralSummaryGLAnalysis$" sheetId="8" r:id="rId2"/>
    <sheet name="$AboutTheReportLabel$" sheetId="5" r:id="rId3"/>
    <sheet name="DeferralSummaryGL_Query" sheetId="6" state="hidden" r:id="rId4"/>
    <sheet name="Data"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DataRetrieved">#REF!</definedName>
    <definedName name="DateFilter" xml:space="preserve"> _xlfn.XLOOKUP("DateFilter",#REF!,#REF!)</definedName>
    <definedName name="EndDateFilter" localSheetId="1">_xlfn.XLOOKUP("BalanceAsOfDateFilter", ReportRequestPageValues[Request Page Option], ReportRequestPageValues[Request Page Option Value])</definedName>
    <definedName name="EndDateFilter">_xlfn.XLOOKUP("BalanceAsOfDateFilter", ReportRequestPageValues[Request Page Option], ReportRequestPageValues[Request Page Option Value])</definedName>
    <definedName name="ExternalData_1" localSheetId="3" hidden="1">DeferralSummaryGL_Query!$A$1:$O$2</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AccountName">#N/A</definedName>
    <definedName name="Slicer_DeferralAccount">#N/A</definedName>
    <definedName name="Slicer_GenJnlDocNo">#N/A</definedName>
    <definedName name="Slicer_GLDocType">#N/A</definedName>
    <definedName name="StartDate" xml:space="preserve"> _xlfn.XLOOKUP("StartDate",#REF!,#REF!)</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7" l="1" a="1"/>
  <c r="C4" i="7" s="1"/>
  <c r="B4" i="7" a="1"/>
  <c r="B4" i="7" s="1"/>
  <c r="K4" i="7" a="1"/>
  <c r="K4" i="7" s="1"/>
  <c r="L4" i="7" a="1"/>
  <c r="L4" i="7" s="1"/>
  <c r="L2" i="7" a="1"/>
  <c r="L2" i="7" s="1"/>
  <c r="B7" i="5"/>
  <c r="B6" i="5" a="1"/>
  <c r="B6" i="5" s="1"/>
  <c r="B4" i="5" a="1"/>
  <c r="B4" i="5" s="1"/>
  <c r="B5" i="5" a="1"/>
  <c r="B5" i="5" s="1"/>
  <c r="B3" i="5" a="1"/>
  <c r="B3" i="5" s="1"/>
  <c r="B2" i="5" a="1"/>
  <c r="B2" i="5" s="1"/>
  <c r="B1" i="5" a="1"/>
  <c r="B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391DF5-3C79-4469-8DB7-C831B6073D89}" keepAlive="1" name="Query - DeferralSummaryGL_Query" description="Connection to the 'DeferralSummaryGL_Query' query in the workbook." type="5" refreshedVersion="8" refreshOnLoad="1" saveData="1">
    <dbPr connection="Provider=Microsoft.Mashup.OleDb.1;Data Source=$Workbook$;Location=DeferralSummaryGL_Query;Extended Properties=&quot;&quot;" command="SELECT * FROM [DeferralSummaryGL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<sst xmlns="http://schemas.openxmlformats.org/spreadsheetml/2006/main" count="180" uniqueCount="116">
  <si>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</si>
  <si>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</si>
  <si>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</si>
  <si>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</si>
  <si>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</si>
  <si>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</si>
  <si>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</si>
  <si>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</si>
  <si>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</si>
  <si>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</si>
  <si>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</si>
  <si>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</si>
  <si>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</si>
  <si>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</si>
  <si>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</si>
  <si>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</si>
  <si>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</si>
  <si>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</si>
  <si>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</si>
  <si>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</si>
  <si>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</si>
  <si>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</si>
  <si>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</si>
  <si>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</si>
  <si>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</si>
  <si>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</si>
  <si>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</si>
  <si>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</si>
  <si>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</si>
  <si>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</si>
  <si>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</si>
  <si>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</si>
  <si>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</si>
  <si>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</si>
  <si>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</si>
  <si>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</si>
  <si>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</si>
  <si>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</si>
  <si>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</si>
  <si>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</si>
  <si>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</si>
  <si>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</si>
  <si>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</si>
  <si>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</si>
  <si>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</si>
  <si>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</si>
  <si>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</si>
  <si>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</si>
  <si>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</si>
  <si>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</si>
  <si>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</si>
  <si>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</si>
  <si>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</si>
  <si>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</si>
  <si>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</si>
  <si>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</si>
  <si>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</si>
  <si>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</si>
  <si>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</si>
  <si>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</si>
  <si>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</si>
  <si>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</si>
  <si>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</si>
  <si>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</si>
  <si>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CompanyName</t>
  </si>
  <si>
    <t>PageGroupNo</t>
  </si>
  <si>
    <t>PostedDeferralTableCaption</t>
  </si>
  <si>
    <t>PostedDeferralFilter</t>
  </si>
  <si>
    <t>EmptyString</t>
  </si>
  <si>
    <t>No_GLAcc</t>
  </si>
  <si>
    <t>DeferralSummaryGLCaption</t>
  </si>
  <si>
    <t>PageCaption</t>
  </si>
  <si>
    <t>BalanceCaption</t>
  </si>
  <si>
    <t>PeriodCaption</t>
  </si>
  <si>
    <t>GLBalCaption</t>
  </si>
  <si>
    <t>RemAmtDefCaption</t>
  </si>
  <si>
    <t>TotAmtDefCaption</t>
  </si>
  <si>
    <t>BalanceAsOfDateCaption</t>
  </si>
  <si>
    <t>BalanceAsOfDateFilter</t>
  </si>
  <si>
    <t>AccountNoCaption</t>
  </si>
  <si>
    <t>AmtRecognizedCaption</t>
  </si>
  <si>
    <t>AccountName</t>
  </si>
  <si>
    <t>NumOfPeriods</t>
  </si>
  <si>
    <t>DocumentType</t>
  </si>
  <si>
    <t>DeferralStartDate</t>
  </si>
  <si>
    <t>AmtRecognized</t>
  </si>
  <si>
    <t>RemainingAmtDeferred</t>
  </si>
  <si>
    <t>TotalAmtDeferred</t>
  </si>
  <si>
    <t>PostingDate</t>
  </si>
  <si>
    <t>DeferralAccount</t>
  </si>
  <si>
    <t>Amount</t>
  </si>
  <si>
    <t>GenJnlDocNo</t>
  </si>
  <si>
    <t>GLDocType</t>
  </si>
  <si>
    <t/>
  </si>
  <si>
    <t>$EnvironmentLabel$</t>
  </si>
  <si>
    <t>$CompanyLabel$</t>
  </si>
  <si>
    <t>$UserLabel$</t>
  </si>
  <si>
    <t>$RunOnLabel$</t>
  </si>
  <si>
    <t>$ReportNameLabel$</t>
  </si>
  <si>
    <t>$DocumentationLabel$</t>
  </si>
  <si>
    <t>0</t>
  </si>
  <si>
    <t>$DeferralSummaryGLLabel$</t>
  </si>
  <si>
    <t>$PostingDate$</t>
  </si>
  <si>
    <t>$DeferralAccount$</t>
  </si>
  <si>
    <t>$DefStartDate$</t>
  </si>
  <si>
    <t>$NumOfPeriods$</t>
  </si>
  <si>
    <t>$AmountRecognized$</t>
  </si>
  <si>
    <t>$RemAmountDef$</t>
  </si>
  <si>
    <t>$TotalAmountDef$</t>
  </si>
  <si>
    <t>Grand Total</t>
  </si>
  <si>
    <t>(blank)</t>
  </si>
  <si>
    <t>$No_GLAcc$</t>
  </si>
  <si>
    <t>$DocNo$</t>
  </si>
  <si>
    <t>$AcctName$</t>
  </si>
  <si>
    <t>$DocType$</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</si>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</sst>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4"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sz val="10"/>
      <name val="Segoe UI"/>
      <family val="2"/>
      <scheme val="minor"/>
    </font>
    <font>
      <u/>
      <sz val="11"/>
      <color theme="10"/>
      <name val="Segoe UI"/>
      <family val="2"/>
      <scheme val="minor"/>
    </font>
    <font>
      <u/>
      <sz val="10"/>
      <color theme="10"/>
      <name val="Segoe UI"/>
      <family val="2"/>
      <scheme val="minor"/>
    </font>
    <font>
      <b/>
      <sz val="13"/>
      <color theme="1"/>
      <name val="Segoe UI"/>
      <family val="2"/>
      <scheme val="minor"/>
    </font>
    <font>
      <b/>
      <sz val="10"/>
      <color theme="1"/>
      <name val="Segoe UI Semibold"/>
      <family val="2"/>
      <scheme val="major"/>
    </font>
    <font>
      <b/>
      <sz val="18"/>
      <color rgb="FF212121"/>
      <name val="Segoe UI Semibold"/>
      <family val="2"/>
      <scheme val="major"/>
    </font>
    <font>
      <sz val="10"/>
      <color rgb="FF212121"/>
      <name val="Segoe UI"/>
      <family val="2"/>
      <scheme val="minor"/>
    </font>
    <font>
      <sz val="10"/>
      <color theme="1"/>
      <name val="Segoe UI"/>
      <family val="2"/>
      <scheme val="minor"/>
    </font>
    <font>
      <sz val="14"/>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5" fillId="0" borderId="0" applyNumberFormat="0" applyFill="0" applyBorder="0" applyAlignment="0" applyProtection="0"/>
    <xf numFmtId="0" fontId="7" fillId="0" borderId="1" applyNumberFormat="0" applyFill="0" applyAlignment="0" applyProtection="0"/>
    <xf numFmtId="0" fontId="1" fillId="0" borderId="0"/>
  </cellStyleXfs>
  <cellXfs count="26">
    <xf numFmtId="0" fontId="0" fillId="0" borderId="0" xfId="0"/>
    <xf numFmtId="49" fontId="2" fillId="2" borderId="0" xfId="0" applyNumberFormat="1" applyFont="1" applyFill="1"/>
    <xf numFmtId="1" fontId="0" fillId="0" borderId="0" xfId="0" applyNumberFormat="1"/>
    <xf numFmtId="14" fontId="0" fillId="0" borderId="0" xfId="0" applyNumberFormat="1"/>
    <xf numFmtId="4" fontId="0" fillId="0" borderId="0" xfId="0" applyNumberFormat="1"/>
    <xf numFmtId="0" fontId="3" fillId="0" borderId="0" xfId="0" applyFont="1" applyAlignment="1">
      <alignment vertical="center"/>
    </xf>
    <xf numFmtId="0" fontId="4" fillId="0" borderId="0" xfId="0" applyFont="1" applyAlignment="1">
      <alignment vertical="center"/>
    </xf>
    <xf numFmtId="22" fontId="0" fillId="0" borderId="0" xfId="0" applyNumberFormat="1"/>
    <xf numFmtId="0" fontId="8" fillId="0" borderId="1" xfId="2" applyFont="1" applyAlignment="1">
      <alignment horizontal="right" vertical="center"/>
    </xf>
    <xf numFmtId="0" fontId="9" fillId="0" borderId="0" xfId="3" applyFont="1" applyAlignment="1">
      <alignment vertical="center"/>
    </xf>
    <xf numFmtId="164" fontId="10" fillId="0" borderId="0" xfId="0" applyNumberFormat="1" applyFont="1" applyAlignment="1">
      <alignment horizontal="right" vertical="center"/>
    </xf>
    <xf numFmtId="0" fontId="10" fillId="0" borderId="0" xfId="0" applyFont="1" applyAlignment="1">
      <alignment horizontal="right" vertical="center"/>
    </xf>
    <xf numFmtId="0" fontId="11" fillId="0" borderId="0" xfId="0" applyFont="1" applyAlignment="1">
      <alignment horizontal="left" vertical="center"/>
    </xf>
    <xf numFmtId="14" fontId="11" fillId="0" borderId="0" xfId="0" applyNumberFormat="1" applyFont="1" applyAlignment="1">
      <alignment horizontal="left" vertical="center"/>
    </xf>
    <xf numFmtId="0" fontId="12" fillId="0" borderId="0" xfId="0" applyFont="1"/>
    <xf numFmtId="0" fontId="0" fillId="0" borderId="0" xfId="0" applyAlignment="1">
      <alignmen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6" fillId="0" borderId="0" xfId="1" applyFont="1" applyAlignment="1">
      <alignment horizontal="left" vertical="center"/>
    </xf>
    <xf numFmtId="0" fontId="13" fillId="0" borderId="0" xfId="0" pivotButton="1" applyFont="1" applyAlignment="1">
      <alignment vertical="center"/>
    </xf>
    <xf numFmtId="0" fontId="13" fillId="0" borderId="0" xfId="0" pivotButton="1" applyFont="1" applyAlignment="1">
      <alignment horizontal="right" vertical="center"/>
    </xf>
    <xf numFmtId="0" fontId="13" fillId="0" borderId="0" xfId="0" applyFont="1" applyAlignment="1">
      <alignment horizontal="right" vertical="center"/>
    </xf>
    <xf numFmtId="0" fontId="4" fillId="0" borderId="0" xfId="0" applyNumberFormat="1" applyFont="1" applyAlignment="1">
      <alignment vertical="center"/>
    </xf>
    <xf numFmtId="0" fontId="13" fillId="0" borderId="0" xfId="0" applyNumberFormat="1" applyFont="1" applyAlignment="1">
      <alignment vertical="center"/>
    </xf>
    <xf numFmtId="0" fontId="13" fillId="0" borderId="0" xfId="0" applyFont="1" applyAlignment="1">
      <alignment vertical="center"/>
    </xf>
  </cellXfs>
  <cellStyles count="4">
    <cellStyle name="Heading 2 2" xfId="2" xr:uid="{4334035E-BE5B-47DD-8E3F-F44A3747F000}"/>
    <cellStyle name="Hyperlink" xfId="1" builtinId="8"/>
    <cellStyle name="Normal" xfId="0" builtinId="0"/>
    <cellStyle name="Normal 2" xfId="3" xr:uid="{6A949F4B-B848-4A07-81F6-EC79D117C72C}"/>
  </cellStyles>
  <dxfs count="238">
    <dxf>
      <font>
        <name val="Segoe UI"/>
        <family val="2"/>
        <scheme val="minor"/>
      </font>
    </dxf>
    <dxf>
      <font>
        <name val="Segoe UI"/>
        <family val="2"/>
        <scheme val="minor"/>
      </font>
    </dxf>
    <dxf>
      <font>
        <name val="Segoe UI Semibold"/>
        <scheme val="major"/>
      </font>
    </dxf>
    <dxf>
      <font>
        <name val="Segoe UI"/>
        <family val="2"/>
        <scheme val="minor"/>
      </font>
    </dxf>
    <dxf>
      <font>
        <name val="Segoe UI"/>
        <family val="2"/>
        <scheme val="minor"/>
      </font>
    </dxf>
    <dxf>
      <font>
        <name val="Segoe UI Semibold"/>
        <scheme val="major"/>
      </font>
    </dxf>
    <dxf>
      <alignment horizontal="right"/>
    </dxf>
    <dxf>
      <alignment horizontal="righ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numFmt numFmtId="27" formatCode="d/mm/yyyy\ h:mm"/>
    </dxf>
    <dxf>
      <numFmt numFmtId="19" formatCode="d/mm/yyyy"/>
    </dxf>
    <dxf>
      <numFmt numFmtId="19" formatCode="d/mm/yyyy"/>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5" xr9:uid="{462DC919-2237-4B89-B4EB-48F44FF4148A}">
      <tableStyleElement type="wholeTable" dxfId="237"/>
      <tableStyleElement type="headerRow" dxfId="236"/>
      <tableStyleElement type="totalRow" dxfId="235"/>
      <tableStyleElement type="secondRowStripe" dxfId="234"/>
      <tableStyleElement type="secondSubtotalRow" dxfId="233"/>
    </tableStyle>
    <tableStyle name="Business Central Reports Slicer Style (Template)" pivot="0" table="0" count="10" xr9:uid="{53E52A75-F94F-42E5-BF93-FA38BFDD3BD1}">
      <tableStyleElement type="wholeTable" dxfId="232"/>
      <tableStyleElement type="headerRow" dxfId="231"/>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1818000</xdr:colOff>
      <xdr:row>9</xdr:row>
      <xdr:rowOff>213510</xdr:rowOff>
    </xdr:to>
    <mc:AlternateContent xmlns:mc="http://schemas.openxmlformats.org/markup-compatibility/2006" xmlns:a14="http://schemas.microsoft.com/office/drawing/2010/main">
      <mc:Choice Requires="a14">
        <xdr:graphicFrame macro="">
          <xdr:nvGraphicFramePr>
            <xdr:cNvPr id="2" name="$AcctName$">
              <a:extLst>
                <a:ext uri="{FF2B5EF4-FFF2-40B4-BE49-F238E27FC236}">
                  <a16:creationId xmlns:a16="http://schemas.microsoft.com/office/drawing/2014/main" id="{88529DF0-5F49-AD2A-63BD-AC776B1824A3}"/>
                </a:ext>
              </a:extLst>
            </xdr:cNvPr>
            <xdr:cNvGraphicFramePr/>
          </xdr:nvGraphicFramePr>
          <xdr:xfrm>
            <a:off x="0" y="0"/>
            <a:ext cx="0" cy="0"/>
          </xdr:xfrm>
          <a:graphic>
            <a:graphicData uri="http://schemas.microsoft.com/office/drawing/2010/slicer">
              <sle:slicer xmlns:sle="http://schemas.microsoft.com/office/drawing/2010/slicer" name="$AcctName$"/>
            </a:graphicData>
          </a:graphic>
        </xdr:graphicFrame>
      </mc:Choice>
      <mc:Fallback xmlns="">
        <xdr:sp macro="" textlink="">
          <xdr:nvSpPr>
            <xdr:cNvPr id="0" name=""/>
            <xdr:cNvSpPr>
              <a:spLocks noTextEdit="1"/>
            </xdr:cNvSpPr>
          </xdr:nvSpPr>
          <xdr:spPr>
            <a:xfrm>
              <a:off x="0" y="0"/>
              <a:ext cx="1815460" cy="26112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1869440</xdr:colOff>
      <xdr:row>0</xdr:row>
      <xdr:rowOff>0</xdr:rowOff>
    </xdr:from>
    <xdr:to>
      <xdr:col>0</xdr:col>
      <xdr:colOff>3683630</xdr:colOff>
      <xdr:row>9</xdr:row>
      <xdr:rowOff>216050</xdr:rowOff>
    </xdr:to>
    <mc:AlternateContent xmlns:mc="http://schemas.openxmlformats.org/markup-compatibility/2006" xmlns:a14="http://schemas.microsoft.com/office/drawing/2010/main">
      <mc:Choice Requires="a14">
        <xdr:graphicFrame macro="">
          <xdr:nvGraphicFramePr>
            <xdr:cNvPr id="3" name="$DocType$">
              <a:extLst>
                <a:ext uri="{FF2B5EF4-FFF2-40B4-BE49-F238E27FC236}">
                  <a16:creationId xmlns:a16="http://schemas.microsoft.com/office/drawing/2014/main" id="{4A92D1CD-DA3F-7798-D676-652362CBD4FF}"/>
                </a:ext>
              </a:extLst>
            </xdr:cNvPr>
            <xdr:cNvGraphicFramePr/>
          </xdr:nvGraphicFramePr>
          <xdr:xfrm>
            <a:off x="0" y="0"/>
            <a:ext cx="0" cy="0"/>
          </xdr:xfrm>
          <a:graphic>
            <a:graphicData uri="http://schemas.microsoft.com/office/drawing/2010/slicer">
              <sle:slicer xmlns:sle="http://schemas.microsoft.com/office/drawing/2010/slicer" name="$DocType$"/>
            </a:graphicData>
          </a:graphic>
        </xdr:graphicFrame>
      </mc:Choice>
      <mc:Fallback xmlns="">
        <xdr:sp macro="" textlink="">
          <xdr:nvSpPr>
            <xdr:cNvPr id="0" name=""/>
            <xdr:cNvSpPr>
              <a:spLocks noTextEdit="1"/>
            </xdr:cNvSpPr>
          </xdr:nvSpPr>
          <xdr:spPr>
            <a:xfrm>
              <a:off x="1869440" y="0"/>
              <a:ext cx="1811650" cy="261381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9</xdr:row>
      <xdr:rowOff>257810</xdr:rowOff>
    </xdr:from>
    <xdr:to>
      <xdr:col>0</xdr:col>
      <xdr:colOff>1811650</xdr:colOff>
      <xdr:row>19</xdr:row>
      <xdr:rowOff>203350</xdr:rowOff>
    </xdr:to>
    <mc:AlternateContent xmlns:mc="http://schemas.openxmlformats.org/markup-compatibility/2006" xmlns:a14="http://schemas.microsoft.com/office/drawing/2010/main">
      <mc:Choice Requires="a14">
        <xdr:graphicFrame macro="">
          <xdr:nvGraphicFramePr>
            <xdr:cNvPr id="4" name="$DocNo$">
              <a:extLst>
                <a:ext uri="{FF2B5EF4-FFF2-40B4-BE49-F238E27FC236}">
                  <a16:creationId xmlns:a16="http://schemas.microsoft.com/office/drawing/2014/main" id="{64F7743D-F8C5-AE09-E0BF-ABF7A204F4A2}"/>
                </a:ext>
              </a:extLst>
            </xdr:cNvPr>
            <xdr:cNvGraphicFramePr/>
          </xdr:nvGraphicFramePr>
          <xdr:xfrm>
            <a:off x="0" y="0"/>
            <a:ext cx="0" cy="0"/>
          </xdr:xfrm>
          <a:graphic>
            <a:graphicData uri="http://schemas.microsoft.com/office/drawing/2010/slicer">
              <sle:slicer xmlns:sle="http://schemas.microsoft.com/office/drawing/2010/slicer" name="$DocNo$"/>
            </a:graphicData>
          </a:graphic>
        </xdr:graphicFrame>
      </mc:Choice>
      <mc:Fallback xmlns="">
        <xdr:sp macro="" textlink="">
          <xdr:nvSpPr>
            <xdr:cNvPr id="0" name=""/>
            <xdr:cNvSpPr>
              <a:spLocks noTextEdit="1"/>
            </xdr:cNvSpPr>
          </xdr:nvSpPr>
          <xdr:spPr>
            <a:xfrm>
              <a:off x="0" y="2656840"/>
              <a:ext cx="1815460" cy="26163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1869440</xdr:colOff>
      <xdr:row>9</xdr:row>
      <xdr:rowOff>254000</xdr:rowOff>
    </xdr:from>
    <xdr:to>
      <xdr:col>0</xdr:col>
      <xdr:colOff>3659500</xdr:colOff>
      <xdr:row>19</xdr:row>
      <xdr:rowOff>216050</xdr:rowOff>
    </xdr:to>
    <mc:AlternateContent xmlns:mc="http://schemas.openxmlformats.org/markup-compatibility/2006" xmlns:a14="http://schemas.microsoft.com/office/drawing/2010/main">
      <mc:Choice Requires="a14">
        <xdr:graphicFrame macro="">
          <xdr:nvGraphicFramePr>
            <xdr:cNvPr id="5" name="$DeferralAccount$">
              <a:extLst>
                <a:ext uri="{FF2B5EF4-FFF2-40B4-BE49-F238E27FC236}">
                  <a16:creationId xmlns:a16="http://schemas.microsoft.com/office/drawing/2014/main" id="{919052B6-E826-7A5F-2A06-46DA605F5092}"/>
                </a:ext>
              </a:extLst>
            </xdr:cNvPr>
            <xdr:cNvGraphicFramePr/>
          </xdr:nvGraphicFramePr>
          <xdr:xfrm>
            <a:off x="0" y="0"/>
            <a:ext cx="0" cy="0"/>
          </xdr:xfrm>
          <a:graphic>
            <a:graphicData uri="http://schemas.microsoft.com/office/drawing/2010/slicer">
              <sle:slicer xmlns:sle="http://schemas.microsoft.com/office/drawing/2010/slicer" name="$DeferralAccount$"/>
            </a:graphicData>
          </a:graphic>
        </xdr:graphicFrame>
      </mc:Choice>
      <mc:Fallback xmlns="">
        <xdr:sp macro="" textlink="">
          <xdr:nvSpPr>
            <xdr:cNvPr id="0" name=""/>
            <xdr:cNvSpPr>
              <a:spLocks noTextEdit="1"/>
            </xdr:cNvSpPr>
          </xdr:nvSpPr>
          <xdr:spPr>
            <a:xfrm>
              <a:off x="1869440" y="2651760"/>
              <a:ext cx="1790060"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6076.60630266204" createdVersion="8" refreshedVersion="8" minRefreshableVersion="3" recordCount="1" xr:uid="{A2352744-FA3E-4E22-9E52-14CA9615B970}">
  <cacheSource type="worksheet">
    <worksheetSource name="DeferralSummaryGL_Query"/>
  </cacheSource>
  <cacheFields count="15">
    <cacheField name="No_GLAcc" numFmtId="0">
      <sharedItems count="1">
        <s v=""/>
      </sharedItems>
    </cacheField>
    <cacheField name="AccountName" numFmtId="0">
      <sharedItems count="1">
        <s v=""/>
      </sharedItems>
    </cacheField>
    <cacheField name="PostingDate" numFmtId="14">
      <sharedItems containsNonDate="0" containsString="0" containsBlank="1" count="1">
        <m/>
      </sharedItems>
    </cacheField>
    <cacheField name="DocumentType" numFmtId="0">
      <sharedItems count="1">
        <s v="0"/>
      </sharedItems>
    </cacheField>
    <cacheField name="GLDocType" numFmtId="0">
      <sharedItems count="1">
        <s v=""/>
      </sharedItems>
    </cacheField>
    <cacheField name="GenJnlDocNo" numFmtId="0">
      <sharedItems count="1">
        <s v=""/>
      </sharedItems>
    </cacheField>
    <cacheField name="DeferralAccount" numFmtId="0">
      <sharedItems count="1">
        <s v=""/>
      </sharedItems>
    </cacheField>
    <cacheField name="DeferralStartDate" numFmtId="14">
      <sharedItems containsNonDate="0" containsString="0" containsBlank="1" count="1">
        <m/>
      </sharedItems>
    </cacheField>
    <cacheField name="NumOfPeriods" numFmtId="0">
      <sharedItems containsSemiMixedTypes="0" containsString="0" containsNumber="1" containsInteger="1" minValue="0" maxValue="0" count="1">
        <n v="0"/>
      </sharedItems>
    </cacheField>
    <cacheField name="AmtRecognized" numFmtId="0">
      <sharedItems containsSemiMixedTypes="0" containsString="0" containsNumber="1" containsInteger="1" minValue="0" maxValue="0"/>
    </cacheField>
    <cacheField name="RemainingAmtDeferred" numFmtId="0">
      <sharedItems containsSemiMixedTypes="0" containsString="0" containsNumber="1" containsInteger="1" minValue="0" maxValue="0"/>
    </cacheField>
    <cacheField name="TotalAmtDeferred" numFmtId="0">
      <sharedItems containsSemiMixedTypes="0" containsString="0" containsNumber="1" containsInteger="1" minValue="0" maxValue="0"/>
    </cacheField>
    <cacheField name="PostedDeferralFilter" numFmtId="0">
      <sharedItems/>
    </cacheField>
    <cacheField name="BalanceAsOfDateFilter" numFmtId="22">
      <sharedItems containsSemiMixedTypes="0" containsNonDate="0" containsDate="1" containsString="0" minDate="1899-12-30T00:00:00" maxDate="1899-12-31T00:00:00"/>
    </cacheField>
    <cacheField name="Amount"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205074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n v="0"/>
    <n v="0"/>
    <n v="0"/>
    <s v=""/>
    <d v="1899-12-30T00:0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525BD-6F1D-43B5-B0E0-2AEE73CD18C8}" name="PivotTable2" cacheId="12"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6:L9" firstHeaderRow="0" firstDataRow="1" firstDataCol="8"/>
  <pivotFields count="15">
    <pivotField name="$No_GLAcc$" axis="axisRow" compact="0" outline="0" showAll="0" defaultSubtotal="0">
      <items count="1">
        <item x="0"/>
      </items>
    </pivotField>
    <pivotField name="$AcctName$" axis="axisRow" compact="0" outline="0" showAll="0">
      <items count="2">
        <item x="0"/>
        <item t="default"/>
      </items>
    </pivotField>
    <pivotField name="$PostingDate$" axis="axisRow" compact="0" outline="0" showAll="0" defaultSubtotal="0">
      <items count="1">
        <item x="0"/>
      </items>
    </pivotField>
    <pivotField name="DocumentType" compact="0" outline="0" showAll="0" defaultSubtotal="0">
      <items count="1">
        <item x="0"/>
      </items>
    </pivotField>
    <pivotField name="$DocType$" axis="axisRow" compact="0" outline="0" showAll="0" defaultSubtotal="0">
      <items count="1">
        <item x="0"/>
      </items>
    </pivotField>
    <pivotField name="$DocNo$" axis="axisRow" compact="0" outline="0" showAll="0" defaultSubtotal="0">
      <items count="1">
        <item x="0"/>
      </items>
    </pivotField>
    <pivotField name="$DeferralAccount$" axis="axisRow" compact="0" outline="0" showAll="0" defaultSubtotal="0">
      <items count="1">
        <item x="0"/>
      </items>
    </pivotField>
    <pivotField name="$DefStartDate$" axis="axisRow" compact="0" outline="0" showAll="0" defaultSubtotal="0">
      <items count="1">
        <item x="0"/>
      </items>
    </pivotField>
    <pivotField name="$NumOfPeriods$"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numFmtId="22" outline="0" showAll="0" defaultSubtotal="0"/>
    <pivotField compact="0" outline="0" showAll="0" defaultSubtotal="0"/>
  </pivotFields>
  <rowFields count="8">
    <field x="0"/>
    <field x="1"/>
    <field x="2"/>
    <field x="4"/>
    <field x="5"/>
    <field x="6"/>
    <field x="7"/>
    <field x="8"/>
  </rowFields>
  <rowItems count="3">
    <i>
      <x/>
      <x/>
      <x/>
      <x/>
      <x/>
      <x/>
      <x/>
      <x/>
    </i>
    <i t="default" r="1">
      <x/>
    </i>
    <i t="grand">
      <x/>
    </i>
  </rowItems>
  <colFields count="1">
    <field x="-2"/>
  </colFields>
  <colItems count="3">
    <i>
      <x/>
    </i>
    <i i="1">
      <x v="1"/>
    </i>
    <i i="2">
      <x v="2"/>
    </i>
  </colItems>
  <dataFields count="3">
    <dataField name="$AmountRecognized$" fld="9" baseField="0" baseItem="0"/>
    <dataField name="$RemAmountDef$" fld="10" baseField="0" baseItem="0"/>
    <dataField name="$TotalAmountDef$" fld="11" baseField="0" baseItem="0"/>
  </dataFields>
  <formats count="53">
    <format dxfId="230">
      <pivotArea field="8" type="button" dataOnly="0" labelOnly="1" outline="0" axis="axisRow" fieldPosition="7"/>
    </format>
    <format dxfId="229">
      <pivotArea dataOnly="0" labelOnly="1" outline="0" fieldPosition="0">
        <references count="1">
          <reference field="4294967294" count="3">
            <x v="0"/>
            <x v="1"/>
            <x v="2"/>
          </reference>
        </references>
      </pivotArea>
    </format>
    <format dxfId="228">
      <pivotArea field="7" type="button" dataOnly="0" labelOnly="1" outline="0" axis="axisRow" fieldPosition="6"/>
    </format>
    <format dxfId="227">
      <pivotArea field="2" type="button" dataOnly="0" labelOnly="1" outline="0" axis="axisRow" fieldPosition="2"/>
    </format>
    <format dxfId="226">
      <pivotArea field="0" type="button" dataOnly="0" labelOnly="1" outline="0" axis="axisRow" fieldPosition="0"/>
    </format>
    <format dxfId="225">
      <pivotArea field="1" type="button" dataOnly="0" labelOnly="1" outline="0" axis="axisRow" fieldPosition="1"/>
    </format>
    <format dxfId="224">
      <pivotArea field="2" type="button" dataOnly="0" labelOnly="1" outline="0" axis="axisRow" fieldPosition="2"/>
    </format>
    <format dxfId="223">
      <pivotArea field="3" type="button" dataOnly="0" labelOnly="1" outline="0"/>
    </format>
    <format dxfId="222">
      <pivotArea field="4" type="button" dataOnly="0" labelOnly="1" outline="0" axis="axisRow" fieldPosition="3"/>
    </format>
    <format dxfId="221">
      <pivotArea field="5" type="button" dataOnly="0" labelOnly="1" outline="0" axis="axisRow" fieldPosition="4"/>
    </format>
    <format dxfId="220">
      <pivotArea field="6" type="button" dataOnly="0" labelOnly="1" outline="0" axis="axisRow" fieldPosition="5"/>
    </format>
    <format dxfId="219">
      <pivotArea field="7" type="button" dataOnly="0" labelOnly="1" outline="0" axis="axisRow" fieldPosition="6"/>
    </format>
    <format dxfId="218">
      <pivotArea field="8" type="button" dataOnly="0" labelOnly="1" outline="0" axis="axisRow" fieldPosition="7"/>
    </format>
    <format dxfId="217">
      <pivotArea dataOnly="0" labelOnly="1" outline="0" fieldPosition="0">
        <references count="1">
          <reference field="4294967294" count="3">
            <x v="0"/>
            <x v="1"/>
            <x v="2"/>
          </reference>
        </references>
      </pivotArea>
    </format>
    <format dxfId="216">
      <pivotArea type="all" dataOnly="0" outline="0" fieldPosition="0"/>
    </format>
    <format dxfId="215">
      <pivotArea outline="0" collapsedLevelsAreSubtotals="1" fieldPosition="0"/>
    </format>
    <format dxfId="214">
      <pivotArea field="0" type="button" dataOnly="0" labelOnly="1" outline="0" axis="axisRow" fieldPosition="0"/>
    </format>
    <format dxfId="213">
      <pivotArea field="1" type="button" dataOnly="0" labelOnly="1" outline="0" axis="axisRow" fieldPosition="1"/>
    </format>
    <format dxfId="212">
      <pivotArea field="2" type="button" dataOnly="0" labelOnly="1" outline="0" axis="axisRow" fieldPosition="2"/>
    </format>
    <format dxfId="211">
      <pivotArea field="3" type="button" dataOnly="0" labelOnly="1" outline="0"/>
    </format>
    <format dxfId="210">
      <pivotArea field="4" type="button" dataOnly="0" labelOnly="1" outline="0" axis="axisRow" fieldPosition="3"/>
    </format>
    <format dxfId="209">
      <pivotArea field="5" type="button" dataOnly="0" labelOnly="1" outline="0" axis="axisRow" fieldPosition="4"/>
    </format>
    <format dxfId="208">
      <pivotArea field="6" type="button" dataOnly="0" labelOnly="1" outline="0" axis="axisRow" fieldPosition="5"/>
    </format>
    <format dxfId="207">
      <pivotArea field="7" type="button" dataOnly="0" labelOnly="1" outline="0" axis="axisRow" fieldPosition="6"/>
    </format>
    <format dxfId="206">
      <pivotArea field="8" type="button" dataOnly="0" labelOnly="1" outline="0" axis="axisRow" fieldPosition="7"/>
    </format>
    <format dxfId="205">
      <pivotArea dataOnly="0" labelOnly="1" outline="0" fieldPosition="0">
        <references count="1">
          <reference field="0" count="0"/>
        </references>
      </pivotArea>
    </format>
    <format dxfId="204">
      <pivotArea dataOnly="0" labelOnly="1" grandRow="1" outline="0" fieldPosition="0"/>
    </format>
    <format dxfId="203">
      <pivotArea dataOnly="0" labelOnly="1" outline="0" fieldPosition="0">
        <references count="2">
          <reference field="0" count="0" selected="0"/>
          <reference field="1" count="0"/>
        </references>
      </pivotArea>
    </format>
    <format dxfId="202">
      <pivotArea dataOnly="0" labelOnly="1" outline="0" fieldPosition="0">
        <references count="3">
          <reference field="0" count="0" selected="0"/>
          <reference field="1" count="0" selected="0"/>
          <reference field="2" count="0"/>
        </references>
      </pivotArea>
    </format>
    <format dxfId="201">
      <pivotArea dataOnly="0" labelOnly="1" outline="0" fieldPosition="0">
        <references count="1">
          <reference field="4294967294" count="3">
            <x v="0"/>
            <x v="1"/>
            <x v="2"/>
          </reference>
        </references>
      </pivotArea>
    </format>
    <format dxfId="200">
      <pivotArea type="all" dataOnly="0" outline="0" fieldPosition="0"/>
    </format>
    <format dxfId="199">
      <pivotArea outline="0" collapsedLevelsAreSubtotals="1" fieldPosition="0"/>
    </format>
    <format dxfId="198">
      <pivotArea field="0" type="button" dataOnly="0" labelOnly="1" outline="0" axis="axisRow" fieldPosition="0"/>
    </format>
    <format dxfId="197">
      <pivotArea field="1" type="button" dataOnly="0" labelOnly="1" outline="0" axis="axisRow" fieldPosition="1"/>
    </format>
    <format dxfId="196">
      <pivotArea field="2" type="button" dataOnly="0" labelOnly="1" outline="0" axis="axisRow" fieldPosition="2"/>
    </format>
    <format dxfId="195">
      <pivotArea field="4" type="button" dataOnly="0" labelOnly="1" outline="0" axis="axisRow" fieldPosition="3"/>
    </format>
    <format dxfId="194">
      <pivotArea field="5" type="button" dataOnly="0" labelOnly="1" outline="0" axis="axisRow" fieldPosition="4"/>
    </format>
    <format dxfId="193">
      <pivotArea field="6" type="button" dataOnly="0" labelOnly="1" outline="0" axis="axisRow" fieldPosition="5"/>
    </format>
    <format dxfId="192">
      <pivotArea field="7" type="button" dataOnly="0" labelOnly="1" outline="0" axis="axisRow" fieldPosition="6"/>
    </format>
    <format dxfId="191">
      <pivotArea field="8" type="button" dataOnly="0" labelOnly="1" outline="0" axis="axisRow" fieldPosition="7"/>
    </format>
    <format dxfId="190">
      <pivotArea dataOnly="0" labelOnly="1" outline="0" fieldPosition="0">
        <references count="1">
          <reference field="0" count="0"/>
        </references>
      </pivotArea>
    </format>
    <format dxfId="189">
      <pivotArea dataOnly="0" labelOnly="1" grandRow="1" outline="0" fieldPosition="0"/>
    </format>
    <format dxfId="188">
      <pivotArea dataOnly="0" labelOnly="1" outline="0" fieldPosition="0">
        <references count="2">
          <reference field="0" count="0" selected="0"/>
          <reference field="1" count="0"/>
        </references>
      </pivotArea>
    </format>
    <format dxfId="187">
      <pivotArea dataOnly="0" labelOnly="1" outline="0" fieldPosition="0">
        <references count="3">
          <reference field="0" count="0" selected="0"/>
          <reference field="1" count="0" selected="0"/>
          <reference field="2" count="0"/>
        </references>
      </pivotArea>
    </format>
    <format dxfId="186">
      <pivotArea dataOnly="0" labelOnly="1" outline="0" fieldPosition="0">
        <references count="4">
          <reference field="0" count="0" selected="0"/>
          <reference field="1" count="0" selected="0"/>
          <reference field="2" count="0" selected="0"/>
          <reference field="4" count="0"/>
        </references>
      </pivotArea>
    </format>
    <format dxfId="185">
      <pivotArea dataOnly="0" labelOnly="1" outline="0" fieldPosition="0">
        <references count="5">
          <reference field="0" count="0" selected="0"/>
          <reference field="1" count="0" selected="0"/>
          <reference field="2" count="0" selected="0"/>
          <reference field="4" count="0" selected="0"/>
          <reference field="5" count="0"/>
        </references>
      </pivotArea>
    </format>
    <format dxfId="184">
      <pivotArea dataOnly="0" labelOnly="1" outline="0" fieldPosition="0">
        <references count="6">
          <reference field="0" count="0" selected="0"/>
          <reference field="1" count="0" selected="0"/>
          <reference field="2" count="0" selected="0"/>
          <reference field="4" count="0" selected="0"/>
          <reference field="5" count="0" selected="0"/>
          <reference field="6" count="0"/>
        </references>
      </pivotArea>
    </format>
    <format dxfId="183">
      <pivotArea dataOnly="0" labelOnly="1" outline="0" fieldPosition="0">
        <references count="7">
          <reference field="0" count="0" selected="0"/>
          <reference field="1" count="0" selected="0"/>
          <reference field="2" count="0" selected="0"/>
          <reference field="4" count="0" selected="0"/>
          <reference field="5" count="0" selected="0"/>
          <reference field="6" count="0" selected="0"/>
          <reference field="7" count="0"/>
        </references>
      </pivotArea>
    </format>
    <format dxfId="182">
      <pivotArea dataOnly="0" labelOnly="1" outline="0" fieldPosition="0">
        <references count="8">
          <reference field="0" count="0" selected="0"/>
          <reference field="1" count="0" selected="0"/>
          <reference field="2" count="0" selected="0"/>
          <reference field="4" count="0" selected="0"/>
          <reference field="5" count="0" selected="0"/>
          <reference field="6" count="0" selected="0"/>
          <reference field="7" count="0" selected="0"/>
          <reference field="8" count="0"/>
        </references>
      </pivotArea>
    </format>
    <format dxfId="181">
      <pivotArea dataOnly="0" labelOnly="1" outline="0" fieldPosition="0">
        <references count="1">
          <reference field="4294967294" count="3">
            <x v="0"/>
            <x v="1"/>
            <x v="2"/>
          </reference>
        </references>
      </pivotArea>
    </format>
    <format dxfId="180">
      <pivotArea outline="0" fieldPosition="0">
        <references count="2">
          <reference field="0" count="0" selected="0"/>
          <reference field="1" count="0" selected="0" defaultSubtotal="1"/>
        </references>
      </pivotArea>
    </format>
    <format dxfId="179">
      <pivotArea dataOnly="0" labelOnly="1" outline="0" fieldPosition="0">
        <references count="2">
          <reference field="0" count="0" selected="0"/>
          <reference field="1" count="0" defaultSubtotal="1"/>
        </references>
      </pivotArea>
    </format>
    <format dxfId="4">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DCF3A7-3C67-4C18-902F-90CB651C71A2}" name="PivotTable2" cacheId="12"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L4" firstHeaderRow="0" firstDataRow="1" firstDataCol="8"/>
  <pivotFields count="15">
    <pivotField name="$No_GLAcc$" axis="axisRow" compact="0" outline="0" showAll="0" defaultSubtotal="0">
      <items count="1">
        <item x="0"/>
      </items>
    </pivotField>
    <pivotField name="$AcctName$" axis="axisRow" compact="0" outline="0" showAll="0">
      <items count="2">
        <item x="0"/>
        <item t="default"/>
      </items>
    </pivotField>
    <pivotField name="$PostingDate$" axis="axisRow" compact="0" outline="0" showAll="0" defaultSubtotal="0">
      <items count="1">
        <item x="0"/>
      </items>
    </pivotField>
    <pivotField name="DocumentType" compact="0" outline="0" showAll="0" defaultSubtotal="0">
      <items count="1">
        <item x="0"/>
      </items>
    </pivotField>
    <pivotField name="$DocType$" axis="axisRow" compact="0" outline="0" showAll="0" defaultSubtotal="0">
      <items count="1">
        <item x="0"/>
      </items>
    </pivotField>
    <pivotField name="$DocNo$" axis="axisRow" compact="0" outline="0" showAll="0" defaultSubtotal="0">
      <items count="1">
        <item x="0"/>
      </items>
    </pivotField>
    <pivotField name="$DeferralAccount$" axis="axisRow" compact="0" outline="0" showAll="0" defaultSubtotal="0">
      <items count="1">
        <item x="0"/>
      </items>
    </pivotField>
    <pivotField name="$DefStartDate$" axis="axisRow" compact="0" outline="0" showAll="0" defaultSubtotal="0">
      <items count="1">
        <item x="0"/>
      </items>
    </pivotField>
    <pivotField name="$NumOfPeriods$"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numFmtId="22" outline="0" showAll="0" defaultSubtotal="0"/>
    <pivotField compact="0" outline="0" showAll="0" defaultSubtotal="0"/>
  </pivotFields>
  <rowFields count="8">
    <field x="0"/>
    <field x="1"/>
    <field x="2"/>
    <field x="4"/>
    <field x="5"/>
    <field x="6"/>
    <field x="7"/>
    <field x="8"/>
  </rowFields>
  <rowItems count="3">
    <i>
      <x/>
      <x/>
      <x/>
      <x/>
      <x/>
      <x/>
      <x/>
      <x/>
    </i>
    <i t="default" r="1">
      <x/>
    </i>
    <i t="grand">
      <x/>
    </i>
  </rowItems>
  <colFields count="1">
    <field x="-2"/>
  </colFields>
  <colItems count="3">
    <i>
      <x/>
    </i>
    <i i="1">
      <x v="1"/>
    </i>
    <i i="2">
      <x v="2"/>
    </i>
  </colItems>
  <dataFields count="3">
    <dataField name="$AmountRecognized$" fld="9" baseField="0" baseItem="0"/>
    <dataField name="$RemAmountDef$" fld="10" baseField="0" baseItem="0"/>
    <dataField name="$TotalAmountDef$" fld="11" baseField="0" baseItem="0"/>
  </dataFields>
  <formats count="53">
    <format dxfId="178">
      <pivotArea field="8" type="button" dataOnly="0" labelOnly="1" outline="0" axis="axisRow" fieldPosition="7"/>
    </format>
    <format dxfId="177">
      <pivotArea dataOnly="0" labelOnly="1" outline="0" fieldPosition="0">
        <references count="1">
          <reference field="4294967294" count="3">
            <x v="0"/>
            <x v="1"/>
            <x v="2"/>
          </reference>
        </references>
      </pivotArea>
    </format>
    <format dxfId="176">
      <pivotArea field="7" type="button" dataOnly="0" labelOnly="1" outline="0" axis="axisRow" fieldPosition="6"/>
    </format>
    <format dxfId="175">
      <pivotArea field="2" type="button" dataOnly="0" labelOnly="1" outline="0" axis="axisRow" fieldPosition="2"/>
    </format>
    <format dxfId="174">
      <pivotArea field="0" type="button" dataOnly="0" labelOnly="1" outline="0" axis="axisRow" fieldPosition="0"/>
    </format>
    <format dxfId="173">
      <pivotArea field="1" type="button" dataOnly="0" labelOnly="1" outline="0" axis="axisRow" fieldPosition="1"/>
    </format>
    <format dxfId="172">
      <pivotArea field="2" type="button" dataOnly="0" labelOnly="1" outline="0" axis="axisRow" fieldPosition="2"/>
    </format>
    <format dxfId="171">
      <pivotArea field="3" type="button" dataOnly="0" labelOnly="1" outline="0"/>
    </format>
    <format dxfId="170">
      <pivotArea field="4" type="button" dataOnly="0" labelOnly="1" outline="0" axis="axisRow" fieldPosition="3"/>
    </format>
    <format dxfId="169">
      <pivotArea field="5" type="button" dataOnly="0" labelOnly="1" outline="0" axis="axisRow" fieldPosition="4"/>
    </format>
    <format dxfId="168">
      <pivotArea field="6" type="button" dataOnly="0" labelOnly="1" outline="0" axis="axisRow" fieldPosition="5"/>
    </format>
    <format dxfId="167">
      <pivotArea field="7" type="button" dataOnly="0" labelOnly="1" outline="0" axis="axisRow" fieldPosition="6"/>
    </format>
    <format dxfId="166">
      <pivotArea field="8" type="button" dataOnly="0" labelOnly="1" outline="0" axis="axisRow" fieldPosition="7"/>
    </format>
    <format dxfId="165">
      <pivotArea dataOnly="0" labelOnly="1" outline="0" fieldPosition="0">
        <references count="1">
          <reference field="4294967294" count="3">
            <x v="0"/>
            <x v="1"/>
            <x v="2"/>
          </reference>
        </references>
      </pivotArea>
    </format>
    <format dxfId="164">
      <pivotArea type="all" dataOnly="0" outline="0" fieldPosition="0"/>
    </format>
    <format dxfId="163">
      <pivotArea outline="0" collapsedLevelsAreSubtotals="1" fieldPosition="0"/>
    </format>
    <format dxfId="162">
      <pivotArea field="0" type="button" dataOnly="0" labelOnly="1" outline="0" axis="axisRow" fieldPosition="0"/>
    </format>
    <format dxfId="161">
      <pivotArea field="1" type="button" dataOnly="0" labelOnly="1" outline="0" axis="axisRow" fieldPosition="1"/>
    </format>
    <format dxfId="160">
      <pivotArea field="2" type="button" dataOnly="0" labelOnly="1" outline="0" axis="axisRow" fieldPosition="2"/>
    </format>
    <format dxfId="159">
      <pivotArea field="3" type="button" dataOnly="0" labelOnly="1" outline="0"/>
    </format>
    <format dxfId="158">
      <pivotArea field="4" type="button" dataOnly="0" labelOnly="1" outline="0" axis="axisRow" fieldPosition="3"/>
    </format>
    <format dxfId="157">
      <pivotArea field="5" type="button" dataOnly="0" labelOnly="1" outline="0" axis="axisRow" fieldPosition="4"/>
    </format>
    <format dxfId="156">
      <pivotArea field="6" type="button" dataOnly="0" labelOnly="1" outline="0" axis="axisRow" fieldPosition="5"/>
    </format>
    <format dxfId="155">
      <pivotArea field="7" type="button" dataOnly="0" labelOnly="1" outline="0" axis="axisRow" fieldPosition="6"/>
    </format>
    <format dxfId="154">
      <pivotArea field="8" type="button" dataOnly="0" labelOnly="1" outline="0" axis="axisRow" fieldPosition="7"/>
    </format>
    <format dxfId="153">
      <pivotArea dataOnly="0" labelOnly="1" outline="0" fieldPosition="0">
        <references count="1">
          <reference field="0" count="0"/>
        </references>
      </pivotArea>
    </format>
    <format dxfId="152">
      <pivotArea dataOnly="0" labelOnly="1" grandRow="1" outline="0" fieldPosition="0"/>
    </format>
    <format dxfId="151">
      <pivotArea dataOnly="0" labelOnly="1" outline="0" fieldPosition="0">
        <references count="2">
          <reference field="0" count="0" selected="0"/>
          <reference field="1" count="0"/>
        </references>
      </pivotArea>
    </format>
    <format dxfId="150">
      <pivotArea dataOnly="0" labelOnly="1" outline="0" fieldPosition="0">
        <references count="3">
          <reference field="0" count="0" selected="0"/>
          <reference field="1" count="0" selected="0"/>
          <reference field="2" count="0"/>
        </references>
      </pivotArea>
    </format>
    <format dxfId="149">
      <pivotArea dataOnly="0" labelOnly="1" outline="0" fieldPosition="0">
        <references count="1">
          <reference field="4294967294" count="3">
            <x v="0"/>
            <x v="1"/>
            <x v="2"/>
          </reference>
        </references>
      </pivotArea>
    </format>
    <format dxfId="148">
      <pivotArea type="all" dataOnly="0" outline="0" fieldPosition="0"/>
    </format>
    <format dxfId="147">
      <pivotArea outline="0" collapsedLevelsAreSubtotals="1" fieldPosition="0"/>
    </format>
    <format dxfId="146">
      <pivotArea field="0" type="button" dataOnly="0" labelOnly="1" outline="0" axis="axisRow" fieldPosition="0"/>
    </format>
    <format dxfId="145">
      <pivotArea field="1" type="button" dataOnly="0" labelOnly="1" outline="0" axis="axisRow" fieldPosition="1"/>
    </format>
    <format dxfId="144">
      <pivotArea field="2" type="button" dataOnly="0" labelOnly="1" outline="0" axis="axisRow" fieldPosition="2"/>
    </format>
    <format dxfId="143">
      <pivotArea field="4" type="button" dataOnly="0" labelOnly="1" outline="0" axis="axisRow" fieldPosition="3"/>
    </format>
    <format dxfId="142">
      <pivotArea field="5" type="button" dataOnly="0" labelOnly="1" outline="0" axis="axisRow" fieldPosition="4"/>
    </format>
    <format dxfId="141">
      <pivotArea field="6" type="button" dataOnly="0" labelOnly="1" outline="0" axis="axisRow" fieldPosition="5"/>
    </format>
    <format dxfId="140">
      <pivotArea field="7" type="button" dataOnly="0" labelOnly="1" outline="0" axis="axisRow" fieldPosition="6"/>
    </format>
    <format dxfId="139">
      <pivotArea field="8" type="button" dataOnly="0" labelOnly="1" outline="0" axis="axisRow" fieldPosition="7"/>
    </format>
    <format dxfId="138">
      <pivotArea dataOnly="0" labelOnly="1" outline="0" fieldPosition="0">
        <references count="1">
          <reference field="0" count="0"/>
        </references>
      </pivotArea>
    </format>
    <format dxfId="137">
      <pivotArea dataOnly="0" labelOnly="1" grandRow="1" outline="0" fieldPosition="0"/>
    </format>
    <format dxfId="136">
      <pivotArea dataOnly="0" labelOnly="1" outline="0" fieldPosition="0">
        <references count="2">
          <reference field="0" count="0" selected="0"/>
          <reference field="1" count="0"/>
        </references>
      </pivotArea>
    </format>
    <format dxfId="135">
      <pivotArea dataOnly="0" labelOnly="1" outline="0" fieldPosition="0">
        <references count="3">
          <reference field="0" count="0" selected="0"/>
          <reference field="1" count="0" selected="0"/>
          <reference field="2" count="0"/>
        </references>
      </pivotArea>
    </format>
    <format dxfId="134">
      <pivotArea dataOnly="0" labelOnly="1" outline="0" fieldPosition="0">
        <references count="4">
          <reference field="0" count="0" selected="0"/>
          <reference field="1" count="0" selected="0"/>
          <reference field="2" count="0" selected="0"/>
          <reference field="4" count="0"/>
        </references>
      </pivotArea>
    </format>
    <format dxfId="133">
      <pivotArea dataOnly="0" labelOnly="1" outline="0" fieldPosition="0">
        <references count="5">
          <reference field="0" count="0" selected="0"/>
          <reference field="1" count="0" selected="0"/>
          <reference field="2" count="0" selected="0"/>
          <reference field="4" count="0" selected="0"/>
          <reference field="5" count="0"/>
        </references>
      </pivotArea>
    </format>
    <format dxfId="132">
      <pivotArea dataOnly="0" labelOnly="1" outline="0" fieldPosition="0">
        <references count="6">
          <reference field="0" count="0" selected="0"/>
          <reference field="1" count="0" selected="0"/>
          <reference field="2" count="0" selected="0"/>
          <reference field="4" count="0" selected="0"/>
          <reference field="5" count="0" selected="0"/>
          <reference field="6" count="0"/>
        </references>
      </pivotArea>
    </format>
    <format dxfId="131">
      <pivotArea dataOnly="0" labelOnly="1" outline="0" fieldPosition="0">
        <references count="7">
          <reference field="0" count="0" selected="0"/>
          <reference field="1" count="0" selected="0"/>
          <reference field="2" count="0" selected="0"/>
          <reference field="4" count="0" selected="0"/>
          <reference field="5" count="0" selected="0"/>
          <reference field="6" count="0" selected="0"/>
          <reference field="7" count="0"/>
        </references>
      </pivotArea>
    </format>
    <format dxfId="130">
      <pivotArea dataOnly="0" labelOnly="1" outline="0" fieldPosition="0">
        <references count="8">
          <reference field="0" count="0" selected="0"/>
          <reference field="1" count="0" selected="0"/>
          <reference field="2" count="0" selected="0"/>
          <reference field="4" count="0" selected="0"/>
          <reference field="5" count="0" selected="0"/>
          <reference field="6" count="0" selected="0"/>
          <reference field="7" count="0" selected="0"/>
          <reference field="8" count="0"/>
        </references>
      </pivotArea>
    </format>
    <format dxfId="129">
      <pivotArea dataOnly="0" labelOnly="1" outline="0" fieldPosition="0">
        <references count="1">
          <reference field="4294967294" count="3">
            <x v="0"/>
            <x v="1"/>
            <x v="2"/>
          </reference>
        </references>
      </pivotArea>
    </format>
    <format dxfId="128">
      <pivotArea outline="0" fieldPosition="0">
        <references count="2">
          <reference field="0" count="0" selected="0"/>
          <reference field="1" count="0" selected="0" defaultSubtotal="1"/>
        </references>
      </pivotArea>
    </format>
    <format dxfId="127">
      <pivotArea dataOnly="0" labelOnly="1" outline="0" fieldPosition="0">
        <references count="2">
          <reference field="0" count="0" selected="0"/>
          <reference field="1" count="0" defaultSubtotal="1"/>
        </references>
      </pivotArea>
    </format>
    <format dxfId="1">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C1646A92-FB0D-4CFB-8719-3CD0143D7EED}" autoFormatId="16" applyNumberFormats="0" applyBorderFormats="0" applyFontFormats="0" applyPatternFormats="0" applyAlignmentFormats="0" applyWidthHeightFormats="0">
  <queryTableRefresh nextId="18">
    <queryTableFields count="15">
      <queryTableField id="1" name="No_GLAcc" tableColumnId="1"/>
      <queryTableField id="2" name="AccountName" tableColumnId="2"/>
      <queryTableField id="3" name="PostingDate" tableColumnId="3"/>
      <queryTableField id="4" name="DocumentType" tableColumnId="4"/>
      <queryTableField id="5" name="GLDocType" tableColumnId="5"/>
      <queryTableField id="6" name="GenJnlDocNo" tableColumnId="6"/>
      <queryTableField id="12" name="DeferralAccount" tableColumnId="12"/>
      <queryTableField id="8" name="DeferralStartDate" tableColumnId="8"/>
      <queryTableField id="7" name="NumOfPeriods" tableColumnId="7"/>
      <queryTableField id="9" name="AmtRecognized" tableColumnId="9"/>
      <queryTableField id="10" name="RemainingAmtDeferred" tableColumnId="10"/>
      <queryTableField id="11" name="TotalAmtDeferred" tableColumnId="11"/>
      <queryTableField id="13" name="PostedDeferralFilter" tableColumnId="13"/>
      <queryTableField id="14" name="BalanceAsOfDateFilter" tableColumnId="14"/>
      <queryTableField id="15" name="Amoun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Name" xr10:uid="{4E95EE78-AEA0-4E8B-8BD9-10EED97F8BB0}" sourceName="AccountName">
  <pivotTables>
    <pivotTable tabId="8" name="PivotTable2"/>
  </pivotTables>
  <data>
    <tabular pivotCacheId="205074433"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DocType" xr10:uid="{F0B0C4F9-C8BA-4D2F-BCAE-0B9D228EFF85}" sourceName="GLDocType">
  <pivotTables>
    <pivotTable tabId="8" name="PivotTable2"/>
  </pivotTables>
  <data>
    <tabular pivotCacheId="205074433"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JnlDocNo" xr10:uid="{9148CB1C-D9CD-4106-BC4E-55D5883E3156}" sourceName="GenJnlDocNo">
  <pivotTables>
    <pivotTable tabId="8" name="PivotTable2"/>
  </pivotTables>
  <data>
    <tabular pivotCacheId="205074433"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rralAccount" xr10:uid="{1C456441-A886-4E1B-B143-5891E8E5E91C}" sourceName="DeferralAccount">
  <pivotTables>
    <pivotTable tabId="8" name="PivotTable2"/>
  </pivotTables>
  <data>
    <tabular pivotCacheId="205074433"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tName$" xr10:uid="{84D67B5E-E334-41CD-8323-C5B0AB52563A}" cache="Slicer_AccountName" caption="$AcctName$" style="Business Central Reports Slicer Style (Template)" rowHeight="273050"/>
  <slicer name="$DocType$" xr10:uid="{01F62BCD-9164-4341-8207-954779C86863}" cache="Slicer_GLDocType" caption="$DocType$" style="Business Central Reports Slicer Style (Template)" rowHeight="273050"/>
  <slicer name="$DocNo$" xr10:uid="{D6FED364-37F1-4432-AD17-2D311433BDAA}" cache="Slicer_GenJnlDocNo" caption="$DocNo$" style="Business Central Reports Slicer Style (Template)" rowHeight="273050"/>
  <slicer name="$DeferralAccount$" xr10:uid="{0FBE3310-E62F-4620-B9F3-19F38AA52605}" cache="Slicer_DeferralAccount" caption="$DeferralAccount$"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C4B415-3716-41DB-BFE7-C2319873D790}" name="DeferralSummaryGL_Query" displayName="DeferralSummaryGL_Query" ref="A1:O2" tableType="queryTable" totalsRowShown="0">
  <autoFilter ref="A1:O2" xr:uid="{A7C4B415-3716-41DB-BFE7-C2319873D790}"/>
  <tableColumns count="15">
    <tableColumn id="1" xr3:uid="{9052D902-99AA-43DB-8AE0-5908350529E8}" uniqueName="1" name="No_GLAcc" queryTableFieldId="1" dataDxfId="126"/>
    <tableColumn id="2" xr3:uid="{B0E14D09-5117-47A5-9DEC-3E90C400B30D}" uniqueName="2" name="AccountName" queryTableFieldId="2" dataDxfId="125"/>
    <tableColumn id="3" xr3:uid="{2096FD64-FE00-42DD-B306-A70DB9FF7DBB}" uniqueName="3" name="PostingDate" queryTableFieldId="3" dataDxfId="114"/>
    <tableColumn id="4" xr3:uid="{82DA3AC0-4D77-4C70-8E57-A1C1F484132D}" uniqueName="4" name="DocumentType" queryTableFieldId="4" dataDxfId="124"/>
    <tableColumn id="5" xr3:uid="{F4FA3942-FAC6-45C3-894B-23D17F4F569C}" uniqueName="5" name="GLDocType" queryTableFieldId="5" dataDxfId="123"/>
    <tableColumn id="6" xr3:uid="{471C861E-F288-4614-9B19-F0C9F74364DE}" uniqueName="6" name="GenJnlDocNo" queryTableFieldId="6" dataDxfId="122"/>
    <tableColumn id="12" xr3:uid="{AB15B492-B2EE-419D-9540-B6FFAE9FA363}" uniqueName="12" name="DeferralAccount" queryTableFieldId="12" dataDxfId="121"/>
    <tableColumn id="8" xr3:uid="{7D819C5D-F1F6-48F8-957B-70DA2F2C19B7}" uniqueName="8" name="DeferralStartDate" queryTableFieldId="8" dataDxfId="113"/>
    <tableColumn id="7" xr3:uid="{E6609EB1-8D92-4037-ABE5-F8BFB467C363}" uniqueName="7" name="NumOfPeriods" queryTableFieldId="7"/>
    <tableColumn id="9" xr3:uid="{CC30AD42-65C7-4258-BE3C-A224D1D1E727}" uniqueName="9" name="AmtRecognized" queryTableFieldId="9"/>
    <tableColumn id="10" xr3:uid="{0F8F17F0-177C-4643-8AF1-0C5C82DC9D3C}" uniqueName="10" name="RemainingAmtDeferred" queryTableFieldId="10"/>
    <tableColumn id="11" xr3:uid="{88237FD3-C4E1-481B-B0A0-2B3FA35AFD3C}" uniqueName="11" name="TotalAmtDeferred" queryTableFieldId="11"/>
    <tableColumn id="13" xr3:uid="{EF57F868-57DA-456F-8F9A-1265D0CC1C49}" uniqueName="13" name="PostedDeferralFilter" queryTableFieldId="13" dataDxfId="120"/>
    <tableColumn id="14" xr3:uid="{3315C968-EE19-4227-A73F-94D954C76EFC}" uniqueName="14" name="BalanceAsOfDateFilter" queryTableFieldId="14" dataDxfId="112"/>
    <tableColumn id="15" xr3:uid="{900A96D1-B6E1-4784-8AC7-11624646AF7F}" uniqueName="15" name="Amount"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AC2" totalsRowShown="0" headerRowDxfId="119">
  <autoFilter ref="A1:AC2" xr:uid="{41D726F2-778D-4B1C-A5EA-875FED73D050}"/>
  <tableColumns count="29">
    <tableColumn id="1" xr3:uid="{21867904-D69E-41E3-B5BE-D9B124B8D7E4}" name="CompanyName"/>
    <tableColumn id="2" xr3:uid="{21867904-D69E-41E3-B5BE-D9B124B8D7E4}" name="PageGroupNo"/>
    <tableColumn id="3" xr3:uid="{21867904-D69E-41E3-B5BE-D9B124B8D7E4}" name="PostedDeferralTableCaption"/>
    <tableColumn id="4" xr3:uid="{21867904-D69E-41E3-B5BE-D9B124B8D7E4}" name="PostedDeferralFilter"/>
    <tableColumn id="5" xr3:uid="{21867904-D69E-41E3-B5BE-D9B124B8D7E4}" name="EmptyString"/>
    <tableColumn id="6" xr3:uid="{21867904-D69E-41E3-B5BE-D9B124B8D7E4}" name="No_GLAcc"/>
    <tableColumn id="7" xr3:uid="{21867904-D69E-41E3-B5BE-D9B124B8D7E4}" name="DeferralSummaryGLCaption"/>
    <tableColumn id="8" xr3:uid="{21867904-D69E-41E3-B5BE-D9B124B8D7E4}" name="PageCaption"/>
    <tableColumn id="9" xr3:uid="{21867904-D69E-41E3-B5BE-D9B124B8D7E4}" name="BalanceCaption"/>
    <tableColumn id="10" xr3:uid="{21867904-D69E-41E3-B5BE-D9B124B8D7E4}" name="PeriodCaption"/>
    <tableColumn id="11" xr3:uid="{21867904-D69E-41E3-B5BE-D9B124B8D7E4}" name="GLBalCaption"/>
    <tableColumn id="12" xr3:uid="{21867904-D69E-41E3-B5BE-D9B124B8D7E4}" name="RemAmtDefCaption"/>
    <tableColumn id="13" xr3:uid="{21867904-D69E-41E3-B5BE-D9B124B8D7E4}" name="TotAmtDefCaption"/>
    <tableColumn id="14" xr3:uid="{21867904-D69E-41E3-B5BE-D9B124B8D7E4}" name="BalanceAsOfDateCaption"/>
    <tableColumn id="15" xr3:uid="{21867904-D69E-41E3-B5BE-D9B124B8D7E4}" name="BalanceAsOfDateFilter"/>
    <tableColumn id="16" xr3:uid="{21867904-D69E-41E3-B5BE-D9B124B8D7E4}" name="AccountNoCaption"/>
    <tableColumn id="17" xr3:uid="{21867904-D69E-41E3-B5BE-D9B124B8D7E4}" name="AmtRecognizedCaption"/>
    <tableColumn id="18" xr3:uid="{21867904-D69E-41E3-B5BE-D9B124B8D7E4}" name="AccountName"/>
    <tableColumn id="19" xr3:uid="{21867904-D69E-41E3-B5BE-D9B124B8D7E4}" name="NumOfPeriods"/>
    <tableColumn id="20" xr3:uid="{21867904-D69E-41E3-B5BE-D9B124B8D7E4}" name="DocumentType"/>
    <tableColumn id="21" xr3:uid="{21867904-D69E-41E3-B5BE-D9B124B8D7E4}" name="DeferralStartDate"/>
    <tableColumn id="22" xr3:uid="{21867904-D69E-41E3-B5BE-D9B124B8D7E4}" name="AmtRecognized"/>
    <tableColumn id="23" xr3:uid="{21867904-D69E-41E3-B5BE-D9B124B8D7E4}" name="RemainingAmtDeferred"/>
    <tableColumn id="24" xr3:uid="{21867904-D69E-41E3-B5BE-D9B124B8D7E4}" name="TotalAmtDeferred"/>
    <tableColumn id="25" xr3:uid="{21867904-D69E-41E3-B5BE-D9B124B8D7E4}" name="PostingDate"/>
    <tableColumn id="26" xr3:uid="{21867904-D69E-41E3-B5BE-D9B124B8D7E4}" name="DeferralAccount"/>
    <tableColumn id="27" xr3:uid="{21867904-D69E-41E3-B5BE-D9B124B8D7E4}" name="Amount"/>
    <tableColumn id="28" xr3:uid="{21867904-D69E-41E3-B5BE-D9B124B8D7E4}" name="GenJnlDocNo"/>
    <tableColumn id="29" xr3:uid="{21867904-D69E-41E3-B5BE-D9B124B8D7E4}" name="GLDocTyp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118">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117">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16">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115">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B12A5-E93B-44BC-AE4F-31BC0615708F}">
  <sheetPr>
    <pageSetUpPr fitToPage="1"/>
  </sheetPr>
  <dimension ref="A2:L9"/>
  <sheetViews>
    <sheetView showGridLines="0" tabSelected="1" workbookViewId="0"/>
  </sheetViews>
  <sheetFormatPr defaultRowHeight="20.399999999999999" x14ac:dyDescent="0.45"/>
  <cols>
    <col min="1" max="1" width="9.09765625" style="14" customWidth="1"/>
    <col min="2" max="2" width="12.19921875" customWidth="1"/>
    <col min="3" max="3" width="22.69921875" customWidth="1"/>
    <col min="4" max="4" width="11.69921875" customWidth="1"/>
    <col min="5" max="5" width="15.09765625" customWidth="1"/>
    <col min="6" max="6" width="13.8984375" customWidth="1"/>
    <col min="7" max="7" width="15.69921875" customWidth="1"/>
    <col min="8" max="8" width="15.59765625" customWidth="1"/>
    <col min="9" max="9" width="12.19921875" customWidth="1"/>
    <col min="10" max="10" width="14.3984375" customWidth="1"/>
    <col min="11" max="11" width="20.796875" customWidth="1"/>
    <col min="12" max="12" width="19.59765625" customWidth="1"/>
    <col min="13" max="13" width="15.5" bestFit="1" customWidth="1"/>
    <col min="14" max="14" width="19.59765625" customWidth="1"/>
  </cols>
  <sheetData>
    <row r="2" spans="2:12" ht="27.6" thickBot="1" x14ac:dyDescent="0.5">
      <c r="B2" s="9" t="s">
        <v>101</v>
      </c>
      <c r="L2" s="8" t="str" cm="1">
        <f t="array" ref="L2">ReportRequest.CompanyName</f>
        <v>Company name Value</v>
      </c>
    </row>
    <row r="3" spans="2:12" ht="21" thickTop="1" x14ac:dyDescent="0.45"/>
    <row r="4" spans="2:12" x14ac:dyDescent="0.45">
      <c r="B4" s="12" t="e" cm="1">
        <f t="array" ref="B4">IF(EndDateFilter="", "", Caption.BalAsOfDate)</f>
        <v>#N/A</v>
      </c>
      <c r="C4" s="13" t="e" cm="1">
        <f t="array" ref="C4">EndDateFilter</f>
        <v>#N/A</v>
      </c>
      <c r="K4" s="11" t="e" cm="1">
        <f t="array" ref="K4">Caption.DataRetrieved</f>
        <v>#NAME?</v>
      </c>
      <c r="L4" s="10" t="str" cm="1">
        <f t="array" ref="L4">ReportRequest.DateLocal</f>
        <v>Date (Local) Value</v>
      </c>
    </row>
    <row r="6" spans="2:12" x14ac:dyDescent="0.45">
      <c r="B6" s="20" t="s">
        <v>111</v>
      </c>
      <c r="C6" s="20" t="s">
        <v>113</v>
      </c>
      <c r="D6" s="21" t="s">
        <v>102</v>
      </c>
      <c r="E6" s="20" t="s">
        <v>114</v>
      </c>
      <c r="F6" s="20" t="s">
        <v>112</v>
      </c>
      <c r="G6" s="20" t="s">
        <v>103</v>
      </c>
      <c r="H6" s="21" t="s">
        <v>104</v>
      </c>
      <c r="I6" s="21" t="s">
        <v>105</v>
      </c>
      <c r="J6" s="22" t="s">
        <v>106</v>
      </c>
      <c r="K6" s="22" t="s">
        <v>107</v>
      </c>
      <c r="L6" s="22" t="s">
        <v>108</v>
      </c>
    </row>
    <row r="7" spans="2:12" x14ac:dyDescent="0.45">
      <c r="B7" s="6"/>
      <c r="C7" s="6"/>
      <c r="D7" s="6" t="s">
        <v>110</v>
      </c>
      <c r="E7" s="6"/>
      <c r="F7" s="6"/>
      <c r="G7" s="6"/>
      <c r="H7" s="6" t="s">
        <v>110</v>
      </c>
      <c r="I7" s="6">
        <v>0</v>
      </c>
      <c r="J7" s="23">
        <v>0</v>
      </c>
      <c r="K7" s="23">
        <v>0</v>
      </c>
      <c r="L7" s="23">
        <v>0</v>
      </c>
    </row>
    <row r="8" spans="2:12" x14ac:dyDescent="0.45">
      <c r="B8" s="6"/>
      <c r="C8" s="25" t="s">
        <v>115</v>
      </c>
      <c r="D8" s="25"/>
      <c r="E8" s="25"/>
      <c r="F8" s="25"/>
      <c r="G8" s="25"/>
      <c r="H8" s="25"/>
      <c r="I8" s="25"/>
      <c r="J8" s="24">
        <v>0</v>
      </c>
      <c r="K8" s="24">
        <v>0</v>
      </c>
      <c r="L8" s="24">
        <v>0</v>
      </c>
    </row>
    <row r="9" spans="2:12" x14ac:dyDescent="0.45">
      <c r="B9" s="6" t="s">
        <v>109</v>
      </c>
      <c r="C9" s="6"/>
      <c r="D9" s="6"/>
      <c r="E9" s="6"/>
      <c r="F9" s="6"/>
      <c r="G9" s="6"/>
      <c r="H9" s="6"/>
      <c r="I9" s="6"/>
      <c r="J9" s="23">
        <v>0</v>
      </c>
      <c r="K9" s="23">
        <v>0</v>
      </c>
      <c r="L9" s="23">
        <v>0</v>
      </c>
    </row>
  </sheetData>
  <pageMargins left="0.25" right="0.25" top="0.75" bottom="0.75" header="0.3" footer="0.3"/>
  <pageSetup paperSize="9" scale="50"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55C41-7AE5-4E22-ACDE-2C8693F18A18}">
  <dimension ref="A1:L4"/>
  <sheetViews>
    <sheetView showGridLines="0" workbookViewId="0"/>
  </sheetViews>
  <sheetFormatPr defaultRowHeight="20.399999999999999" x14ac:dyDescent="0.45"/>
  <cols>
    <col min="1" max="1" width="50.59765625" style="14" customWidth="1"/>
    <col min="2" max="2" width="12.19921875" customWidth="1"/>
    <col min="3" max="3" width="22.69921875" customWidth="1"/>
    <col min="4" max="4" width="11.69921875" customWidth="1"/>
    <col min="5" max="5" width="15.09765625" customWidth="1"/>
    <col min="6" max="6" width="13.8984375" customWidth="1"/>
    <col min="7" max="7" width="15.69921875" customWidth="1"/>
    <col min="8" max="8" width="15.59765625" customWidth="1"/>
    <col min="9" max="9" width="12.19921875" customWidth="1"/>
    <col min="10" max="10" width="14.3984375" customWidth="1"/>
    <col min="11" max="11" width="20.796875" customWidth="1"/>
    <col min="12" max="12" width="19.59765625" customWidth="1"/>
    <col min="13" max="13" width="15.5" bestFit="1" customWidth="1"/>
    <col min="14" max="14" width="19.59765625" customWidth="1"/>
  </cols>
  <sheetData>
    <row r="1" spans="2:12" x14ac:dyDescent="0.45">
      <c r="B1" s="20" t="s">
        <v>111</v>
      </c>
      <c r="C1" s="20" t="s">
        <v>113</v>
      </c>
      <c r="D1" s="21" t="s">
        <v>102</v>
      </c>
      <c r="E1" s="20" t="s">
        <v>114</v>
      </c>
      <c r="F1" s="20" t="s">
        <v>112</v>
      </c>
      <c r="G1" s="20" t="s">
        <v>103</v>
      </c>
      <c r="H1" s="21" t="s">
        <v>104</v>
      </c>
      <c r="I1" s="21" t="s">
        <v>105</v>
      </c>
      <c r="J1" s="22" t="s">
        <v>106</v>
      </c>
      <c r="K1" s="22" t="s">
        <v>107</v>
      </c>
      <c r="L1" s="22" t="s">
        <v>108</v>
      </c>
    </row>
    <row r="2" spans="2:12" x14ac:dyDescent="0.45">
      <c r="B2" s="6"/>
      <c r="C2" s="6"/>
      <c r="D2" s="6" t="s">
        <v>110</v>
      </c>
      <c r="E2" s="6"/>
      <c r="F2" s="6"/>
      <c r="G2" s="6"/>
      <c r="H2" s="6" t="s">
        <v>110</v>
      </c>
      <c r="I2" s="6">
        <v>0</v>
      </c>
      <c r="J2" s="23">
        <v>0</v>
      </c>
      <c r="K2" s="23">
        <v>0</v>
      </c>
      <c r="L2" s="23">
        <v>0</v>
      </c>
    </row>
    <row r="3" spans="2:12" x14ac:dyDescent="0.45">
      <c r="B3" s="6"/>
      <c r="C3" s="25" t="s">
        <v>115</v>
      </c>
      <c r="D3" s="25"/>
      <c r="E3" s="25"/>
      <c r="F3" s="25"/>
      <c r="G3" s="25"/>
      <c r="H3" s="25"/>
      <c r="I3" s="25"/>
      <c r="J3" s="24">
        <v>0</v>
      </c>
      <c r="K3" s="24">
        <v>0</v>
      </c>
      <c r="L3" s="24">
        <v>0</v>
      </c>
    </row>
    <row r="4" spans="2:12" x14ac:dyDescent="0.45">
      <c r="B4" s="6" t="s">
        <v>109</v>
      </c>
      <c r="C4" s="6"/>
      <c r="D4" s="6"/>
      <c r="E4" s="6"/>
      <c r="F4" s="6"/>
      <c r="G4" s="6"/>
      <c r="H4" s="6"/>
      <c r="I4" s="6"/>
      <c r="J4" s="23">
        <v>0</v>
      </c>
      <c r="K4" s="23">
        <v>0</v>
      </c>
      <c r="L4" s="23">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9E677-A724-4737-9523-573762AE4ECB}">
  <dimension ref="A1:B9"/>
  <sheetViews>
    <sheetView showGridLines="0" workbookViewId="0"/>
  </sheetViews>
  <sheetFormatPr defaultColWidth="8.69921875" defaultRowHeight="19.95" customHeight="1" x14ac:dyDescent="0.4"/>
  <cols>
    <col min="1" max="1" width="17.296875" style="15" customWidth="1"/>
    <col min="2" max="2" width="25.59765625" style="15" customWidth="1"/>
    <col min="3" max="16384" width="8.69921875" style="15"/>
  </cols>
  <sheetData>
    <row r="1" spans="1:2" ht="19.95" customHeight="1" x14ac:dyDescent="0.4">
      <c r="A1" s="5" t="s">
        <v>94</v>
      </c>
      <c r="B1" s="16" t="str" cm="1">
        <f t="array" ref="B1">ReportRequest.EnvironmentName</f>
        <v>Environment name Value</v>
      </c>
    </row>
    <row r="2" spans="1:2" ht="19.95" customHeight="1" x14ac:dyDescent="0.4">
      <c r="A2" s="5" t="s">
        <v>95</v>
      </c>
      <c r="B2" s="16" t="str" cm="1">
        <f t="array" ref="B2">ReportRequest.CompanyName</f>
        <v>Company name Value</v>
      </c>
    </row>
    <row r="3" spans="1:2" ht="19.95" customHeight="1" x14ac:dyDescent="0.4">
      <c r="A3" s="5" t="s">
        <v>96</v>
      </c>
      <c r="B3" s="16" t="str" cm="1">
        <f t="array" ref="B3">ReportRequest.UserName</f>
        <v>User name Value</v>
      </c>
    </row>
    <row r="4" spans="1:2" ht="19.95" customHeight="1" x14ac:dyDescent="0.4">
      <c r="A4" s="5" t="s">
        <v>97</v>
      </c>
      <c r="B4" s="17" t="str" cm="1">
        <f t="array" ref="B4">ReportRequest.DateLocal</f>
        <v>Date (Local) Value</v>
      </c>
    </row>
    <row r="5" spans="1:2" ht="19.95" customHeight="1" x14ac:dyDescent="0.4">
      <c r="A5" s="5"/>
      <c r="B5" s="18" t="str" cm="1">
        <f t="array" ref="B5">ReportRequest.DateLocal</f>
        <v>Date (Local) Value</v>
      </c>
    </row>
    <row r="6" spans="1:2" ht="19.95" customHeight="1" x14ac:dyDescent="0.4">
      <c r="A6" s="5" t="s">
        <v>98</v>
      </c>
      <c r="B6" s="16" t="str" cm="1">
        <f t="array" ref="B6">ReportMetadata.ObjectCaption</f>
        <v>Object Caption Value</v>
      </c>
    </row>
    <row r="7" spans="1:2" ht="19.95" customHeight="1" x14ac:dyDescent="0.4">
      <c r="A7" s="5" t="s">
        <v>99</v>
      </c>
      <c r="B7" s="19" t="str">
        <f>HYPERLINK(_xlfn.CONCAT("https://learn.microsoft.com/dynamics365/business-central/reports/report-",ReportMetadata.ObjectID))</f>
        <v>https://learn.microsoft.com/dynamics365/business-central/reports/report-Object ID Value</v>
      </c>
    </row>
    <row r="8" spans="1:2" ht="19.95" customHeight="1" x14ac:dyDescent="0.4">
      <c r="A8" s="5"/>
      <c r="B8" s="6"/>
    </row>
    <row r="9" spans="1:2" ht="19.95" customHeight="1" x14ac:dyDescent="0.4">
      <c r="A9" s="6"/>
      <c r="B9"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8801-2874-43BE-9FCC-FB0BA73E3D66}">
  <dimension ref="A1:O2"/>
  <sheetViews>
    <sheetView workbookViewId="0">
      <selection sqref="A1:O2"/>
    </sheetView>
  </sheetViews>
  <sheetFormatPr defaultRowHeight="16.8" x14ac:dyDescent="0.4"/>
  <cols>
    <col min="1" max="1" width="11.3984375" bestFit="1" customWidth="1"/>
    <col min="2" max="2" width="15.09765625" bestFit="1" customWidth="1"/>
    <col min="3" max="3" width="13.296875" bestFit="1" customWidth="1"/>
    <col min="4" max="4" width="16" bestFit="1" customWidth="1"/>
    <col min="5" max="5" width="12.59765625" bestFit="1" customWidth="1"/>
    <col min="6" max="6" width="14.5" bestFit="1" customWidth="1"/>
    <col min="7" max="7" width="17" bestFit="1" customWidth="1"/>
    <col min="8" max="8" width="18" bestFit="1" customWidth="1"/>
    <col min="9" max="9" width="15.5" bestFit="1" customWidth="1"/>
    <col min="10" max="10" width="16.5" bestFit="1" customWidth="1"/>
    <col min="11" max="11" width="23.3984375" bestFit="1" customWidth="1"/>
    <col min="12" max="12" width="18.5" bestFit="1" customWidth="1"/>
    <col min="13" max="13" width="20.09765625" bestFit="1" customWidth="1"/>
    <col min="14" max="14" width="22.296875" bestFit="1" customWidth="1"/>
    <col min="15" max="15" width="9.796875" bestFit="1" customWidth="1"/>
  </cols>
  <sheetData>
    <row r="1" spans="1:15" x14ac:dyDescent="0.4">
      <c r="A1" t="s">
        <v>69</v>
      </c>
      <c r="B1" t="s">
        <v>81</v>
      </c>
      <c r="C1" t="s">
        <v>88</v>
      </c>
      <c r="D1" t="s">
        <v>83</v>
      </c>
      <c r="E1" t="s">
        <v>92</v>
      </c>
      <c r="F1" t="s">
        <v>91</v>
      </c>
      <c r="G1" t="s">
        <v>89</v>
      </c>
      <c r="H1" t="s">
        <v>84</v>
      </c>
      <c r="I1" t="s">
        <v>82</v>
      </c>
      <c r="J1" t="s">
        <v>85</v>
      </c>
      <c r="K1" t="s">
        <v>86</v>
      </c>
      <c r="L1" t="s">
        <v>87</v>
      </c>
      <c r="M1" t="s">
        <v>67</v>
      </c>
      <c r="N1" t="s">
        <v>78</v>
      </c>
      <c r="O1" t="s">
        <v>90</v>
      </c>
    </row>
    <row r="2" spans="1:15" x14ac:dyDescent="0.4">
      <c r="A2" t="s">
        <v>93</v>
      </c>
      <c r="B2" t="s">
        <v>93</v>
      </c>
      <c r="C2" s="3"/>
      <c r="D2" t="s">
        <v>100</v>
      </c>
      <c r="E2" t="s">
        <v>93</v>
      </c>
      <c r="F2" t="s">
        <v>93</v>
      </c>
      <c r="G2" t="s">
        <v>93</v>
      </c>
      <c r="H2" s="3"/>
      <c r="I2">
        <v>0</v>
      </c>
      <c r="J2">
        <v>0</v>
      </c>
      <c r="K2">
        <v>0</v>
      </c>
      <c r="L2">
        <v>0</v>
      </c>
      <c r="M2" t="s">
        <v>93</v>
      </c>
      <c r="N2" s="7">
        <v>0</v>
      </c>
      <c r="O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
  <sheetViews>
    <sheetView workbookViewId="0">
      <pane ySplit="1" topLeftCell="A2" activePane="bottomLeft" state="frozen"/>
      <selection pane="bottomLeft" activeCell="A2" sqref="A2"/>
    </sheetView>
  </sheetViews>
  <sheetFormatPr defaultRowHeight="16.8" x14ac:dyDescent="0.4"/>
  <cols>
    <col min="1" max="1" width="18.3984375" customWidth="1"/>
  </cols>
  <sheetData>
    <row r="1" spans="1:29" x14ac:dyDescent="0.4">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c r="U1" t="s">
        <v>84</v>
      </c>
      <c r="V1" t="s">
        <v>85</v>
      </c>
      <c r="W1" t="s">
        <v>86</v>
      </c>
      <c r="X1" t="s">
        <v>87</v>
      </c>
      <c r="Y1" t="s">
        <v>88</v>
      </c>
      <c r="Z1" t="s">
        <v>89</v>
      </c>
      <c r="AA1" t="s">
        <v>90</v>
      </c>
      <c r="AB1" t="s">
        <v>91</v>
      </c>
      <c r="AC1" t="s">
        <v>92</v>
      </c>
    </row>
    <row r="2" spans="1:29" x14ac:dyDescent="0.4">
      <c r="A2" t="s">
        <v>93</v>
      </c>
      <c r="B2" s="2">
        <v>0</v>
      </c>
      <c r="C2" t="s">
        <v>93</v>
      </c>
      <c r="D2" t="s">
        <v>93</v>
      </c>
      <c r="E2" t="s">
        <v>93</v>
      </c>
      <c r="F2" t="s">
        <v>93</v>
      </c>
      <c r="G2" t="s">
        <v>93</v>
      </c>
      <c r="H2" t="s">
        <v>93</v>
      </c>
      <c r="I2" t="s">
        <v>93</v>
      </c>
      <c r="J2" t="s">
        <v>93</v>
      </c>
      <c r="K2" t="s">
        <v>93</v>
      </c>
      <c r="L2" t="s">
        <v>93</v>
      </c>
      <c r="M2" t="s">
        <v>93</v>
      </c>
      <c r="N2" t="s">
        <v>93</v>
      </c>
      <c r="O2" s="3">
        <v>0</v>
      </c>
      <c r="P2" t="s">
        <v>93</v>
      </c>
      <c r="Q2" t="s">
        <v>93</v>
      </c>
      <c r="R2" t="s">
        <v>93</v>
      </c>
      <c r="S2" s="2">
        <v>0</v>
      </c>
      <c r="T2" s="2">
        <v>0</v>
      </c>
      <c r="U2" t="s">
        <v>93</v>
      </c>
      <c r="V2" s="4">
        <v>0</v>
      </c>
      <c r="W2" s="4">
        <v>0</v>
      </c>
      <c r="X2" s="4">
        <v>0</v>
      </c>
      <c r="Y2" t="s">
        <v>93</v>
      </c>
      <c r="Z2" t="s">
        <v>93</v>
      </c>
      <c r="AA2" s="4">
        <v>0</v>
      </c>
      <c r="AB2" t="s">
        <v>93</v>
      </c>
      <c r="AC2" t="s">
        <v>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8" x14ac:dyDescent="0.4"/>
  <cols>
    <col min="1" max="1" width="16.8984375" customWidth="1"/>
    <col min="2" max="2" width="11.39843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8" x14ac:dyDescent="0.4"/>
  <cols>
    <col min="1" max="1" width="10.19921875" customWidth="1"/>
    <col min="2" max="2" width="17.39843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heetViews>
  <sheetFormatPr defaultRowHeight="16.8" x14ac:dyDescent="0.4"/>
  <cols>
    <col min="1" max="1" width="25.69921875" customWidth="1"/>
    <col min="2" max="2" width="40.69921875" customWidth="1"/>
    <col min="3" max="3" width="5.69921875" customWidth="1"/>
    <col min="4" max="4" width="25.69921875" customWidth="1"/>
    <col min="5" max="5" width="40.69921875" customWidth="1"/>
    <col min="6" max="6" width="5.69921875" customWidth="1"/>
    <col min="7" max="7" width="25.69921875" customWidth="1"/>
    <col min="8" max="8" width="40.69921875" customWidth="1"/>
    <col min="9" max="9" width="5.69921875" customWidth="1"/>
    <col min="10" max="10" width="40.69921875" customWidth="1"/>
    <col min="11" max="11" width="25.6992187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E4F0CF-9B66-4288-B3D4-BC8E3C1E4146}">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$DeferralSummaryGLPrint$</vt:lpstr>
      <vt:lpstr>$DeferralSummaryGLAnalysis$</vt:lpstr>
      <vt:lpstr>$AboutTheReportLabel$</vt:lpstr>
      <vt:lpstr>DeferralSummaryGL_Query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cp:lastPrinted>2025-06-05T06:13:51Z</cp:lastPrinted>
  <dcterms:modified xsi:type="dcterms:W3CDTF">2026-02-23T03:33:43Z</dcterms:modified>
</cp:coreProperties>
</file>
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hidePivotFieldList="1"/>
  <mc:AlternateContent xmlns:mc="http://schemas.openxmlformats.org/markup-compatibility/2006">
    <mc:Choice Requires="x15">
      <x15ac:absPath xmlns:x15ac="http://schemas.microsoft.com/office/spreadsheetml/2010/11/ac" url="C:\Users\daniel.williams\Source\Gold\Yellowstone.BaseApplication\App\Layers\W1\BaseApp\Manufacturing\Reports\"/>
    </mc:Choice>
  </mc:AlternateContent>
  <xr:revisionPtr revIDLastSave="0" documentId="13_ncr:1_{57BA9265-AB1F-4F29-B2CF-1AA64CC950D2}" xr6:coauthVersionLast="47" xr6:coauthVersionMax="47" xr10:uidLastSave="{00000000-0000-0000-0000-000000000000}"/>
  <bookViews>
    <workbookView xWindow="-120" yWindow="-120" windowWidth="29040" windowHeight="15720" tabRatio="842" xr2:uid="{00000000-000D-0000-FFFF-FFFF00000000}"/>
  </bookViews>
  <sheets>
    <sheet name="$SingleLevelPrint$" sheetId="10" r:id="rId1"/>
    <sheet name="$SingleLevelTopLevelPrint$ " sheetId="11" r:id="rId2"/>
    <sheet name="$SingleLevelExplodedPrint$" sheetId="7" r:id="rId3"/>
    <sheet name="$RolledUpPrint$" sheetId="13" r:id="rId4"/>
    <sheet name="$RolledUpTopLevelPrint$" sheetId="12" r:id="rId5"/>
    <sheet name="$RolledUpExplodedPrint$" sheetId="9" r:id="rId6"/>
    <sheet name="$ProdCostSharesAnalysis$" sheetId="6" r:id="rId7"/>
    <sheet name="$AboutTheReportLabel$" sheetId="8" r:id="rId8"/>
    <sheet name="Data" sheetId="1" state="hidden" r:id="rId9"/>
    <sheet name="TranslationData" sheetId="2" state="hidden" r:id="rId10"/>
    <sheet name="CaptionData" sheetId="3" state="hidden" r:id="rId11"/>
    <sheet name="ProductionCostShares_Query" sheetId="5" state="hidden" r:id="rId12"/>
    <sheet name="Aggregated Metadata" sheetId="4" state="hidden" r:id="rId13"/>
  </sheets>
  <definedNames>
    <definedName name="DataRetrieved">#REF!</definedName>
    <definedName name="DateFilter" xml:space="preserve"> _xlfn.XLOOKUP("DateFilter",#REF!,#REF!)</definedName>
    <definedName name="ExternalData_1" localSheetId="11" hidden="1">ProductionCostShares_Query!$A$1:$AP$2</definedName>
    <definedName name="ReportMetadata.AboutThisReportText" comment="Use this function to get the About This Report Text from the ReportMetadataValues table in the Aggregated Metadata worksheet">_xlfn.XLOOKUP("About This Report Text",ReportMetadataValues[[#All],[Report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_xlfn.XLOOKUP("About This Report Title",ReportMetadataValues[[#All],[Report Property]],ReportMetadataValues[[#All],[Report Property Value]],"none",)</definedName>
    <definedName name="ReportMetadata.ExtensionID" comment="Use this function to get the Extension ID from the ReportMetadataValues table in the Aggregated Metadata worksheet">_xlfn.XLOOKUP("Extension ID",ReportMetadataValues[[#All],[Report Property]],ReportMetadataValues[[#All],[Report Property Value]],"none",)</definedName>
    <definedName name="ReportMetadata.ExtensionName" comment="Use this function to get the Extension Name from the ReportMetadataValues table in the Aggregated Metadata worksheet">_xlfn.XLOOKUP("Extension Name",ReportMetadataValues[[#All],[Report Property]],ReportMetadataValues[[#All],[Report Property Value]],"none",)</definedName>
    <definedName name="ReportMetadata.ExtensionPublisher" comment="Use this function to get the Extension Publisher from the ReportMetadataValues table in the Aggregated Metadata worksheet">_xlfn.XLOOKUP("Extension Publisher",ReportMetadataValues[[#All],[Report Property]],ReportMetadataValues[[#All],[Report Property Value]],"none",)</definedName>
    <definedName name="ReportMetadata.ExtensionVersion" comment="Use this function to get the Extension Version from the ReportMetadataValues table in the Aggregated Metadata worksheet">_xlfn.XLOOKUP("Extension Version",ReportMetadataValues[[#All],[Report Property]],ReportMetadataValues[[#All],[Report Property Value]],"none",)</definedName>
    <definedName name="ReportMetadata.ObjectID" comment="Use this function to get the Object ID from the ReportMetadataValues table in the Aggregated Metadata worksheet">_xlfn.XLOOKUP("Object ID",ReportMetadataValues[[#All],[Report Property]],ReportMetadataValues[[#All],[Report Property Value]],"none",)</definedName>
    <definedName name="ReportMetadata.ObjectName" comment="Use this function to get the Object Name from the ReportMetadataValues table in the Aggregated Metadata worksheet">_xlfn.XLOOKUP("Object Name",ReportMetadataValues[[#All],[Report Property]],ReportMetadataValues[[#All],[Report Property Value]],"none",)</definedName>
    <definedName name="ReportMetadata.ReportHelpLink" comment="Use this function to get the Report help link from the ReportMetadataValues table in the Aggregated Metadata worksheet">_xlfn.XLOOKUP("Report help link",ReportMetadataValues[[#All],[Report Property]],ReportMetadataValues[[#All],[Report Property Value]],"none",)</definedName>
    <definedName name="ReportRequest.CompanyId" comment="Use this function to get the Company Id from the ReportRequestValues table in the Aggregated Metadata worksheet">_xlfn.XLOOKUP("Company Id",ReportRequestValues[[#All],[Request Property]],ReportRequestValues[[#All],[Request Property Value]],"none",)</definedName>
    <definedName name="ReportRequest.CompanyName" comment="Use this function to get the Company name from the ReportRequestValues table in the Aggregated Metadata worksheet">_xlfn.XLOOKUP("Company name",ReportRequestValues[[#All],[Request Property]],ReportRequestValues[[#All],[Request Property Value]],"none",)</definedName>
    <definedName name="ReportRequest.Date" comment="Use this function to get the Date from the ReportRequestValues table in the Aggregated Metadata worksheet">_xlfn.XLOOKUP("Date",ReportRequestValues[[#All],[Request Property]],ReportRequestValues[[#All],[Request Property Value]],"none",)</definedName>
    <definedName name="ReportRequest.EnvironmentName" comment="Use this function to get the Environment name from the ReportRequestValues table in the Aggregated Metadata worksheet">_xlfn.XLOOKUP("Environment name",ReportRequestValues[[#All],[Request Property]],ReportRequestValues[[#All],[Request Property Value]],"none",)</definedName>
    <definedName name="ReportRequest.EnvironmentType" comment="Use this function to get the Environment type from the ReportRequestValues table in the Aggregated Metadata worksheet">_xlfn.XLOOKUP("Environment type",ReportRequestValues[[#All],[Request Property]],ReportRequestValues[[#All],[Request Property Value]],"none",)</definedName>
    <definedName name="ReportRequest.FormatRegion" comment="Use this function to get the Format Region from the ReportRequestValues table in the Aggregated Metadata worksheet">_xlfn.XLOOKUP("Format Region",ReportRequestValues[[#All],[Request Property]],ReportRequestValues[[#All],[Request Property Value]],"none",)</definedName>
    <definedName name="ReportRequest.Language" comment="Use this function to get the Language from the ReportRequestValues table in the Aggregated Metadata worksheet">_xlfn.XLOOKUP("Language",ReportRequestValues[[#All],[Request Property]],ReportRequestValues[[#All],[Request Property Value]],"none",)</definedName>
    <definedName name="ReportRequest.TenantEntraId" comment="Use this function to get the Tenant Entra Id from the ReportRequestValues table in the Aggregated Metadata worksheet">_xlfn.XLOOKUP("Tenant Entra Id",ReportRequestValues[[#All],[Request Property]],ReportRequestValues[[#All],[Request Property Value]],"none",)</definedName>
    <definedName name="ReportRequest.TenantId" comment="Use this function to get the Tenant Id from the ReportRequestValues table in the Aggregated Metadata worksheet">_xlfn.XLOOKUP("Tenant Id",ReportRequestValues[[#All],[Request Property]],ReportRequestValues[[#All],[Request Property Value]],"none",)</definedName>
    <definedName name="ReportRequest.UserName" comment="Use this function to get the User name from the ReportRequestValues table in the Aggregated Metadata worksheet">_xlfn.XLOOKUP("User name",ReportRequestValues[[#All],[Request Property]],ReportRequestValues[[#All],[Request Property Value]],"none",)</definedName>
    <definedName name="Slicer_Level">#N/A</definedName>
    <definedName name="Slicer_No">#N/A</definedName>
    <definedName name="Slicer_ProductionBOMNo">#N/A</definedName>
    <definedName name="Slicer_ReplenishmentSystem">#N/A</definedName>
    <definedName name="Slicer_RoutingNo">#N/A</definedName>
    <definedName name="Slicer_Type">#N/A</definedName>
  </definedNames>
  <calcPr calcId="191029"/>
  <pivotCaches>
    <pivotCache cacheId="3" r:id="rId14"/>
    <pivotCache cacheId="40"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4" i="11" l="1" a="1"/>
  <c r="X4" i="11" s="1"/>
  <c r="W4" i="7" a="1"/>
  <c r="W4" i="7" s="1"/>
  <c r="X4" i="12" a="1"/>
  <c r="X4" i="12" s="1"/>
  <c r="W4" i="9" a="1"/>
  <c r="W4" i="9" s="1"/>
  <c r="B6" i="8" a="1"/>
  <c r="B6" i="8" s="1"/>
  <c r="B4" i="8" a="1"/>
  <c r="B4" i="8" s="1"/>
  <c r="B5" i="8" a="1"/>
  <c r="B5" i="8" s="1"/>
  <c r="T4" i="13" a="1"/>
  <c r="T4" i="13" s="1"/>
  <c r="T4" i="10" a="1"/>
  <c r="T4" i="10" s="1"/>
  <c r="S4" i="10" a="1"/>
  <c r="S4" i="10" s="1"/>
  <c r="V4" i="9" a="1"/>
  <c r="V4" i="9" s="1"/>
  <c r="W4" i="12" a="1"/>
  <c r="W4" i="12" s="1"/>
  <c r="S4" i="13" a="1"/>
  <c r="S4" i="13" s="1"/>
  <c r="V4" i="7" a="1"/>
  <c r="V4" i="7" s="1"/>
  <c r="W4" i="11" a="1"/>
  <c r="W4" i="11" s="1"/>
  <c r="T2" i="13" a="1"/>
  <c r="T2" i="13" s="1"/>
  <c r="X2" i="12" a="1"/>
  <c r="X2" i="12" s="1"/>
  <c r="T2" i="10" a="1"/>
  <c r="T2" i="10" s="1"/>
  <c r="X2" i="11" a="1"/>
  <c r="X2" i="11" s="1"/>
  <c r="W2" i="9" a="1"/>
  <c r="W2" i="9" s="1"/>
  <c r="W2" i="7" a="1"/>
  <c r="W2" i="7" s="1"/>
  <c r="B7" i="8"/>
  <c r="B3" i="8" a="1"/>
  <c r="B3" i="8" s="1"/>
  <c r="B2" i="8" a="1"/>
  <c r="B2" i="8" s="1"/>
  <c r="B1" i="8" a="1"/>
  <c r="B1"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EDBE03-DB64-4DAB-B226-C6AA47DE887E}" keepAlive="1" name="Query - ProductionCostShares_Analysis" description="Connection to the 'ProductionCostShares_Analysis' query in the workbook." type="5" refreshedVersion="8" refreshOnLoad="1" saveData="1">
    <dbPr connection="Provider=Microsoft.Mashup.OleDb.1;Data Source=$Workbook$;Location=ProductionCostShares_Analysis;Extended Properties=&quot;&quot;" command="SELECT * FROM [ProductionCostShares_Analysis]"/>
  </connection>
  <connection id="2" xr16:uid="{754AE041-557E-42B9-A67C-CBFA9C73AE34}" keepAlive="1" name="Query - ProductionCostShares_Query" description="Connection to the 'ProductionCostShares_Query' query in the workbook." type="5" refreshedVersion="8" refreshOnLoad="1" saveData="1">
    <dbPr connection="Provider=Microsoft.Mashup.OleDb.1;Data Source=$Workbook$;Location=ProductionCostShares_Query;Extended Properties=&quot;&quot;" command="SELECT * FROM [ProductionCostShares_Quer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<sst xmlns="http://schemas.openxmlformats.org/spreadsheetml/2006/main" count="351" uniqueCount="137">
  <si>
    <t>Language</t>
  </si>
  <si>
    <t>Value</t>
  </si>
  <si>
    <t>CaptionKey</t>
  </si>
  <si>
    <t>Caption</t>
  </si>
  <si>
    <t>Request Page Option</t>
  </si>
  <si>
    <t>Request Page Option Value</t>
  </si>
  <si>
    <t>Report Property</t>
  </si>
  <si>
    <t>Report Property Value</t>
  </si>
  <si>
    <t>Extension ID</t>
  </si>
  <si>
    <t>Extension ID Value</t>
  </si>
  <si>
    <t>Extension Name</t>
  </si>
  <si>
    <t>Extension Name Value</t>
  </si>
  <si>
    <t>Extension Publisher</t>
  </si>
  <si>
    <t>Extension Publisher Value</t>
  </si>
  <si>
    <t>Extension Version</t>
  </si>
  <si>
    <t>Extension Version Value</t>
  </si>
  <si>
    <t>Object ID</t>
  </si>
  <si>
    <t>Object ID Value</t>
  </si>
  <si>
    <t>Object Name</t>
  </si>
  <si>
    <t>Object Name Value</t>
  </si>
  <si>
    <t>About This Report Title</t>
  </si>
  <si>
    <t>About This Report Title Value</t>
  </si>
  <si>
    <t>About This Report Text</t>
  </si>
  <si>
    <t>About This Report Text Value</t>
  </si>
  <si>
    <t>Report help link</t>
  </si>
  <si>
    <t>Report help link Value</t>
  </si>
  <si>
    <t>Request Property</t>
  </si>
  <si>
    <t>Request Property Value</t>
  </si>
  <si>
    <t>Tenant Id</t>
  </si>
  <si>
    <t>Tenant Id Value</t>
  </si>
  <si>
    <t>Environment name</t>
  </si>
  <si>
    <t>Environment name Value</t>
  </si>
  <si>
    <t>Environment type</t>
  </si>
  <si>
    <t>Environment type Value</t>
  </si>
  <si>
    <t>Company name</t>
  </si>
  <si>
    <t>Company name Value</t>
  </si>
  <si>
    <t>Company Id</t>
  </si>
  <si>
    <t>Company Id Value</t>
  </si>
  <si>
    <t>User name</t>
  </si>
  <si>
    <t>User name Value</t>
  </si>
  <si>
    <t>Date</t>
  </si>
  <si>
    <t>Date Value</t>
  </si>
  <si>
    <t>Language Value</t>
  </si>
  <si>
    <t>Format Region</t>
  </si>
  <si>
    <t>Format Region Value</t>
  </si>
  <si>
    <t>Filter</t>
  </si>
  <si>
    <t>Filter Value</t>
  </si>
  <si>
    <t>CaptionValue</t>
  </si>
  <si>
    <t>Tenant Entra Id</t>
  </si>
  <si>
    <t>Tenant Entra Id Value</t>
  </si>
  <si>
    <t>Type</t>
  </si>
  <si>
    <t>No</t>
  </si>
  <si>
    <t>Description</t>
  </si>
  <si>
    <t>HasWarning</t>
  </si>
  <si>
    <t>VariantCode</t>
  </si>
  <si>
    <t>QtyPerParent</t>
  </si>
  <si>
    <t>QtyPerTopItem</t>
  </si>
  <si>
    <t>QtyPerBOMLine</t>
  </si>
  <si>
    <t>UnitOfMeasureCode</t>
  </si>
  <si>
    <t>BOMUnitOfMeasureCode</t>
  </si>
  <si>
    <t>ReplenishmentSystem</t>
  </si>
  <si>
    <t>UnitCost</t>
  </si>
  <si>
    <t>ScrapPercentage</t>
  </si>
  <si>
    <t>ScrapQtyPerParent</t>
  </si>
  <si>
    <t>ScrapQtyPerTopItem</t>
  </si>
  <si>
    <t>IndirectCostPercentage</t>
  </si>
  <si>
    <t>OverheadRate</t>
  </si>
  <si>
    <t>LotSize</t>
  </si>
  <si>
    <t>ProductionBOMNo</t>
  </si>
  <si>
    <t>RoutingNo</t>
  </si>
  <si>
    <t>ResourceUsageType</t>
  </si>
  <si>
    <t>RolledUpMaterialCost</t>
  </si>
  <si>
    <t>RolledUpMatNonInvtCost</t>
  </si>
  <si>
    <t>RolledUpCapacityCost</t>
  </si>
  <si>
    <t>RolledUpSubcontractedCost</t>
  </si>
  <si>
    <t>RolledUpMfgOvhdCost</t>
  </si>
  <si>
    <t>RolledUpCapacityOvhdCost</t>
  </si>
  <si>
    <t>RolledUpScrapCost</t>
  </si>
  <si>
    <t>SingleLevelMaterialCost</t>
  </si>
  <si>
    <t>SingleLvlMatNonInvtCost</t>
  </si>
  <si>
    <t>SingleLevelCapacityCost</t>
  </si>
  <si>
    <t>SingleLevelSubcontrdCost</t>
  </si>
  <si>
    <t>SingleLevelCapOvhdCost</t>
  </si>
  <si>
    <t>SingleLevelMfgOvhdCost</t>
  </si>
  <si>
    <t>SingleLevelScrapCost</t>
  </si>
  <si>
    <t>TotalCost</t>
  </si>
  <si>
    <t/>
  </si>
  <si>
    <t>False</t>
  </si>
  <si>
    <t>$EnvironmentLabel$</t>
  </si>
  <si>
    <t>$CompanyLabel$</t>
  </si>
  <si>
    <t>$UserLabel$</t>
  </si>
  <si>
    <t>$RunOnLabel$</t>
  </si>
  <si>
    <t>$ReportNameLabel$</t>
  </si>
  <si>
    <t>$DocumentationLabel$</t>
  </si>
  <si>
    <t>$Type$</t>
  </si>
  <si>
    <t>$No$</t>
  </si>
  <si>
    <t>$Description$</t>
  </si>
  <si>
    <t>$UnitCost$</t>
  </si>
  <si>
    <t>EntryNo</t>
  </si>
  <si>
    <t>(blank)</t>
  </si>
  <si>
    <t>$EntryNo$</t>
  </si>
  <si>
    <t>$ReplenishmentSystem$</t>
  </si>
  <si>
    <t>0</t>
  </si>
  <si>
    <t>Show</t>
  </si>
  <si>
    <t>Level1</t>
  </si>
  <si>
    <t>Level</t>
  </si>
  <si>
    <t>$LevelLabel$</t>
  </si>
  <si>
    <t>Level0</t>
  </si>
  <si>
    <t>$SingleLevelMaterialCost$</t>
  </si>
  <si>
    <t>$SingleLevelCapacityCost$</t>
  </si>
  <si>
    <t>$SingleLevelSubcontrdCost$</t>
  </si>
  <si>
    <t>$SingleLevelMfgOvhdCost$</t>
  </si>
  <si>
    <t>$SingleLevelCapOvhdCost$</t>
  </si>
  <si>
    <t>$UnitOfMeasureCode$</t>
  </si>
  <si>
    <t>$BOMUnitOfMeasureCode$</t>
  </si>
  <si>
    <t>$QtyPerParent$</t>
  </si>
  <si>
    <t>$QtyPerTopItem$</t>
  </si>
  <si>
    <t>$QtyPerBOMLine$</t>
  </si>
  <si>
    <t>$RolledUpMaterialCost$</t>
  </si>
  <si>
    <t>$RolledUpMatNonInvtCost$</t>
  </si>
  <si>
    <t>$RolledUpCapacityCost$</t>
  </si>
  <si>
    <t>$RolledUpSubcontractedCost$</t>
  </si>
  <si>
    <t>$RolledUpMfgOvhdCost$</t>
  </si>
  <si>
    <t>$RolledUpCapacityOvhdCost$</t>
  </si>
  <si>
    <t>$RolledUpScrapCost$</t>
  </si>
  <si>
    <t>$SingleLvlMatNonInvtCost$</t>
  </si>
  <si>
    <t>$SingleLevelScrapCost$</t>
  </si>
  <si>
    <t>$TotalCost$</t>
  </si>
  <si>
    <t>$RolledUpCostSharesExploded$</t>
  </si>
  <si>
    <t>$SingleLevelCostSharesExploded$</t>
  </si>
  <si>
    <t>$SingleLevelCostShares$</t>
  </si>
  <si>
    <t>$RolledUpCostShares$</t>
  </si>
  <si>
    <t>IsLeaf</t>
  </si>
  <si>
    <t>LastUnitCostCalcDate</t>
  </si>
  <si>
    <t>$LastUnitCostCalcDate$</t>
  </si>
  <si>
    <t>$SingleLevelCostSharesTopLevel$</t>
  </si>
  <si>
    <t>$RolledUpCostSharesTopLevel$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</si>
</sst>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F400]h:mm:ss\ AM/PM"/>
  </numFmts>
  <fonts count="15" x14ac:knownFonts="1">
    <font>
      <sz val="11"/>
      <name val="Segoe UI"/>
      <family val="2"/>
      <scheme val="minor"/>
    </font>
    <font>
      <b/>
      <sz val="11"/>
      <name val="Segoe UI"/>
      <family val="2"/>
      <scheme val="minor"/>
    </font>
    <font>
      <sz val="10"/>
      <color theme="1"/>
      <name val="Segoe UI Semibold"/>
      <family val="2"/>
      <scheme val="major"/>
    </font>
    <font>
      <b/>
      <sz val="13"/>
      <color theme="1"/>
      <name val="Segoe UI"/>
      <family val="2"/>
      <scheme val="minor"/>
    </font>
    <font>
      <sz val="10"/>
      <color theme="1"/>
      <name val="Segoe UI"/>
      <family val="2"/>
      <scheme val="minor"/>
    </font>
    <font>
      <u/>
      <sz val="11"/>
      <color theme="10"/>
      <name val="Segoe UI"/>
      <family val="2"/>
      <scheme val="minor"/>
    </font>
    <font>
      <sz val="10"/>
      <name val="Segoe UI"/>
      <family val="2"/>
      <scheme val="minor"/>
    </font>
    <font>
      <u/>
      <sz val="10"/>
      <color theme="10"/>
      <name val="Segoe UI"/>
      <family val="2"/>
      <scheme val="minor"/>
    </font>
    <font>
      <b/>
      <sz val="15"/>
      <color theme="1"/>
      <name val="Segoe UI"/>
      <family val="2"/>
      <scheme val="minor"/>
    </font>
    <font>
      <b/>
      <sz val="18"/>
      <color theme="1"/>
      <name val="Segoe UI Semibold"/>
      <family val="2"/>
      <scheme val="major"/>
    </font>
    <font>
      <b/>
      <sz val="10"/>
      <color theme="1"/>
      <name val="Segoe UI Semibold"/>
      <family val="2"/>
      <scheme val="major"/>
    </font>
    <font>
      <sz val="13"/>
      <name val="Segoe UI"/>
      <family val="2"/>
      <scheme val="minor"/>
    </font>
    <font>
      <sz val="8"/>
      <name val="Segoe UI"/>
      <family val="2"/>
      <scheme val="minor"/>
    </font>
    <font>
      <sz val="10"/>
      <name val="Segoe UI Semibold"/>
      <family val="2"/>
      <scheme val="major"/>
    </font>
    <font>
      <sz val="10"/>
      <name val="Segoe UI Semibold"/>
      <scheme val="major"/>
    </font>
  </fonts>
  <fills count="3">
    <fill>
      <patternFill patternType="none"/>
    </fill>
    <fill>
      <patternFill patternType="gray125"/>
    </fill>
    <fill>
      <patternFill patternType="solid">
        <fgColor rgb="FFC0C0C0"/>
        <bgColor indexed="64"/>
      </patternFill>
    </fill>
  </fills>
  <borders count="3">
    <border>
      <left/>
      <right/>
      <top/>
      <bottom/>
      <diagonal/>
    </border>
    <border>
      <left/>
      <right/>
      <top/>
      <bottom style="thick">
        <color theme="4" tint="0.499984740745262"/>
      </bottom>
      <diagonal/>
    </border>
    <border>
      <left/>
      <right/>
      <top/>
      <bottom style="thick">
        <color theme="4"/>
      </bottom>
      <diagonal/>
    </border>
  </borders>
  <cellStyleXfs count="4">
    <xf numFmtId="0" fontId="0" fillId="0" borderId="0"/>
    <xf numFmtId="0" fontId="3" fillId="0" borderId="1" applyNumberFormat="0" applyFill="0" applyAlignment="0" applyProtection="0"/>
    <xf numFmtId="0" fontId="5" fillId="0" borderId="0" applyNumberFormat="0" applyFill="0" applyBorder="0" applyAlignment="0" applyProtection="0"/>
    <xf numFmtId="0" fontId="8" fillId="0" borderId="2" applyNumberFormat="0" applyFill="0" applyBorder="0" applyAlignment="0" applyProtection="0"/>
  </cellStyleXfs>
  <cellXfs count="34">
    <xf numFmtId="0" fontId="0" fillId="0" borderId="0" xfId="0"/>
    <xf numFmtId="49" fontId="1" fillId="2" borderId="0" xfId="0" applyNumberFormat="1" applyFont="1" applyFill="1"/>
    <xf numFmtId="4" fontId="0" fillId="0" borderId="0" xfId="0" applyNumberFormat="1"/>
    <xf numFmtId="1" fontId="0" fillId="0" borderId="0" xfId="0" applyNumberFormat="1"/>
    <xf numFmtId="0" fontId="4" fillId="0" borderId="0" xfId="0" applyFont="1" applyAlignment="1">
      <alignment horizontal="right" vertical="center"/>
    </xf>
    <xf numFmtId="0" fontId="2" fillId="0" borderId="0" xfId="0" applyFont="1" applyAlignment="1">
      <alignment vertical="center"/>
    </xf>
    <xf numFmtId="0" fontId="6" fillId="0" borderId="0" xfId="0" applyFont="1"/>
    <xf numFmtId="0" fontId="9" fillId="0" borderId="0" xfId="3" applyFont="1" applyBorder="1" applyAlignment="1">
      <alignment vertical="center"/>
    </xf>
    <xf numFmtId="0" fontId="10" fillId="0" borderId="1" xfId="1" applyFont="1" applyAlignment="1">
      <alignment horizontal="right" vertical="center"/>
    </xf>
    <xf numFmtId="0" fontId="6" fillId="0" borderId="0" xfId="0" applyFont="1" applyAlignment="1">
      <alignment horizontal="left" vertical="center"/>
    </xf>
    <xf numFmtId="0" fontId="11" fillId="0" borderId="0" xfId="0" applyFont="1"/>
    <xf numFmtId="0" fontId="6" fillId="0" borderId="0" xfId="0" pivotButton="1" applyFont="1"/>
    <xf numFmtId="0" fontId="13" fillId="0" borderId="0" xfId="0" pivotButton="1" applyFont="1"/>
    <xf numFmtId="0" fontId="6" fillId="0" borderId="0" xfId="0" pivotButton="1" applyFont="1" applyAlignment="1">
      <alignment horizontal="left" vertical="center"/>
    </xf>
    <xf numFmtId="14" fontId="0" fillId="0" borderId="0" xfId="0" applyNumberFormat="1"/>
    <xf numFmtId="0" fontId="6" fillId="0" borderId="0" xfId="0" applyFont="1" applyAlignment="1">
      <alignment vertical="center"/>
    </xf>
    <xf numFmtId="0" fontId="6" fillId="0" borderId="0" xfId="0" applyFont="1" applyAlignment="1">
      <alignment vertical="center" wrapText="1"/>
    </xf>
    <xf numFmtId="0" fontId="0" fillId="0" borderId="0" xfId="0" applyAlignment="1">
      <alignment horizontal="right"/>
    </xf>
    <xf numFmtId="14" fontId="6" fillId="0" borderId="0" xfId="0" applyNumberFormat="1" applyFont="1" applyAlignment="1">
      <alignment horizontal="right" vertical="center"/>
    </xf>
    <xf numFmtId="0" fontId="6" fillId="0" borderId="0" xfId="0" applyFont="1" applyAlignment="1">
      <alignment horizontal="right" vertical="center"/>
    </xf>
    <xf numFmtId="0" fontId="13" fillId="0" borderId="0" xfId="0" pivotButton="1" applyFont="1" applyAlignment="1">
      <alignment horizontal="right"/>
    </xf>
    <xf numFmtId="0" fontId="13" fillId="0" borderId="0" xfId="0" pivotButton="1" applyFont="1" applyAlignment="1">
      <alignment wrapText="1"/>
    </xf>
    <xf numFmtId="0" fontId="6" fillId="0" borderId="0" xfId="0" applyFont="1" applyAlignment="1">
      <alignment horizontal="left"/>
    </xf>
    <xf numFmtId="0" fontId="14" fillId="0" borderId="0" xfId="0" pivotButton="1" applyFont="1" applyAlignment="1">
      <alignment horizontal="left" vertical="center"/>
    </xf>
    <xf numFmtId="0" fontId="14" fillId="0" borderId="0" xfId="0" pivotButton="1" applyFont="1" applyAlignment="1">
      <alignment horizontal="left"/>
    </xf>
    <xf numFmtId="0" fontId="14" fillId="0" borderId="0" xfId="0" pivotButton="1" applyFont="1" applyAlignment="1">
      <alignment horizontal="right"/>
    </xf>
    <xf numFmtId="0" fontId="14" fillId="0" borderId="0" xfId="0" pivotButton="1" applyFont="1"/>
    <xf numFmtId="0" fontId="14" fillId="0" borderId="0" xfId="0" pivotButton="1" applyFont="1" applyAlignment="1">
      <alignment wrapText="1"/>
    </xf>
    <xf numFmtId="0" fontId="14" fillId="0" borderId="0" xfId="0" pivotButton="1" applyFont="1" applyAlignment="1">
      <alignment horizontal="right" wrapText="1"/>
    </xf>
    <xf numFmtId="164" fontId="4" fillId="0" borderId="0" xfId="0" applyNumberFormat="1" applyFont="1" applyAlignment="1">
      <alignment horizontal="right" vertical="center"/>
    </xf>
    <xf numFmtId="0" fontId="7" fillId="0" borderId="0" xfId="2" applyFont="1" applyAlignment="1">
      <alignment horizontal="left"/>
    </xf>
    <xf numFmtId="164" fontId="4" fillId="0" borderId="0" xfId="0" applyNumberFormat="1" applyFont="1" applyAlignment="1">
      <alignment horizontal="left" vertical="center"/>
    </xf>
    <xf numFmtId="165" fontId="4" fillId="0" borderId="0" xfId="0" applyNumberFormat="1" applyFont="1" applyAlignment="1">
      <alignment horizontal="left" vertical="center"/>
    </xf>
    <xf numFmtId="0" fontId="14" fillId="0" borderId="0" xfId="0" pivotButton="1" applyFont="1" applyAlignment="1"/>
  </cellXfs>
  <cellStyles count="4">
    <cellStyle name="Heading 1 2" xfId="3" xr:uid="{73FD8594-E007-4D74-B1A3-06C67570E26D}"/>
    <cellStyle name="Heading 2 2" xfId="1" xr:uid="{2A87538B-C1D9-4E48-8711-380FEE5AACFB}"/>
    <cellStyle name="Hyperlink" xfId="2" builtinId="8"/>
    <cellStyle name="Normal" xfId="0" builtinId="0"/>
  </cellStyles>
  <dxfs count="1520">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wrapText="1"/>
    </dxf>
    <dxf>
      <alignment wrapText="1"/>
    </dxf>
    <dxf>
      <alignment vertical="bottom"/>
    </dxf>
    <dxf>
      <alignment vertical="bottom"/>
    </dxf>
    <dxf>
      <alignment vertical="bottom"/>
    </dxf>
    <dxf>
      <alignment vertical="bottom"/>
    </dxf>
    <dxf>
      <alignment vertical="bottom"/>
    </dxf>
    <dxf>
      <alignment vertical="bottom"/>
    </dxf>
    <dxf>
      <alignment vertical="bottom"/>
    </dxf>
    <dxf>
      <font>
        <name val="Segoe UI Semibold"/>
        <scheme val="major"/>
      </font>
    </dxf>
    <dxf>
      <alignment vertical="center"/>
    </dxf>
    <dxf>
      <alignment vertical="center"/>
    </dxf>
    <dxf>
      <alignment vertical="center"/>
    </dxf>
    <dxf>
      <alignment wrapText="1"/>
    </dxf>
    <dxf>
      <alignment wrapText="1"/>
    </dxf>
    <dxf>
      <alignment vertical="center"/>
    </dxf>
    <dxf>
      <alignment horizontal="right"/>
    </dxf>
    <dxf>
      <alignment horizontal="righ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wrapText="1"/>
    </dxf>
    <dxf>
      <alignment wrapText="1"/>
    </dxf>
    <dxf>
      <alignment vertical="bottom"/>
    </dxf>
    <dxf>
      <alignment vertical="bottom"/>
    </dxf>
    <dxf>
      <alignment vertical="bottom"/>
    </dxf>
    <dxf>
      <alignment vertical="bottom"/>
    </dxf>
    <dxf>
      <alignment vertical="bottom"/>
    </dxf>
    <dxf>
      <alignment vertical="bottom"/>
    </dxf>
    <dxf>
      <alignment vertical="bottom"/>
    </dxf>
    <dxf>
      <alignment vertical="center"/>
    </dxf>
    <dxf>
      <alignment vertical="center"/>
    </dxf>
    <dxf>
      <alignment vertical="center"/>
    </dxf>
    <dxf>
      <alignment vertical="center"/>
    </dxf>
    <dxf>
      <font>
        <name val="Segoe UI Semibold"/>
        <scheme val="major"/>
      </font>
    </dxf>
    <dxf>
      <alignment wrapText="1"/>
    </dxf>
    <dxf>
      <alignment wrapText="1"/>
    </dxf>
    <dxf>
      <alignment vertical="center"/>
    </dxf>
    <dxf>
      <alignment horizontal="righ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righ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bottom"/>
    </dxf>
    <dxf>
      <alignment vertical="bottom"/>
    </dxf>
    <dxf>
      <alignment vertical="bottom"/>
    </dxf>
    <dxf>
      <alignment vertical="bottom"/>
    </dxf>
    <dxf>
      <alignment vertical="bottom"/>
    </dxf>
    <dxf>
      <alignment vertical="bottom"/>
    </dxf>
    <dxf>
      <alignment vertical="bottom"/>
    </dxf>
    <dxf>
      <alignment vertical="center"/>
    </dxf>
    <dxf>
      <alignment vertical="center"/>
    </dxf>
    <dxf>
      <alignment vertical="center"/>
    </dxf>
    <dxf>
      <alignment vertical="center"/>
    </dxf>
    <dxf>
      <font>
        <name val="Segoe UI Semibold"/>
        <scheme val="major"/>
      </font>
      <alignment wrapText="1"/>
    </dxf>
    <dxf>
      <alignment vertical="center"/>
    </dxf>
    <dxf>
      <alignment horizontal="righ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0"/>
    </dxf>
    <dxf>
      <alignment horizontal="righ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alignment horizontal="right"/>
    </dxf>
    <dxf>
      <font>
        <name val="Segoe UI Semibold"/>
        <scheme val="major"/>
      </font>
      <alignment horizontal="right"/>
    </dxf>
    <dxf>
      <font>
        <name val="Segoe UI Semibold"/>
        <scheme val="major"/>
      </font>
      <alignment horizontal="right"/>
    </dxf>
    <dxf>
      <font>
        <name val="Segoe UI Semibold"/>
        <scheme val="major"/>
      </font>
    </dxf>
    <dxf>
      <font>
        <name val="Segoe UI Semibold"/>
        <scheme val="major"/>
      </font>
    </dxf>
    <dxf>
      <alignment wrapText="1"/>
    </dxf>
    <dxf>
      <alignment wrapText="1"/>
    </dxf>
    <dxf>
      <alignment wrapText="1"/>
    </dxf>
    <dxf>
      <alignment wrapText="1"/>
    </dxf>
    <dxf>
      <alignment wrapText="1"/>
    </dxf>
    <dxf>
      <alignment vertical="bottom"/>
    </dxf>
    <dxf>
      <alignment vertical="bottom"/>
    </dxf>
    <dxf>
      <alignment vertical="bottom"/>
    </dxf>
    <dxf>
      <alignment vertical="bottom"/>
    </dxf>
    <dxf>
      <alignment vertical="bottom"/>
    </dxf>
    <dxf>
      <alignment vertical="bottom"/>
    </dxf>
    <dxf>
      <alignment vertical="bottom"/>
    </dxf>
    <dxf>
      <alignment vertical="center"/>
    </dxf>
    <dxf>
      <alignment vertical="center"/>
    </dxf>
    <dxf>
      <alignment vertical="center"/>
    </dxf>
    <dxf>
      <alignment vertical="center"/>
    </dxf>
    <dxf>
      <alignment wrapText="1"/>
    </dxf>
    <dxf>
      <alignment wrapText="1"/>
    </dxf>
    <dxf>
      <font>
        <name val="Segoe UI Semibold"/>
        <scheme val="major"/>
      </font>
      <alignment wrapText="1"/>
    </dxf>
    <dxf>
      <alignment vertical="center"/>
    </dxf>
    <dxf>
      <alignment horizontal="righ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wrapText="1"/>
    </dxf>
    <dxf>
      <alignment wrapText="1"/>
    </dxf>
    <dxf>
      <alignment wrapText="1"/>
    </dxf>
    <dxf>
      <alignment wrapText="1"/>
    </dxf>
    <dxf>
      <alignment wrapText="1"/>
    </dxf>
    <dxf>
      <alignment wrapText="1"/>
    </dxf>
    <dxf>
      <alignment wrapText="1"/>
    </dxf>
    <dxf>
      <alignment horizontal="righ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alignment horizontal="right"/>
    </dxf>
    <dxf>
      <font>
        <name val="Segoe UI Semibold"/>
        <scheme val="major"/>
      </font>
      <alignment horizontal="right"/>
    </dxf>
    <dxf>
      <font>
        <name val="Segoe UI Semibold"/>
        <scheme val="major"/>
      </font>
      <alignment horizontal="right"/>
    </dxf>
    <dxf>
      <font>
        <name val="Segoe UI Semibold"/>
        <scheme val="major"/>
      </font>
    </dxf>
    <dxf>
      <font>
        <name val="Segoe UI Semibold"/>
        <scheme val="major"/>
      </font>
    </dxf>
    <dxf>
      <alignment wrapText="1"/>
    </dxf>
    <dxf>
      <alignment wrapText="1"/>
    </dxf>
    <dxf>
      <alignment wrapText="1"/>
    </dxf>
    <dxf>
      <alignment wrapText="1"/>
    </dxf>
    <dxf>
      <alignment wrapText="1"/>
    </dxf>
    <dxf>
      <alignment vertical="bottom"/>
    </dxf>
    <dxf>
      <alignment vertical="bottom"/>
    </dxf>
    <dxf>
      <alignment vertical="bottom"/>
    </dxf>
    <dxf>
      <alignment vertical="bottom"/>
    </dxf>
    <dxf>
      <alignment vertical="bottom"/>
    </dxf>
    <dxf>
      <alignment vertical="bottom"/>
    </dxf>
    <dxf>
      <alignment vertical="bottom"/>
    </dxf>
    <dxf>
      <alignment vertical="center"/>
    </dxf>
    <dxf>
      <alignment vertical="center"/>
    </dxf>
    <dxf>
      <alignment vertical="center"/>
    </dxf>
    <dxf>
      <alignment vertical="center"/>
    </dxf>
    <dxf>
      <alignment wrapText="1"/>
    </dxf>
    <dxf>
      <font>
        <name val="Segoe UI Semibold"/>
        <scheme val="major"/>
      </font>
      <alignment wrapText="1"/>
    </dxf>
    <dxf>
      <alignment vertical="center"/>
    </dxf>
    <dxf>
      <alignment horizontal="right"/>
    </dxf>
    <dxf>
      <alignment horizontal="righ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horizontal="righ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alignment horizontal="right"/>
    </dxf>
    <dxf>
      <font>
        <name val="Segoe UI Semibold"/>
        <scheme val="major"/>
      </font>
      <alignment horizontal="right"/>
    </dxf>
    <dxf>
      <font>
        <name val="Segoe UI Semibold"/>
        <scheme val="major"/>
      </font>
      <alignment horizontal="right"/>
    </dxf>
    <dxf>
      <font>
        <name val="Segoe UI Semibold"/>
        <scheme val="major"/>
      </font>
    </dxf>
    <dxf>
      <font>
        <name val="Segoe UI Semibold"/>
        <scheme val="major"/>
      </font>
    </dxf>
    <dxf>
      <alignment wrapText="1"/>
    </dxf>
    <dxf>
      <alignment wrapText="1"/>
    </dxf>
    <dxf>
      <alignment wrapText="1"/>
    </dxf>
    <dxf>
      <alignment wrapText="1"/>
    </dxf>
    <dxf>
      <alignment wrapText="1"/>
    </dxf>
    <dxf>
      <alignment vertical="bottom"/>
    </dxf>
    <dxf>
      <alignment vertical="bottom"/>
    </dxf>
    <dxf>
      <alignment vertical="bottom"/>
    </dxf>
    <dxf>
      <alignment vertical="bottom"/>
    </dxf>
    <dxf>
      <alignment vertical="bottom"/>
    </dxf>
    <dxf>
      <alignment vertical="bottom"/>
    </dxf>
    <dxf>
      <alignment vertical="bottom"/>
    </dxf>
    <dxf>
      <alignment vertical="center"/>
    </dxf>
    <dxf>
      <alignment vertical="center"/>
    </dxf>
    <dxf>
      <alignment vertical="center"/>
    </dxf>
    <dxf>
      <alignment vertical="center"/>
    </dxf>
    <dxf>
      <alignment wrapText="1"/>
    </dxf>
    <dxf>
      <font>
        <name val="Segoe UI Semibold"/>
        <scheme val="major"/>
      </font>
      <alignment wrapText="1"/>
    </dxf>
    <dxf>
      <alignment vertical="center"/>
    </dxf>
    <dxf>
      <alignment vertical="center"/>
    </dxf>
    <dxf>
      <alignment horizontal="right"/>
    </dxf>
    <dxf>
      <alignment horizontal="righ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0"/>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9" formatCode="d/mm/yyyy"/>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font>
        <name val="Segoe UI Semibold"/>
        <family val="2"/>
        <scheme val="major"/>
      </font>
    </dxf>
    <dxf>
      <alignment horizontal="right"/>
    </dxf>
    <dxf>
      <alignment horizontal="right"/>
    </dxf>
    <dxf>
      <alignment vertical="center"/>
    </dxf>
    <dxf>
      <alignment wrapText="1"/>
    </dxf>
    <dxf>
      <alignment wrapText="1"/>
    </dxf>
    <dxf>
      <alignment vertical="center"/>
    </dxf>
    <dxf>
      <alignment vertical="center"/>
    </dxf>
    <dxf>
      <alignment vertical="center"/>
    </dxf>
    <dxf>
      <font>
        <name val="Segoe UI Semibold"/>
        <scheme val="major"/>
      </font>
    </dxf>
    <dxf>
      <alignment vertical="bottom"/>
    </dxf>
    <dxf>
      <alignment vertical="bottom"/>
    </dxf>
    <dxf>
      <alignment vertical="bottom"/>
    </dxf>
    <dxf>
      <alignment vertical="bottom"/>
    </dxf>
    <dxf>
      <alignment vertical="bottom"/>
    </dxf>
    <dxf>
      <alignment vertical="bottom"/>
    </dxf>
    <dxf>
      <alignment vertical="bottom"/>
    </dxf>
    <dxf>
      <alignment wrapText="1"/>
    </dxf>
    <dxf>
      <alignment wrapText="1"/>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horizontal="righ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alignment horizontal="right"/>
    </dxf>
    <dxf>
      <alignment vertical="center"/>
    </dxf>
    <dxf>
      <alignment wrapText="1"/>
    </dxf>
    <dxf>
      <alignment wrapText="1"/>
    </dxf>
    <dxf>
      <font>
        <name val="Segoe UI Semibold"/>
        <scheme val="major"/>
      </font>
    </dxf>
    <dxf>
      <alignment vertical="center"/>
    </dxf>
    <dxf>
      <alignment vertical="center"/>
    </dxf>
    <dxf>
      <alignment vertical="center"/>
    </dxf>
    <dxf>
      <alignment vertical="center"/>
    </dxf>
    <dxf>
      <alignment vertical="bottom"/>
    </dxf>
    <dxf>
      <alignment vertical="bottom"/>
    </dxf>
    <dxf>
      <alignment vertical="bottom"/>
    </dxf>
    <dxf>
      <alignment vertical="bottom"/>
    </dxf>
    <dxf>
      <alignment vertical="bottom"/>
    </dxf>
    <dxf>
      <alignment vertical="bottom"/>
    </dxf>
    <dxf>
      <alignment vertical="bottom"/>
    </dxf>
    <dxf>
      <alignment wrapText="1"/>
    </dxf>
    <dxf>
      <alignment wrapText="1"/>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horizontal="right"/>
    </dxf>
    <dxf>
      <alignment wrapText="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alignment horizontal="right"/>
    </dxf>
    <dxf>
      <alignment vertical="center"/>
    </dxf>
    <dxf>
      <font>
        <name val="Segoe UI Semibold"/>
        <scheme val="major"/>
      </font>
      <alignment wrapText="1"/>
    </dxf>
    <dxf>
      <alignment vertical="center"/>
    </dxf>
    <dxf>
      <alignment vertical="center"/>
    </dxf>
    <dxf>
      <alignment vertical="center"/>
    </dxf>
    <dxf>
      <alignment vertical="center"/>
    </dxf>
    <dxf>
      <alignment vertical="bottom"/>
    </dxf>
    <dxf>
      <alignment vertical="bottom"/>
    </dxf>
    <dxf>
      <alignment vertical="bottom"/>
    </dxf>
    <dxf>
      <alignment vertical="bottom"/>
    </dxf>
    <dxf>
      <alignment vertical="bottom"/>
    </dxf>
    <dxf>
      <alignment vertical="bottom"/>
    </dxf>
    <dxf>
      <alignment vertical="bottom"/>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alignment horizontal="right"/>
    </dxf>
    <dxf>
      <alignment wrapText="1"/>
    </dxf>
    <dxf>
      <alignment wrapText="1"/>
    </dxf>
    <dxf>
      <alignment wrapText="1"/>
    </dxf>
    <dxf>
      <alignment wrapText="1"/>
    </dxf>
    <dxf>
      <alignment wrapText="1"/>
    </dxf>
    <dxf>
      <alignment wrapText="1"/>
    </dxf>
    <dxf>
      <alignment wrapText="1"/>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alignment horizontal="right"/>
    </dxf>
    <dxf>
      <alignment vertical="center"/>
    </dxf>
    <dxf>
      <font>
        <name val="Segoe UI Semibold"/>
        <scheme val="major"/>
      </font>
      <alignment wrapText="1"/>
    </dxf>
    <dxf>
      <alignment wrapText="1"/>
    </dxf>
    <dxf>
      <alignment wrapText="1"/>
    </dxf>
    <dxf>
      <alignment vertical="center"/>
    </dxf>
    <dxf>
      <alignment vertical="center"/>
    </dxf>
    <dxf>
      <alignment vertical="center"/>
    </dxf>
    <dxf>
      <alignment vertical="center"/>
    </dxf>
    <dxf>
      <alignment vertical="bottom"/>
    </dxf>
    <dxf>
      <alignment vertical="bottom"/>
    </dxf>
    <dxf>
      <alignment vertical="bottom"/>
    </dxf>
    <dxf>
      <alignment vertical="bottom"/>
    </dxf>
    <dxf>
      <alignment vertical="bottom"/>
    </dxf>
    <dxf>
      <alignment vertical="bottom"/>
    </dxf>
    <dxf>
      <alignment vertical="bottom"/>
    </dxf>
    <dxf>
      <alignment wrapText="1"/>
    </dxf>
    <dxf>
      <alignment wrapText="1"/>
    </dxf>
    <dxf>
      <alignment wrapText="1"/>
    </dxf>
    <dxf>
      <alignment wrapText="1"/>
    </dxf>
    <dxf>
      <alignment wrapText="1"/>
    </dxf>
    <dxf>
      <font>
        <name val="Segoe UI Semibold"/>
        <scheme val="major"/>
      </font>
    </dxf>
    <dxf>
      <font>
        <name val="Segoe UI Semibold"/>
        <scheme val="major"/>
      </font>
    </dxf>
    <dxf>
      <font>
        <name val="Segoe UI Semibold"/>
        <scheme val="major"/>
      </font>
      <alignment horizontal="right"/>
    </dxf>
    <dxf>
      <font>
        <name val="Segoe UI Semibold"/>
        <scheme val="major"/>
      </font>
      <alignment horizontal="right"/>
    </dxf>
    <dxf>
      <font>
        <name val="Segoe UI Semibold"/>
        <scheme val="major"/>
      </font>
      <alignment horizontal="righ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horizontal="right"/>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vertical="center"/>
    </dxf>
    <dxf>
      <font>
        <name val="Segoe UI Semibold"/>
        <scheme val="major"/>
      </font>
      <alignment wrapText="1"/>
    </dxf>
    <dxf>
      <alignment wrapText="1"/>
    </dxf>
    <dxf>
      <alignment vertical="center"/>
    </dxf>
    <dxf>
      <alignment vertical="center"/>
    </dxf>
    <dxf>
      <alignment vertical="center"/>
    </dxf>
    <dxf>
      <alignment vertical="center"/>
    </dxf>
    <dxf>
      <alignment vertical="bottom"/>
    </dxf>
    <dxf>
      <alignment vertical="bottom"/>
    </dxf>
    <dxf>
      <alignment vertical="bottom"/>
    </dxf>
    <dxf>
      <alignment vertical="bottom"/>
    </dxf>
    <dxf>
      <alignment vertical="bottom"/>
    </dxf>
    <dxf>
      <alignment vertical="bottom"/>
    </dxf>
    <dxf>
      <alignment vertical="bottom"/>
    </dxf>
    <dxf>
      <alignment wrapText="1"/>
    </dxf>
    <dxf>
      <alignment wrapText="1"/>
    </dxf>
    <dxf>
      <alignment wrapText="1"/>
    </dxf>
    <dxf>
      <alignment wrapText="1"/>
    </dxf>
    <dxf>
      <alignment wrapText="1"/>
    </dxf>
    <dxf>
      <font>
        <name val="Segoe UI Semibold"/>
        <scheme val="major"/>
      </font>
    </dxf>
    <dxf>
      <font>
        <name val="Segoe UI Semibold"/>
        <scheme val="major"/>
      </font>
    </dxf>
    <dxf>
      <font>
        <name val="Segoe UI Semibold"/>
        <scheme val="major"/>
      </font>
      <alignment horizontal="right"/>
    </dxf>
    <dxf>
      <font>
        <name val="Segoe UI Semibold"/>
        <scheme val="major"/>
      </font>
      <alignment horizontal="right"/>
    </dxf>
    <dxf>
      <font>
        <name val="Segoe UI Semibold"/>
        <scheme val="major"/>
      </font>
      <alignment horizontal="righ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wrapText="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vertical="center"/>
    </dxf>
    <dxf>
      <alignment vertical="center"/>
    </dxf>
    <dxf>
      <font>
        <name val="Segoe UI Semibold"/>
        <scheme val="major"/>
      </font>
      <alignment wrapText="1"/>
    </dxf>
    <dxf>
      <alignment wrapText="1"/>
    </dxf>
    <dxf>
      <alignment vertical="center"/>
    </dxf>
    <dxf>
      <alignment vertical="center"/>
    </dxf>
    <dxf>
      <alignment vertical="center"/>
    </dxf>
    <dxf>
      <alignment vertical="center"/>
    </dxf>
    <dxf>
      <alignment vertical="bottom"/>
    </dxf>
    <dxf>
      <alignment vertical="bottom"/>
    </dxf>
    <dxf>
      <alignment vertical="bottom"/>
    </dxf>
    <dxf>
      <alignment vertical="bottom"/>
    </dxf>
    <dxf>
      <alignment vertical="bottom"/>
    </dxf>
    <dxf>
      <alignment vertical="bottom"/>
    </dxf>
    <dxf>
      <alignment vertical="bottom"/>
    </dxf>
    <dxf>
      <alignment wrapText="1"/>
    </dxf>
    <dxf>
      <alignment wrapText="1"/>
    </dxf>
    <dxf>
      <alignment wrapText="1"/>
    </dxf>
    <dxf>
      <alignment wrapText="1"/>
    </dxf>
    <dxf>
      <alignment wrapText="1"/>
    </dxf>
    <dxf>
      <font>
        <name val="Segoe UI Semibold"/>
        <scheme val="major"/>
      </font>
    </dxf>
    <dxf>
      <font>
        <name val="Segoe UI Semibold"/>
        <scheme val="major"/>
      </font>
    </dxf>
    <dxf>
      <font>
        <name val="Segoe UI Semibold"/>
        <scheme val="major"/>
      </font>
      <alignment horizontal="right"/>
    </dxf>
    <dxf>
      <font>
        <name val="Segoe UI Semibold"/>
        <scheme val="major"/>
      </font>
      <alignment horizontal="right"/>
    </dxf>
    <dxf>
      <font>
        <name val="Segoe UI Semibold"/>
        <scheme val="major"/>
      </font>
      <alignment horizontal="righ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color theme="1"/>
        <name val="Segoe UI Semibold"/>
        <family val="2"/>
        <scheme val="major"/>
      </font>
    </dxf>
    <dxf>
      <font>
        <sz val="10"/>
        <color theme="1"/>
        <name val="Segoe UI"/>
        <family val="2"/>
        <scheme val="minor"/>
      </font>
      <border diagonalUp="1">
        <left style="thin">
          <color theme="6"/>
        </left>
        <right style="thin">
          <color theme="6"/>
        </right>
        <top style="thin">
          <color theme="6"/>
        </top>
        <bottom style="thin">
          <color theme="6"/>
        </bottom>
        <diagonal style="thin">
          <color theme="6"/>
        </diagonal>
      </border>
    </dxf>
    <dxf>
      <fill>
        <patternFill>
          <bgColor rgb="FFF6F7F8"/>
        </patternFill>
      </fill>
    </dxf>
    <dxf>
      <font>
        <b/>
        <i val="0"/>
      </font>
      <border>
        <top style="thin">
          <color theme="1"/>
        </top>
        <bottom style="thick">
          <color theme="1"/>
        </bottom>
      </border>
    </dxf>
    <dxf>
      <font>
        <color theme="1"/>
      </font>
      <fill>
        <patternFill>
          <bgColor theme="5"/>
        </patternFill>
      </fill>
      <border diagonalUp="0" diagonalDown="0">
        <left/>
        <right/>
        <top style="thin">
          <color theme="4"/>
        </top>
        <bottom style="thin">
          <color theme="4"/>
        </bottom>
        <vertical/>
        <horizontal/>
      </border>
    </dxf>
    <dxf>
      <border>
        <horizontal style="thin">
          <color theme="4"/>
        </horizontal>
      </border>
    </dxf>
  </dxfs>
  <tableStyles count="2" defaultTableStyle="TableStyleMedium2" defaultPivotStyle="Business Central Pivot Table Style (Template)">
    <tableStyle name="Business Central Pivot Table Style (Template)" table="0" count="4" xr9:uid="{85C244C6-E2F1-4F1D-B515-10D7595ECFA5}">
      <tableStyleElement type="wholeTable" dxfId="1519"/>
      <tableStyleElement type="headerRow" dxfId="1518"/>
      <tableStyleElement type="totalRow" dxfId="1517"/>
      <tableStyleElement type="secondRowStripe" dxfId="1516"/>
    </tableStyle>
    <tableStyle name="Business Central Reports Slicer Style (Template)" pivot="0" table="0" count="10" xr9:uid="{128A3FEA-1087-40E4-B8DF-986F8C55FFB3}">
      <tableStyleElement type="wholeTable" dxfId="1515"/>
      <tableStyleElement type="headerRow" dxfId="1514"/>
    </tableStyle>
  </tableStyles>
  <extLst>
    <ext xmlns:x14="http://schemas.microsoft.com/office/spreadsheetml/2009/9/main" uri="{46F421CA-312F-682f-3DD2-61675219B42D}">
      <x14:dxfs count="8">
        <dxf>
          <font>
            <sz val="10"/>
          </font>
          <border diagonalUp="0" diagonalDown="0">
            <left style="thin">
              <color rgb="FF212121"/>
            </left>
            <right style="thin">
              <color rgb="FF212121"/>
            </right>
            <top style="thin">
              <color rgb="FF212121"/>
            </top>
            <bottom style="thin">
              <color rgb="FF212121"/>
            </bottom>
            <vertical/>
            <horizontal/>
          </border>
        </dxf>
        <dxf>
          <font>
            <sz val="10"/>
          </font>
          <border>
            <left style="thin">
              <color rgb="FF212121"/>
            </left>
            <right style="thin">
              <color rgb="FF212121"/>
            </right>
            <top style="thin">
              <color rgb="FF212121"/>
            </top>
            <bottom style="thin">
              <color rgb="FF212121"/>
            </bottom>
          </border>
        </dxf>
        <dxf>
          <font>
            <sz val="10"/>
          </font>
          <border>
            <left style="thin">
              <color rgb="FF212121"/>
            </left>
            <right style="thin">
              <color rgb="FF212121"/>
            </right>
            <top style="thin">
              <color rgb="FF212121"/>
            </top>
            <bottom style="thin">
              <color rgb="FF212121"/>
            </bottom>
          </border>
        </dxf>
        <dxf>
          <font>
            <sz val="10"/>
          </font>
          <border diagonalUp="0" diagonalDown="0">
            <left style="thin">
              <color rgb="FF212121"/>
            </left>
            <right style="thin">
              <color rgb="FF212121"/>
            </right>
            <top style="thin">
              <color rgb="FF212121"/>
            </top>
            <bottom style="thin">
              <color rgb="FF212121"/>
            </bottom>
            <vertical/>
            <horizontal/>
          </border>
        </dxf>
        <dxf>
          <font>
            <b val="0"/>
            <i/>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b val="0"/>
            <i/>
            <sz val="10"/>
            <name val="Segoe UI"/>
            <family val="2"/>
            <scheme val="minor"/>
          </font>
          <fill>
            <patternFill>
              <bgColor rgb="FFF5F7F8"/>
            </patternFill>
          </fill>
        </dxf>
        <dxf>
          <font>
            <sz val="10"/>
          </font>
          <fill>
            <patternFill>
              <bgColor rgb="FFB2E9ED"/>
            </patternFill>
          </fill>
        </dxf>
      </x14:dxfs>
    </ext>
    <ext xmlns:x14="http://schemas.microsoft.com/office/spreadsheetml/2009/9/main" uri="{EB79DEF2-80B8-43e5-95BD-54CBDDF9020C}">
      <x14:slicerStyles defaultSlicerStyle="Business Central Reports Slicer Style (Template)">
        <x14:slicerStyle name="Business Central Reports Slicer Style (Templ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theme" Target="theme/theme1.xml"/><Relationship Id="rId27"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0</xdr:col>
      <xdr:colOff>1852930</xdr:colOff>
      <xdr:row>0</xdr:row>
      <xdr:rowOff>0</xdr:rowOff>
    </xdr:from>
    <xdr:to>
      <xdr:col>0</xdr:col>
      <xdr:colOff>3683630</xdr:colOff>
      <xdr:row>10</xdr:row>
      <xdr:rowOff>101750</xdr:rowOff>
    </xdr:to>
    <mc:AlternateContent xmlns:mc="http://schemas.openxmlformats.org/markup-compatibility/2006" xmlns:a14="http://schemas.microsoft.com/office/drawing/2010/main">
      <mc:Choice Requires="a14">
        <xdr:graphicFrame macro="">
          <xdr:nvGraphicFramePr>
            <xdr:cNvPr id="2" name="$Type$">
              <a:extLst>
                <a:ext uri="{FF2B5EF4-FFF2-40B4-BE49-F238E27FC236}">
                  <a16:creationId xmlns:a16="http://schemas.microsoft.com/office/drawing/2014/main" id="{05D7F501-5AC7-1CF3-4BE5-1D0F9D2E320C}"/>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851660" y="0"/>
              <a:ext cx="1830700" cy="261508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10</xdr:row>
      <xdr:rowOff>135890</xdr:rowOff>
    </xdr:from>
    <xdr:to>
      <xdr:col>0</xdr:col>
      <xdr:colOff>1814190</xdr:colOff>
      <xdr:row>20</xdr:row>
      <xdr:rowOff>231290</xdr:rowOff>
    </xdr:to>
    <mc:AlternateContent xmlns:mc="http://schemas.openxmlformats.org/markup-compatibility/2006" xmlns:a14="http://schemas.microsoft.com/office/drawing/2010/main">
      <mc:Choice Requires="a14">
        <xdr:graphicFrame macro="">
          <xdr:nvGraphicFramePr>
            <xdr:cNvPr id="3" name="$No$">
              <a:extLst>
                <a:ext uri="{FF2B5EF4-FFF2-40B4-BE49-F238E27FC236}">
                  <a16:creationId xmlns:a16="http://schemas.microsoft.com/office/drawing/2014/main" id="{BAD03FDE-F585-6EA3-0A0E-EADEC46B24E4}"/>
                </a:ext>
              </a:extLst>
            </xdr:cNvPr>
            <xdr:cNvGraphicFramePr/>
          </xdr:nvGraphicFramePr>
          <xdr:xfrm>
            <a:off x="0" y="0"/>
            <a:ext cx="0" cy="0"/>
          </xdr:xfrm>
          <a:graphic>
            <a:graphicData uri="http://schemas.microsoft.com/office/drawing/2010/slicer">
              <sle:slicer xmlns:sle="http://schemas.microsoft.com/office/drawing/2010/slicer" name="$No$"/>
            </a:graphicData>
          </a:graphic>
        </xdr:graphicFrame>
      </mc:Choice>
      <mc:Fallback xmlns="">
        <xdr:sp macro="" textlink="">
          <xdr:nvSpPr>
            <xdr:cNvPr id="0" name=""/>
            <xdr:cNvSpPr>
              <a:spLocks noTextEdit="1"/>
            </xdr:cNvSpPr>
          </xdr:nvSpPr>
          <xdr:spPr>
            <a:xfrm>
              <a:off x="0" y="2649220"/>
              <a:ext cx="1812920" cy="261127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1852930</xdr:colOff>
      <xdr:row>10</xdr:row>
      <xdr:rowOff>139700</xdr:rowOff>
    </xdr:from>
    <xdr:to>
      <xdr:col>0</xdr:col>
      <xdr:colOff>3681090</xdr:colOff>
      <xdr:row>20</xdr:row>
      <xdr:rowOff>230020</xdr:rowOff>
    </xdr:to>
    <mc:AlternateContent xmlns:mc="http://schemas.openxmlformats.org/markup-compatibility/2006" xmlns:a14="http://schemas.microsoft.com/office/drawing/2010/main">
      <mc:Choice Requires="a14">
        <xdr:graphicFrame macro="">
          <xdr:nvGraphicFramePr>
            <xdr:cNvPr id="4" name="$ReplenishmentSystem$">
              <a:extLst>
                <a:ext uri="{FF2B5EF4-FFF2-40B4-BE49-F238E27FC236}">
                  <a16:creationId xmlns:a16="http://schemas.microsoft.com/office/drawing/2014/main" id="{81CE6779-5151-995E-DA8B-69C2DDB5548A}"/>
                </a:ext>
              </a:extLst>
            </xdr:cNvPr>
            <xdr:cNvGraphicFramePr/>
          </xdr:nvGraphicFramePr>
          <xdr:xfrm>
            <a:off x="0" y="0"/>
            <a:ext cx="0" cy="0"/>
          </xdr:xfrm>
          <a:graphic>
            <a:graphicData uri="http://schemas.microsoft.com/office/drawing/2010/slicer">
              <sle:slicer xmlns:sle="http://schemas.microsoft.com/office/drawing/2010/slicer" name="$ReplenishmentSystem$"/>
            </a:graphicData>
          </a:graphic>
        </xdr:graphicFrame>
      </mc:Choice>
      <mc:Fallback xmlns="">
        <xdr:sp macro="" textlink="">
          <xdr:nvSpPr>
            <xdr:cNvPr id="0" name=""/>
            <xdr:cNvSpPr>
              <a:spLocks noTextEdit="1"/>
            </xdr:cNvSpPr>
          </xdr:nvSpPr>
          <xdr:spPr>
            <a:xfrm>
              <a:off x="1851660" y="2653030"/>
              <a:ext cx="1828160" cy="260619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21</xdr:row>
      <xdr:rowOff>22860</xdr:rowOff>
    </xdr:from>
    <xdr:to>
      <xdr:col>0</xdr:col>
      <xdr:colOff>1814190</xdr:colOff>
      <xdr:row>31</xdr:row>
      <xdr:rowOff>137310</xdr:rowOff>
    </xdr:to>
    <mc:AlternateContent xmlns:mc="http://schemas.openxmlformats.org/markup-compatibility/2006" xmlns:a14="http://schemas.microsoft.com/office/drawing/2010/main">
      <mc:Choice Requires="a14">
        <xdr:graphicFrame macro="">
          <xdr:nvGraphicFramePr>
            <xdr:cNvPr id="5" name="$ProductionBOMNo$">
              <a:extLst>
                <a:ext uri="{FF2B5EF4-FFF2-40B4-BE49-F238E27FC236}">
                  <a16:creationId xmlns:a16="http://schemas.microsoft.com/office/drawing/2014/main" id="{24F0496C-78E7-E855-2E32-12C9D22428D3}"/>
                </a:ext>
              </a:extLst>
            </xdr:cNvPr>
            <xdr:cNvGraphicFramePr/>
          </xdr:nvGraphicFramePr>
          <xdr:xfrm>
            <a:off x="0" y="0"/>
            <a:ext cx="0" cy="0"/>
          </xdr:xfrm>
          <a:graphic>
            <a:graphicData uri="http://schemas.microsoft.com/office/drawing/2010/slicer">
              <sle:slicer xmlns:sle="http://schemas.microsoft.com/office/drawing/2010/slicer" name="$ProductionBOMNo$"/>
            </a:graphicData>
          </a:graphic>
        </xdr:graphicFrame>
      </mc:Choice>
      <mc:Fallback xmlns="">
        <xdr:sp macro="" textlink="">
          <xdr:nvSpPr>
            <xdr:cNvPr id="0" name=""/>
            <xdr:cNvSpPr>
              <a:spLocks noTextEdit="1"/>
            </xdr:cNvSpPr>
          </xdr:nvSpPr>
          <xdr:spPr>
            <a:xfrm>
              <a:off x="0" y="5308600"/>
              <a:ext cx="1812920" cy="26227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1852930</xdr:colOff>
      <xdr:row>21</xdr:row>
      <xdr:rowOff>20320</xdr:rowOff>
    </xdr:from>
    <xdr:to>
      <xdr:col>0</xdr:col>
      <xdr:colOff>3681090</xdr:colOff>
      <xdr:row>31</xdr:row>
      <xdr:rowOff>134770</xdr:rowOff>
    </xdr:to>
    <mc:AlternateContent xmlns:mc="http://schemas.openxmlformats.org/markup-compatibility/2006" xmlns:a14="http://schemas.microsoft.com/office/drawing/2010/main">
      <mc:Choice Requires="a14">
        <xdr:graphicFrame macro="">
          <xdr:nvGraphicFramePr>
            <xdr:cNvPr id="6" name="$RoutingNo$">
              <a:extLst>
                <a:ext uri="{FF2B5EF4-FFF2-40B4-BE49-F238E27FC236}">
                  <a16:creationId xmlns:a16="http://schemas.microsoft.com/office/drawing/2014/main" id="{F7B2EFBA-BB3B-6832-21B6-FDC66BC83B45}"/>
                </a:ext>
              </a:extLst>
            </xdr:cNvPr>
            <xdr:cNvGraphicFramePr/>
          </xdr:nvGraphicFramePr>
          <xdr:xfrm>
            <a:off x="0" y="0"/>
            <a:ext cx="0" cy="0"/>
          </xdr:xfrm>
          <a:graphic>
            <a:graphicData uri="http://schemas.microsoft.com/office/drawing/2010/slicer">
              <sle:slicer xmlns:sle="http://schemas.microsoft.com/office/drawing/2010/slicer" name="$RoutingNo$"/>
            </a:graphicData>
          </a:graphic>
        </xdr:graphicFrame>
      </mc:Choice>
      <mc:Fallback xmlns="">
        <xdr:sp macro="" textlink="">
          <xdr:nvSpPr>
            <xdr:cNvPr id="0" name=""/>
            <xdr:cNvSpPr>
              <a:spLocks noTextEdit="1"/>
            </xdr:cNvSpPr>
          </xdr:nvSpPr>
          <xdr:spPr>
            <a:xfrm>
              <a:off x="1851660" y="5306060"/>
              <a:ext cx="1828160" cy="26290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0</xdr:row>
      <xdr:rowOff>0</xdr:rowOff>
    </xdr:from>
    <xdr:to>
      <xdr:col>0</xdr:col>
      <xdr:colOff>1816730</xdr:colOff>
      <xdr:row>10</xdr:row>
      <xdr:rowOff>97940</xdr:rowOff>
    </xdr:to>
    <mc:AlternateContent xmlns:mc="http://schemas.openxmlformats.org/markup-compatibility/2006" xmlns:a14="http://schemas.microsoft.com/office/drawing/2010/main">
      <mc:Choice Requires="a14">
        <xdr:graphicFrame macro="">
          <xdr:nvGraphicFramePr>
            <xdr:cNvPr id="7" name="$LevelLabel$">
              <a:extLst>
                <a:ext uri="{FF2B5EF4-FFF2-40B4-BE49-F238E27FC236}">
                  <a16:creationId xmlns:a16="http://schemas.microsoft.com/office/drawing/2014/main" id="{43FD54FF-1125-1047-2F6D-0520F18B2947}"/>
                </a:ext>
              </a:extLst>
            </xdr:cNvPr>
            <xdr:cNvGraphicFramePr/>
          </xdr:nvGraphicFramePr>
          <xdr:xfrm>
            <a:off x="0" y="0"/>
            <a:ext cx="0" cy="0"/>
          </xdr:xfrm>
          <a:graphic>
            <a:graphicData uri="http://schemas.microsoft.com/office/drawing/2010/slicer">
              <sle:slicer xmlns:sle="http://schemas.microsoft.com/office/drawing/2010/slicer" name="$LevelLabel$"/>
            </a:graphicData>
          </a:graphic>
        </xdr:graphicFrame>
      </mc:Choice>
      <mc:Fallback xmlns="">
        <xdr:sp macro="" textlink="">
          <xdr:nvSpPr>
            <xdr:cNvPr id="0" name=""/>
            <xdr:cNvSpPr>
              <a:spLocks noTextEdit="1"/>
            </xdr:cNvSpPr>
          </xdr:nvSpPr>
          <xdr:spPr>
            <a:xfrm>
              <a:off x="0" y="0"/>
              <a:ext cx="1815460" cy="261127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aniel Williams" refreshedDate="45890.709126851849" createdVersion="8" refreshedVersion="8" minRefreshableVersion="3" recordCount="1" xr:uid="{6FEB1076-5E83-49FB-9F57-C6C4EE9CB0D4}">
  <cacheSource type="external" connectionId="1"/>
  <cacheFields count="40">
    <cacheField name="EntryNo" numFmtId="0">
      <sharedItems containsString="0" containsBlank="1" count="1">
        <m/>
      </sharedItems>
    </cacheField>
    <cacheField name="Type" numFmtId="0">
      <sharedItems count="1">
        <s v=""/>
      </sharedItems>
    </cacheField>
    <cacheField name="No" numFmtId="0">
      <sharedItems count="1">
        <s v=""/>
      </sharedItems>
    </cacheField>
    <cacheField name="Description" numFmtId="0">
      <sharedItems count="1">
        <s v=""/>
      </sharedItems>
    </cacheField>
    <cacheField name="Level" numFmtId="0">
      <sharedItems containsString="0" containsBlank="1" count="1">
        <m/>
      </sharedItems>
    </cacheField>
    <cacheField name="HasWarning" numFmtId="0">
      <sharedItems count="1">
        <b v="0"/>
      </sharedItems>
    </cacheField>
    <cacheField name="VariantCode" numFmtId="0">
      <sharedItems count="1">
        <s v=""/>
      </sharedItems>
    </cacheField>
    <cacheField name="QtyPerParent" numFmtId="0">
      <sharedItems containsSemiMixedTypes="0" containsString="0" containsNumber="1" containsInteger="1" minValue="0" maxValue="0" count="1">
        <n v="0"/>
      </sharedItems>
    </cacheField>
    <cacheField name="QtyPerTopItem" numFmtId="0">
      <sharedItems containsSemiMixedTypes="0" containsString="0" containsNumber="1" containsInteger="1" minValue="0" maxValue="0" count="1">
        <n v="0"/>
      </sharedItems>
    </cacheField>
    <cacheField name="QtyPerBOMLine" numFmtId="0">
      <sharedItems containsSemiMixedTypes="0" containsString="0" containsNumber="1" containsInteger="1" minValue="0" maxValue="0" count="1">
        <n v="0"/>
      </sharedItems>
    </cacheField>
    <cacheField name="UnitOfMeasureCode" numFmtId="0">
      <sharedItems count="1">
        <s v=""/>
      </sharedItems>
    </cacheField>
    <cacheField name="BOMUnitOfMeasureCode" numFmtId="0">
      <sharedItems count="1">
        <s v=""/>
      </sharedItems>
    </cacheField>
    <cacheField name="ReplenishmentSystem" numFmtId="0">
      <sharedItems count="1">
        <s v=""/>
      </sharedItems>
    </cacheField>
    <cacheField name="UnitCost" numFmtId="0">
      <sharedItems containsSemiMixedTypes="0" containsString="0" containsNumber="1" containsInteger="1" minValue="0" maxValue="0" count="1">
        <n v="0"/>
      </sharedItems>
    </cacheField>
    <cacheField name="ScrapPercentage" numFmtId="0">
      <sharedItems containsSemiMixedTypes="0" containsString="0" containsNumber="1" containsInteger="1" minValue="0" maxValue="0" count="1">
        <n v="0"/>
      </sharedItems>
    </cacheField>
    <cacheField name="ScrapQtyPerParent" numFmtId="0">
      <sharedItems containsSemiMixedTypes="0" containsString="0" containsNumber="1" containsInteger="1" minValue="0" maxValue="0" count="1">
        <n v="0"/>
      </sharedItems>
    </cacheField>
    <cacheField name="ScrapQtyPerTopItem" numFmtId="0">
      <sharedItems containsSemiMixedTypes="0" containsString="0" containsNumber="1" containsInteger="1" minValue="0" maxValue="0" count="1">
        <n v="0"/>
      </sharedItems>
    </cacheField>
    <cacheField name="IndirectCostPercentage" numFmtId="0">
      <sharedItems containsSemiMixedTypes="0" containsString="0" containsNumber="1" containsInteger="1" minValue="0" maxValue="0" count="1">
        <n v="0"/>
      </sharedItems>
    </cacheField>
    <cacheField name="OverheadRate" numFmtId="0">
      <sharedItems containsSemiMixedTypes="0" containsString="0" containsNumber="1" containsInteger="1" minValue="0" maxValue="0" count="1">
        <n v="0"/>
      </sharedItems>
    </cacheField>
    <cacheField name="LotSize" numFmtId="0">
      <sharedItems containsSemiMixedTypes="0" containsString="0" containsNumber="1" containsInteger="1" minValue="0" maxValue="0" count="1">
        <n v="0"/>
      </sharedItems>
    </cacheField>
    <cacheField name="ProductionBOMNo" numFmtId="0">
      <sharedItems count="1">
        <s v=""/>
      </sharedItems>
    </cacheField>
    <cacheField name="RoutingNo" numFmtId="0">
      <sharedItems count="1">
        <s v=""/>
      </sharedItems>
    </cacheField>
    <cacheField name="ResourceUsageType" numFmtId="0">
      <sharedItems count="1">
        <s v="0"/>
      </sharedItems>
    </cacheField>
    <cacheField name="RolledUpMaterialCost" numFmtId="0">
      <sharedItems containsSemiMixedTypes="0" containsString="0" containsNumber="1" containsInteger="1" minValue="0" maxValue="0" count="1">
        <n v="0"/>
      </sharedItems>
    </cacheField>
    <cacheField name="RolledUpMatNonInvtCost" numFmtId="0">
      <sharedItems containsSemiMixedTypes="0" containsString="0" containsNumber="1" containsInteger="1" minValue="0" maxValue="0" count="1">
        <n v="0"/>
      </sharedItems>
    </cacheField>
    <cacheField name="RolledUpCapacityCost" numFmtId="0">
      <sharedItems containsSemiMixedTypes="0" containsString="0" containsNumber="1" containsInteger="1" minValue="0" maxValue="0" count="1">
        <n v="0"/>
      </sharedItems>
    </cacheField>
    <cacheField name="RolledUpSubcontractedCost" numFmtId="0">
      <sharedItems containsSemiMixedTypes="0" containsString="0" containsNumber="1" containsInteger="1" minValue="0" maxValue="0" count="1">
        <n v="0"/>
      </sharedItems>
    </cacheField>
    <cacheField name="RolledUpMfgOvhdCost" numFmtId="0">
      <sharedItems containsSemiMixedTypes="0" containsString="0" containsNumber="1" containsInteger="1" minValue="0" maxValue="0" count="1">
        <n v="0"/>
      </sharedItems>
    </cacheField>
    <cacheField name="RolledUpCapacityOvhdCost" numFmtId="0">
      <sharedItems containsSemiMixedTypes="0" containsString="0" containsNumber="1" containsInteger="1" minValue="0" maxValue="0" count="1">
        <n v="0"/>
      </sharedItems>
    </cacheField>
    <cacheField name="RolledUpScrapCost" numFmtId="0">
      <sharedItems containsSemiMixedTypes="0" containsString="0" containsNumber="1" containsInteger="1" minValue="0" maxValue="0" count="1">
        <n v="0"/>
      </sharedItems>
    </cacheField>
    <cacheField name="SingleLevelMaterialCost" numFmtId="0">
      <sharedItems containsSemiMixedTypes="0" containsString="0" containsNumber="1" containsInteger="1" minValue="0" maxValue="0" count="1">
        <n v="0"/>
      </sharedItems>
    </cacheField>
    <cacheField name="SingleLvlMatNonInvtCost" numFmtId="0">
      <sharedItems containsSemiMixedTypes="0" containsString="0" containsNumber="1" containsInteger="1" minValue="0" maxValue="0" count="1">
        <n v="0"/>
      </sharedItems>
    </cacheField>
    <cacheField name="SingleLevelCapacityCost" numFmtId="0">
      <sharedItems containsSemiMixedTypes="0" containsString="0" containsNumber="1" containsInteger="1" minValue="0" maxValue="0" count="1">
        <n v="0"/>
      </sharedItems>
    </cacheField>
    <cacheField name="SingleLevelSubcontrdCost" numFmtId="0">
      <sharedItems containsSemiMixedTypes="0" containsString="0" containsNumber="1" containsInteger="1" minValue="0" maxValue="0" count="1">
        <n v="0"/>
      </sharedItems>
    </cacheField>
    <cacheField name="SingleLevelCapOvhdCost" numFmtId="0">
      <sharedItems containsSemiMixedTypes="0" containsString="0" containsNumber="1" containsInteger="1" minValue="0" maxValue="0" count="1">
        <n v="0"/>
      </sharedItems>
    </cacheField>
    <cacheField name="SingleLevelMfgOvhdCost" numFmtId="0">
      <sharedItems containsSemiMixedTypes="0" containsString="0" containsNumber="1" containsInteger="1" minValue="0" maxValue="0" count="1">
        <n v="0"/>
      </sharedItems>
    </cacheField>
    <cacheField name="SingleLevelScrapCost" numFmtId="0">
      <sharedItems containsSemiMixedTypes="0" containsString="0" containsNumber="1" containsInteger="1" minValue="0" maxValue="0" count="1">
        <n v="0"/>
      </sharedItems>
    </cacheField>
    <cacheField name="TotalCost" numFmtId="0">
      <sharedItems containsSemiMixedTypes="0" containsString="0" containsNumber="1" containsInteger="1" minValue="0" maxValue="0" count="1">
        <n v="0"/>
      </sharedItems>
    </cacheField>
    <cacheField name="IsLeaf" numFmtId="0">
      <sharedItems containsString="0" containsBlank="1" count="1">
        <m/>
      </sharedItems>
    </cacheField>
    <cacheField name="LastUnitCostCalcDate" numFmtId="0">
      <sharedItems containsSemiMixedTypes="0" containsNonDate="0" containsDate="1" containsString="0" minDate="1899-12-31T00:00:00" maxDate="1900-01-01T00:00:00" count="1">
        <d v="1899-12-31T00:00:00"/>
      </sharedItems>
    </cacheField>
  </cacheFields>
  <extLst>
    <ext xmlns:x14="http://schemas.microsoft.com/office/spreadsheetml/2009/9/main" uri="{725AE2AE-9491-48be-B2B4-4EB974FC3084}">
      <x14:pivotCacheDefinition pivotCacheId="8101000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aniel Williams" refreshedDate="45890.709127083333" createdVersion="8" refreshedVersion="8" minRefreshableVersion="3" recordCount="1" xr:uid="{3ECAD30D-AFCF-4221-A02E-B4F06097FFD5}">
  <cacheSource type="worksheet">
    <worksheetSource name="ProductionCostShares_Query"/>
  </cacheSource>
  <cacheFields count="42">
    <cacheField name="EntryNo" numFmtId="0">
      <sharedItems containsNonDate="0" containsString="0" containsBlank="1" count="1">
        <m/>
      </sharedItems>
    </cacheField>
    <cacheField name="Type" numFmtId="0">
      <sharedItems count="1">
        <s v=""/>
      </sharedItems>
    </cacheField>
    <cacheField name="No" numFmtId="0">
      <sharedItems count="1">
        <s v=""/>
      </sharedItems>
    </cacheField>
    <cacheField name="Description" numFmtId="0">
      <sharedItems count="1">
        <s v=""/>
      </sharedItems>
    </cacheField>
    <cacheField name="Level" numFmtId="0">
      <sharedItems containsNonDate="0" containsString="0" containsBlank="1" count="1">
        <m/>
      </sharedItems>
    </cacheField>
    <cacheField name="HasWarning" numFmtId="0">
      <sharedItems count="1">
        <b v="0"/>
      </sharedItems>
    </cacheField>
    <cacheField name="VariantCode" numFmtId="0">
      <sharedItems/>
    </cacheField>
    <cacheField name="QtyPerParent" numFmtId="0">
      <sharedItems containsSemiMixedTypes="0" containsString="0" containsNumber="1" containsInteger="1" minValue="0" maxValue="0" count="1">
        <n v="0"/>
      </sharedItems>
    </cacheField>
    <cacheField name="QtyPerTopItem" numFmtId="0">
      <sharedItems containsSemiMixedTypes="0" containsString="0" containsNumber="1" containsInteger="1" minValue="0" maxValue="0" count="1">
        <n v="0"/>
      </sharedItems>
    </cacheField>
    <cacheField name="QtyPerBOMLine" numFmtId="0">
      <sharedItems containsSemiMixedTypes="0" containsString="0" containsNumber="1" containsInteger="1" minValue="0" maxValue="0" count="1">
        <n v="0"/>
      </sharedItems>
    </cacheField>
    <cacheField name="UnitOfMeasureCode" numFmtId="0">
      <sharedItems count="1">
        <s v=""/>
      </sharedItems>
    </cacheField>
    <cacheField name="BOMUnitOfMeasureCode" numFmtId="0">
      <sharedItems count="1">
        <s v=""/>
      </sharedItems>
    </cacheField>
    <cacheField name="ReplenishmentSystem" numFmtId="0">
      <sharedItems count="1">
        <s v=""/>
      </sharedItems>
    </cacheField>
    <cacheField name="UnitCost" numFmtId="0">
      <sharedItems containsSemiMixedTypes="0" containsString="0" containsNumber="1" containsInteger="1" minValue="0" maxValue="0" count="1">
        <n v="0"/>
      </sharedItems>
    </cacheField>
    <cacheField name="ScrapPercentage" numFmtId="0">
      <sharedItems containsSemiMixedTypes="0" containsString="0" containsNumber="1" containsInteger="1" minValue="0" maxValue="0"/>
    </cacheField>
    <cacheField name="ScrapQtyPerParent" numFmtId="0">
      <sharedItems containsSemiMixedTypes="0" containsString="0" containsNumber="1" containsInteger="1" minValue="0" maxValue="0"/>
    </cacheField>
    <cacheField name="ScrapQtyPerTopItem" numFmtId="0">
      <sharedItems containsSemiMixedTypes="0" containsString="0" containsNumber="1" containsInteger="1" minValue="0" maxValue="0"/>
    </cacheField>
    <cacheField name="IndirectCostPercentage" numFmtId="0">
      <sharedItems containsSemiMixedTypes="0" containsString="0" containsNumber="1" containsInteger="1" minValue="0" maxValue="0"/>
    </cacheField>
    <cacheField name="OverheadRate" numFmtId="0">
      <sharedItems containsSemiMixedTypes="0" containsString="0" containsNumber="1" containsInteger="1" minValue="0" maxValue="0"/>
    </cacheField>
    <cacheField name="LotSize" numFmtId="0">
      <sharedItems containsSemiMixedTypes="0" containsString="0" containsNumber="1" containsInteger="1" minValue="0" maxValue="0"/>
    </cacheField>
    <cacheField name="ProductionBOMNo" numFmtId="0">
      <sharedItems count="1">
        <s v=""/>
      </sharedItems>
    </cacheField>
    <cacheField name="RoutingNo" numFmtId="0">
      <sharedItems count="1">
        <s v=""/>
      </sharedItems>
    </cacheField>
    <cacheField name="ResourceUsageType" numFmtId="0">
      <sharedItems/>
    </cacheField>
    <cacheField name="RolledUpMaterialCost" numFmtId="0">
      <sharedItems containsSemiMixedTypes="0" containsString="0" containsNumber="1" containsInteger="1" minValue="0" maxValue="0" count="1">
        <n v="0"/>
      </sharedItems>
    </cacheField>
    <cacheField name="RolledUpMatNonInvtCost" numFmtId="0">
      <sharedItems containsSemiMixedTypes="0" containsString="0" containsNumber="1" containsInteger="1" minValue="0" maxValue="0" count="1">
        <n v="0"/>
      </sharedItems>
    </cacheField>
    <cacheField name="RolledUpCapacityCost" numFmtId="0">
      <sharedItems containsSemiMixedTypes="0" containsString="0" containsNumber="1" containsInteger="1" minValue="0" maxValue="0" count="1">
        <n v="0"/>
      </sharedItems>
    </cacheField>
    <cacheField name="RolledUpSubcontractedCost" numFmtId="0">
      <sharedItems containsSemiMixedTypes="0" containsString="0" containsNumber="1" containsInteger="1" minValue="0" maxValue="0" count="1">
        <n v="0"/>
      </sharedItems>
    </cacheField>
    <cacheField name="RolledUpMfgOvhdCost" numFmtId="0">
      <sharedItems containsSemiMixedTypes="0" containsString="0" containsNumber="1" containsInteger="1" minValue="0" maxValue="0" count="1">
        <n v="0"/>
      </sharedItems>
    </cacheField>
    <cacheField name="RolledUpCapacityOvhdCost" numFmtId="0">
      <sharedItems containsSemiMixedTypes="0" containsString="0" containsNumber="1" containsInteger="1" minValue="0" maxValue="0" count="1">
        <n v="0"/>
      </sharedItems>
    </cacheField>
    <cacheField name="RolledUpScrapCost" numFmtId="0">
      <sharedItems containsSemiMixedTypes="0" containsString="0" containsNumber="1" containsInteger="1" minValue="0" maxValue="0" count="1">
        <n v="0"/>
      </sharedItems>
    </cacheField>
    <cacheField name="SingleLevelMaterialCost" numFmtId="0">
      <sharedItems containsSemiMixedTypes="0" containsString="0" containsNumber="1" containsInteger="1" minValue="0" maxValue="0" count="1">
        <n v="0"/>
      </sharedItems>
    </cacheField>
    <cacheField name="SingleLvlMatNonInvtCost" numFmtId="0">
      <sharedItems containsSemiMixedTypes="0" containsString="0" containsNumber="1" containsInteger="1" minValue="0" maxValue="0" count="1">
        <n v="0"/>
      </sharedItems>
    </cacheField>
    <cacheField name="SingleLevelCapacityCost" numFmtId="0">
      <sharedItems containsSemiMixedTypes="0" containsString="0" containsNumber="1" containsInteger="1" minValue="0" maxValue="0" count="1">
        <n v="0"/>
      </sharedItems>
    </cacheField>
    <cacheField name="SingleLevelSubcontrdCost" numFmtId="0">
      <sharedItems containsSemiMixedTypes="0" containsString="0" containsNumber="1" containsInteger="1" minValue="0" maxValue="0" count="1">
        <n v="0"/>
      </sharedItems>
    </cacheField>
    <cacheField name="SingleLevelCapOvhdCost" numFmtId="0">
      <sharedItems containsSemiMixedTypes="0" containsString="0" containsNumber="1" containsInteger="1" minValue="0" maxValue="0" count="1">
        <n v="0"/>
      </sharedItems>
    </cacheField>
    <cacheField name="SingleLevelMfgOvhdCost" numFmtId="0">
      <sharedItems containsSemiMixedTypes="0" containsString="0" containsNumber="1" containsInteger="1" minValue="0" maxValue="0" count="1">
        <n v="0"/>
      </sharedItems>
    </cacheField>
    <cacheField name="SingleLevelScrapCost" numFmtId="0">
      <sharedItems containsSemiMixedTypes="0" containsString="0" containsNumber="1" containsInteger="1" minValue="0" maxValue="0" count="1">
        <n v="0"/>
      </sharedItems>
    </cacheField>
    <cacheField name="TotalCost" numFmtId="0">
      <sharedItems containsSemiMixedTypes="0" containsString="0" containsNumber="1" containsInteger="1" minValue="0" maxValue="0" count="1">
        <n v="0"/>
      </sharedItems>
    </cacheField>
    <cacheField name="IsLeaf" numFmtId="0">
      <sharedItems containsNonDate="0" containsString="0" containsBlank="1" count="1">
        <m/>
      </sharedItems>
    </cacheField>
    <cacheField name="LastUnitCostCalcDate" numFmtId="14">
      <sharedItems containsSemiMixedTypes="0" containsNonDate="0" containsDate="1" containsString="0" minDate="1899-12-31T00:00:00" maxDate="1900-01-01T00:00:00" count="1">
        <d v="1899-12-31T00:00:00"/>
      </sharedItems>
    </cacheField>
    <cacheField name="Level0" numFmtId="0">
      <sharedItems count="1">
        <s v="Show"/>
      </sharedItems>
    </cacheField>
    <cacheField name="Level1" numFmtId="0">
      <sharedItems count="1">
        <s v="Show"/>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x v="0"/>
    <x v="0"/>
    <x v="0"/>
    <x v="0"/>
    <x v="0"/>
    <x v="0"/>
    <x v="0"/>
    <x v="0"/>
    <x v="0"/>
    <x v="0"/>
    <x v="0"/>
    <x v="0"/>
    <x v="0"/>
    <x v="0"/>
    <x v="0"/>
    <x v="0"/>
    <x v="0"/>
    <x v="0"/>
    <x v="0"/>
    <x v="0"/>
    <x v="0"/>
    <x v="0"/>
    <x v="0"/>
    <x v="0"/>
    <x v="0"/>
    <x v="0"/>
    <x v="0"/>
    <x v="0"/>
    <x v="0"/>
    <x v="0"/>
    <x v="0"/>
    <x v="0"/>
    <x v="0"/>
    <x v="0"/>
    <x v="0"/>
    <x v="0"/>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x v="0"/>
    <x v="0"/>
    <x v="0"/>
    <x v="0"/>
    <s v=""/>
    <x v="0"/>
    <x v="0"/>
    <x v="0"/>
    <x v="0"/>
    <x v="0"/>
    <x v="0"/>
    <x v="0"/>
    <n v="0"/>
    <n v="0"/>
    <n v="0"/>
    <n v="0"/>
    <n v="0"/>
    <n v="0"/>
    <x v="0"/>
    <x v="0"/>
    <s v="0"/>
    <x v="0"/>
    <x v="0"/>
    <x v="0"/>
    <x v="0"/>
    <x v="0"/>
    <x v="0"/>
    <x v="0"/>
    <x v="0"/>
    <x v="0"/>
    <x v="0"/>
    <x v="0"/>
    <x v="0"/>
    <x v="0"/>
    <x v="0"/>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1D767C-6404-4150-9699-4D46900F9CAA}" name="PivotTable3" cacheId="40"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location ref="B6:T7" firstHeaderRow="1" firstDataRow="1" firstDataCol="19"/>
  <pivotFields count="42">
    <pivotField name="$EntryNo$" axis="axisRow" compact="0" outline="0" subtotalTop="0" showAll="0" defaultSubtotal="0">
      <items count="1">
        <item x="0"/>
      </items>
    </pivotField>
    <pivotField name="$Type$" compact="0" outline="0" showAll="0" defaultSubtotal="0">
      <items count="1">
        <item x="0"/>
      </items>
    </pivotField>
    <pivotField name="$No$" axis="axisRow" compact="0" outline="0" showAll="0" defaultSubtotal="0">
      <items count="1">
        <item x="0"/>
      </items>
    </pivotField>
    <pivotField name="$Description$" axis="axisRow" compact="0" outline="0" showAll="0" defaultSubtotal="0">
      <items count="1">
        <item x="0"/>
      </items>
    </pivotField>
    <pivotField name="$LevelLabel$" compact="0" outline="0" subtotalTop="0" showAll="0" defaultSubtotal="0">
      <items count="1">
        <item x="0"/>
      </items>
    </pivotField>
    <pivotField compact="0" outline="0" showAll="0" defaultSubtotal="0"/>
    <pivotField compact="0" outline="0" showAll="0" defaultSubtotal="0"/>
    <pivotField name="$QtyPerParent$" axis="axisRow" compact="0" outline="0" showAll="0" defaultSubtotal="0">
      <items count="1">
        <item x="0"/>
      </items>
    </pivotField>
    <pivotField name="$QtyPerTopItem$" axis="axisRow" compact="0" outline="0" showAll="0" defaultSubtotal="0">
      <items count="1">
        <item x="0"/>
      </items>
    </pivotField>
    <pivotField name="$QtyPerBOMLine$" axis="axisRow" compact="0" outline="0" showAll="0" defaultSubtotal="0">
      <items count="1">
        <item x="0"/>
      </items>
    </pivotField>
    <pivotField name="$UnitOfMeasureCode$" axis="axisRow" compact="0" outline="0" showAll="0" defaultSubtotal="0">
      <items count="1">
        <item x="0"/>
      </items>
    </pivotField>
    <pivotField name="$BOMUnitOfMeasureCode$" axis="axisRow" compact="0" outline="0" showAll="0" defaultSubtotal="0">
      <items count="1">
        <item x="0"/>
      </items>
    </pivotField>
    <pivotField name="$ReplenishmentSystem$" axis="axisRow" compact="0" outline="0" showAll="0" defaultSubtotal="0">
      <items count="1">
        <item x="0"/>
      </items>
    </pivotField>
    <pivotField name="$UnitCost$"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ProductionBOMNo$" compact="0" outline="0" showAll="0" defaultSubtotal="0">
      <items count="1">
        <item x="0"/>
      </items>
    </pivotField>
    <pivotField name="$RoutingNo$"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SingleLevelMaterialCost$" axis="axisRow" compact="0" outline="0" showAll="0" defaultSubtotal="0">
      <items count="1">
        <item x="0"/>
      </items>
    </pivotField>
    <pivotField name="$SingleLvlMatNonInvtCost$" axis="axisRow" compact="0" outline="0" showAll="0" defaultSubtotal="0">
      <items count="1">
        <item x="0"/>
      </items>
    </pivotField>
    <pivotField name="$SingleLevelCapacityCost$" axis="axisRow" compact="0" outline="0" showAll="0" defaultSubtotal="0">
      <items count="1">
        <item x="0"/>
      </items>
    </pivotField>
    <pivotField name="$SingleLevelSubcontrdCost$" axis="axisRow" compact="0" outline="0" showAll="0" defaultSubtotal="0">
      <items count="1">
        <item x="0"/>
      </items>
    </pivotField>
    <pivotField name="$SingleLevelCapOvhdCost$" axis="axisRow" compact="0" outline="0" showAll="0" defaultSubtotal="0">
      <items count="1">
        <item x="0"/>
      </items>
    </pivotField>
    <pivotField name="$SingleLevelMfgOvhdCost$" axis="axisRow" compact="0" outline="0" showAll="0" defaultSubtotal="0">
      <items count="1">
        <item x="0"/>
      </items>
    </pivotField>
    <pivotField name="$SingleLevelScrapCost$" axis="axisRow" compact="0" outline="0" showAll="0" defaultSubtotal="0">
      <items count="1">
        <item x="0"/>
      </items>
    </pivotField>
    <pivotField compact="0" outline="0" showAll="0" defaultSubtotal="0"/>
    <pivotField compact="0" outline="0" subtotalTop="0" showAll="0" defaultSubtotal="0"/>
    <pivotField name="$LastUnitCostCalcDate$" axis="axisRow" compact="0" outline="0" subtotalTop="0" showAll="0" defaultSubtotal="0">
      <items count="1">
        <item x="0"/>
      </items>
    </pivotField>
    <pivotField axis="axisRow" compact="0" outline="0" subtotalTop="0" showAll="0" defaultSubtotal="0">
      <items count="1">
        <item x="0"/>
      </items>
    </pivotField>
    <pivotField compact="0" outline="0" subtotalTop="0" showAll="0" defaultSubtotal="0"/>
  </pivotFields>
  <rowFields count="19">
    <field x="0"/>
    <field x="40"/>
    <field x="2"/>
    <field x="3"/>
    <field x="39"/>
    <field x="7"/>
    <field x="8"/>
    <field x="9"/>
    <field x="10"/>
    <field x="11"/>
    <field x="12"/>
    <field x="30"/>
    <field x="31"/>
    <field x="32"/>
    <field x="33"/>
    <field x="35"/>
    <field x="34"/>
    <field x="36"/>
    <field x="13"/>
  </rowFields>
  <rowItems count="1">
    <i>
      <x/>
      <x/>
      <x/>
      <x/>
      <x/>
      <x/>
      <x/>
      <x/>
      <x/>
      <x/>
      <x/>
      <x/>
      <x/>
      <x/>
      <x/>
      <x/>
      <x/>
      <x/>
      <x/>
    </i>
  </rowItems>
  <colItems count="1">
    <i/>
  </colItems>
  <formats count="103">
    <format dxfId="1513">
      <pivotArea type="all" dataOnly="0" outline="0" fieldPosition="0"/>
    </format>
    <format dxfId="1512">
      <pivotArea outline="0" collapsedLevelsAreSubtotals="1" fieldPosition="0"/>
    </format>
    <format dxfId="1511">
      <pivotArea field="1" type="button" dataOnly="0" labelOnly="1" outline="0"/>
    </format>
    <format dxfId="1510">
      <pivotArea field="2" type="button" dataOnly="0" labelOnly="1" outline="0" axis="axisRow" fieldPosition="2"/>
    </format>
    <format dxfId="1509">
      <pivotArea field="3" type="button" dataOnly="0" labelOnly="1" outline="0" axis="axisRow" fieldPosition="3"/>
    </format>
    <format dxfId="1508">
      <pivotArea field="20" type="button" dataOnly="0" labelOnly="1" outline="0"/>
    </format>
    <format dxfId="1507">
      <pivotArea field="21" type="button" dataOnly="0" labelOnly="1" outline="0"/>
    </format>
    <format dxfId="1506">
      <pivotArea dataOnly="0" labelOnly="1" grandRow="1" outline="0" fieldPosition="0"/>
    </format>
    <format dxfId="1505">
      <pivotArea field="0" type="button" dataOnly="0" labelOnly="1" outline="0" axis="axisRow" fieldPosition="0"/>
    </format>
    <format dxfId="1504">
      <pivotArea field="2" type="button" dataOnly="0" labelOnly="1" outline="0" axis="axisRow" fieldPosition="2"/>
    </format>
    <format dxfId="1503">
      <pivotArea field="3" type="button" dataOnly="0" labelOnly="1" outline="0" axis="axisRow" fieldPosition="3"/>
    </format>
    <format dxfId="1502">
      <pivotArea field="20" type="button" dataOnly="0" labelOnly="1" outline="0"/>
    </format>
    <format dxfId="1501">
      <pivotArea field="21" type="button" dataOnly="0" labelOnly="1" outline="0"/>
    </format>
    <format dxfId="1500">
      <pivotArea field="12" type="button" dataOnly="0" labelOnly="1" outline="0" axis="axisRow" fieldPosition="10"/>
    </format>
    <format dxfId="1499">
      <pivotArea field="1" type="button" dataOnly="0" labelOnly="1" outline="0"/>
    </format>
    <format dxfId="1498">
      <pivotArea field="4" type="button" dataOnly="0" labelOnly="1" outline="0"/>
    </format>
    <format dxfId="1497">
      <pivotArea field="7" type="button" dataOnly="0" labelOnly="1" outline="0" axis="axisRow" fieldPosition="5"/>
    </format>
    <format dxfId="1496">
      <pivotArea field="8" type="button" dataOnly="0" labelOnly="1" outline="0" axis="axisRow" fieldPosition="6"/>
    </format>
    <format dxfId="1495">
      <pivotArea field="9" type="button" dataOnly="0" labelOnly="1" outline="0" axis="axisRow" fieldPosition="7"/>
    </format>
    <format dxfId="1494">
      <pivotArea field="10" type="button" dataOnly="0" labelOnly="1" outline="0" axis="axisRow" fieldPosition="8"/>
    </format>
    <format dxfId="1493">
      <pivotArea field="11" type="button" dataOnly="0" labelOnly="1" outline="0" axis="axisRow" fieldPosition="9"/>
    </format>
    <format dxfId="1492">
      <pivotArea field="10" type="button" dataOnly="0" labelOnly="1" outline="0" axis="axisRow" fieldPosition="8"/>
    </format>
    <format dxfId="1491">
      <pivotArea field="11" type="button" dataOnly="0" labelOnly="1" outline="0" axis="axisRow" fieldPosition="9"/>
    </format>
    <format dxfId="1490">
      <pivotArea field="7" type="button" dataOnly="0" labelOnly="1" outline="0" axis="axisRow" fieldPosition="5"/>
    </format>
    <format dxfId="1489">
      <pivotArea field="8" type="button" dataOnly="0" labelOnly="1" outline="0" axis="axisRow" fieldPosition="6"/>
    </format>
    <format dxfId="1488">
      <pivotArea field="9" type="button" dataOnly="0" labelOnly="1" outline="0" axis="axisRow" fieldPosition="7"/>
    </format>
    <format dxfId="1487">
      <pivotArea field="4" type="button" dataOnly="0" labelOnly="1" outline="0"/>
    </format>
    <format dxfId="1486">
      <pivotArea field="1" type="button" dataOnly="0" labelOnly="1" outline="0"/>
    </format>
    <format dxfId="1485">
      <pivotArea field="2" type="button" dataOnly="0" labelOnly="1" outline="0" axis="axisRow" fieldPosition="2"/>
    </format>
    <format dxfId="1484">
      <pivotArea field="3" type="button" dataOnly="0" labelOnly="1" outline="0" axis="axisRow" fieldPosition="3"/>
    </format>
    <format dxfId="1483">
      <pivotArea field="12" type="button" dataOnly="0" labelOnly="1" outline="0" axis="axisRow" fieldPosition="10"/>
    </format>
    <format dxfId="1482">
      <pivotArea field="10" type="button" dataOnly="0" labelOnly="1" outline="0" axis="axisRow" fieldPosition="8"/>
    </format>
    <format dxfId="1481">
      <pivotArea field="11" type="button" dataOnly="0" labelOnly="1" outline="0" axis="axisRow" fieldPosition="9"/>
    </format>
    <format dxfId="1480">
      <pivotArea outline="0" collapsedLevelsAreSubtotals="1" fieldPosition="0"/>
    </format>
    <format dxfId="1479">
      <pivotArea dataOnly="0" labelOnly="1" outline="0" fieldPosition="0">
        <references count="5">
          <reference field="0" count="0" selected="0"/>
          <reference field="2" count="0" selected="0"/>
          <reference field="3" count="0" selected="0"/>
          <reference field="12" count="0"/>
          <reference field="40" count="0" selected="0"/>
        </references>
      </pivotArea>
    </format>
    <format dxfId="1478">
      <pivotArea dataOnly="0" labelOnly="1" outline="0" fieldPosition="0">
        <references count="6">
          <reference field="0" count="0" selected="0"/>
          <reference field="2" count="0" selected="0"/>
          <reference field="3" count="0" selected="0"/>
          <reference field="10" count="0"/>
          <reference field="12" count="0" selected="0"/>
          <reference field="40" count="0" selected="0"/>
        </references>
      </pivotArea>
    </format>
    <format dxfId="1477">
      <pivotArea dataOnly="0" labelOnly="1" outline="0" fieldPosition="0">
        <references count="7">
          <reference field="0" count="0" selected="0"/>
          <reference field="2" count="0" selected="0"/>
          <reference field="3" count="0" selected="0"/>
          <reference field="10" count="0" selected="0"/>
          <reference field="11" count="0"/>
          <reference field="12" count="0" selected="0"/>
          <reference field="40" count="0" selected="0"/>
        </references>
      </pivotArea>
    </format>
    <format dxfId="1476">
      <pivotArea field="12" type="button" dataOnly="0" labelOnly="1" outline="0" axis="axisRow" fieldPosition="10"/>
    </format>
    <format dxfId="1475">
      <pivotArea field="39" type="button" dataOnly="0" labelOnly="1" outline="0" axis="axisRow" fieldPosition="4"/>
    </format>
    <format dxfId="1474">
      <pivotArea dataOnly="0" labelOnly="1" outline="0" fieldPosition="0">
        <references count="1">
          <reference field="39" count="0"/>
        </references>
      </pivotArea>
    </format>
    <format dxfId="1473">
      <pivotArea dataOnly="0" labelOnly="1" outline="0" fieldPosition="0">
        <references count="6">
          <reference field="0" count="0" selected="0"/>
          <reference field="2" count="0" selected="0"/>
          <reference field="3" count="0" selected="0"/>
          <reference field="12" count="0"/>
          <reference field="39" count="0" selected="0"/>
          <reference field="40" count="0" selected="0"/>
        </references>
      </pivotArea>
    </format>
    <format dxfId="1472">
      <pivotArea field="39" type="button" dataOnly="0" labelOnly="1" outline="0" axis="axisRow" fieldPosition="4"/>
    </format>
    <format dxfId="1471">
      <pivotArea dataOnly="0" labelOnly="1" outline="0" fieldPosition="0">
        <references count="5">
          <reference field="0" count="0" selected="0"/>
          <reference field="2" count="0" selected="0"/>
          <reference field="3" count="0" selected="0"/>
          <reference field="39" count="0"/>
          <reference field="40" count="0" selected="0"/>
        </references>
      </pivotArea>
    </format>
    <format dxfId="1470">
      <pivotArea field="3" type="button" dataOnly="0" labelOnly="1" outline="0" axis="axisRow" fieldPosition="3"/>
    </format>
    <format dxfId="1469">
      <pivotArea field="39" type="button" dataOnly="0" labelOnly="1" outline="0" axis="axisRow" fieldPosition="4"/>
    </format>
    <format dxfId="1468">
      <pivotArea field="7" type="button" dataOnly="0" labelOnly="1" outline="0" axis="axisRow" fieldPosition="5"/>
    </format>
    <format dxfId="1467">
      <pivotArea field="8" type="button" dataOnly="0" labelOnly="1" outline="0" axis="axisRow" fieldPosition="6"/>
    </format>
    <format dxfId="1466">
      <pivotArea field="9" type="button" dataOnly="0" labelOnly="1" outline="0" axis="axisRow" fieldPosition="7"/>
    </format>
    <format dxfId="1465">
      <pivotArea field="10" type="button" dataOnly="0" labelOnly="1" outline="0" axis="axisRow" fieldPosition="8"/>
    </format>
    <format dxfId="1464">
      <pivotArea field="11" type="button" dataOnly="0" labelOnly="1" outline="0" axis="axisRow" fieldPosition="9"/>
    </format>
    <format dxfId="1463">
      <pivotArea field="12" type="button" dataOnly="0" labelOnly="1" outline="0" axis="axisRow" fieldPosition="10"/>
    </format>
    <format dxfId="1462">
      <pivotArea field="30" type="button" dataOnly="0" labelOnly="1" outline="0" axis="axisRow" fieldPosition="11"/>
    </format>
    <format dxfId="1461">
      <pivotArea field="31" type="button" dataOnly="0" labelOnly="1" outline="0" axis="axisRow" fieldPosition="12"/>
    </format>
    <format dxfId="1460">
      <pivotArea field="32" type="button" dataOnly="0" labelOnly="1" outline="0" axis="axisRow" fieldPosition="13"/>
    </format>
    <format dxfId="1459">
      <pivotArea field="33" type="button" dataOnly="0" labelOnly="1" outline="0" axis="axisRow" fieldPosition="14"/>
    </format>
    <format dxfId="1458">
      <pivotArea field="35" type="button" dataOnly="0" labelOnly="1" outline="0" axis="axisRow" fieldPosition="15"/>
    </format>
    <format dxfId="1457">
      <pivotArea field="34" type="button" dataOnly="0" labelOnly="1" outline="0" axis="axisRow" fieldPosition="16"/>
    </format>
    <format dxfId="1456">
      <pivotArea field="36" type="button" dataOnly="0" labelOnly="1" outline="0" axis="axisRow" fieldPosition="17"/>
    </format>
    <format dxfId="1455">
      <pivotArea field="13" type="button" dataOnly="0" labelOnly="1" outline="0" axis="axisRow" fieldPosition="18"/>
    </format>
    <format dxfId="1454">
      <pivotArea field="39" type="button" dataOnly="0" labelOnly="1" outline="0" axis="axisRow" fieldPosition="4"/>
    </format>
    <format dxfId="1453">
      <pivotArea field="7" type="button" dataOnly="0" labelOnly="1" outline="0" axis="axisRow" fieldPosition="5"/>
    </format>
    <format dxfId="1452">
      <pivotArea field="8" type="button" dataOnly="0" labelOnly="1" outline="0" axis="axisRow" fieldPosition="6"/>
    </format>
    <format dxfId="1451">
      <pivotArea field="9" type="button" dataOnly="0" labelOnly="1" outline="0" axis="axisRow" fieldPosition="7"/>
    </format>
    <format dxfId="1450">
      <pivotArea field="10" type="button" dataOnly="0" labelOnly="1" outline="0" axis="axisRow" fieldPosition="8"/>
    </format>
    <format dxfId="1449">
      <pivotArea field="11" type="button" dataOnly="0" labelOnly="1" outline="0" axis="axisRow" fieldPosition="9"/>
    </format>
    <format dxfId="1448">
      <pivotArea field="12" type="button" dataOnly="0" labelOnly="1" outline="0" axis="axisRow" fieldPosition="10"/>
    </format>
    <format dxfId="1447">
      <pivotArea field="30" type="button" dataOnly="0" labelOnly="1" outline="0" axis="axisRow" fieldPosition="11"/>
    </format>
    <format dxfId="1446">
      <pivotArea field="31" type="button" dataOnly="0" labelOnly="1" outline="0" axis="axisRow" fieldPosition="12"/>
    </format>
    <format dxfId="1445">
      <pivotArea field="32" type="button" dataOnly="0" labelOnly="1" outline="0" axis="axisRow" fieldPosition="13"/>
    </format>
    <format dxfId="1444">
      <pivotArea field="33" type="button" dataOnly="0" labelOnly="1" outline="0" axis="axisRow" fieldPosition="14"/>
    </format>
    <format dxfId="1443">
      <pivotArea field="35" type="button" dataOnly="0" labelOnly="1" outline="0" axis="axisRow" fieldPosition="15"/>
    </format>
    <format dxfId="1442">
      <pivotArea field="34" type="button" dataOnly="0" labelOnly="1" outline="0" axis="axisRow" fieldPosition="16"/>
    </format>
    <format dxfId="1441">
      <pivotArea field="36" type="button" dataOnly="0" labelOnly="1" outline="0" axis="axisRow" fieldPosition="17"/>
    </format>
    <format dxfId="1440">
      <pivotArea field="13" type="button" dataOnly="0" labelOnly="1" outline="0" axis="axisRow" fieldPosition="18"/>
    </format>
    <format dxfId="1439">
      <pivotArea field="30" type="button" dataOnly="0" labelOnly="1" outline="0" axis="axisRow" fieldPosition="11"/>
    </format>
    <format dxfId="1438">
      <pivotArea field="31" type="button" dataOnly="0" labelOnly="1" outline="0" axis="axisRow" fieldPosition="12"/>
    </format>
    <format dxfId="1437">
      <pivotArea field="32" type="button" dataOnly="0" labelOnly="1" outline="0" axis="axisRow" fieldPosition="13"/>
    </format>
    <format dxfId="1436">
      <pivotArea field="33" type="button" dataOnly="0" labelOnly="1" outline="0" axis="axisRow" fieldPosition="14"/>
    </format>
    <format dxfId="1435">
      <pivotArea field="35" type="button" dataOnly="0" labelOnly="1" outline="0" axis="axisRow" fieldPosition="15"/>
    </format>
    <format dxfId="1434">
      <pivotArea field="34" type="button" dataOnly="0" labelOnly="1" outline="0" axis="axisRow" fieldPosition="16"/>
    </format>
    <format dxfId="1433">
      <pivotArea field="36" type="button" dataOnly="0" labelOnly="1" outline="0" axis="axisRow" fieldPosition="17"/>
    </format>
    <format dxfId="1432">
      <pivotArea field="7" type="button" dataOnly="0" labelOnly="1" outline="0" axis="axisRow" fieldPosition="5"/>
    </format>
    <format dxfId="1431">
      <pivotArea field="8" type="button" dataOnly="0" labelOnly="1" outline="0" axis="axisRow" fieldPosition="6"/>
    </format>
    <format dxfId="1430">
      <pivotArea field="9" type="button" dataOnly="0" labelOnly="1" outline="0" axis="axisRow" fieldPosition="7"/>
    </format>
    <format dxfId="1429">
      <pivotArea field="10" type="button" dataOnly="0" labelOnly="1" outline="0" axis="axisRow" fieldPosition="8"/>
    </format>
    <format dxfId="1428">
      <pivotArea dataOnly="0" labelOnly="1" outline="0" fieldPosition="0">
        <references count="3">
          <reference field="0" count="0" selected="0"/>
          <reference field="2" count="0"/>
          <reference field="40" count="0" selected="0"/>
        </references>
      </pivotArea>
    </format>
    <format dxfId="1427">
      <pivotArea dataOnly="0" labelOnly="1" outline="0" fieldPosition="0">
        <references count="4">
          <reference field="0" count="0" selected="0"/>
          <reference field="2" count="0" selected="0"/>
          <reference field="3" count="0"/>
          <reference field="40" count="0" selected="0"/>
        </references>
      </pivotArea>
    </format>
    <format dxfId="1426">
      <pivotArea dataOnly="0" labelOnly="1" outline="0" fieldPosition="0">
        <references count="5">
          <reference field="0" count="0" selected="0"/>
          <reference field="2" count="0" selected="0"/>
          <reference field="3" count="0" selected="0"/>
          <reference field="39" count="0"/>
          <reference field="40" count="0" selected="0"/>
        </references>
      </pivotArea>
    </format>
    <format dxfId="1425">
      <pivotArea dataOnly="0" labelOnly="1" outline="0" fieldPosition="0">
        <references count="6">
          <reference field="0" count="0" selected="0"/>
          <reference field="2" count="0" selected="0"/>
          <reference field="3" count="0" selected="0"/>
          <reference field="7" count="0"/>
          <reference field="39" count="0" selected="0"/>
          <reference field="40" count="0" selected="0"/>
        </references>
      </pivotArea>
    </format>
    <format dxfId="1424">
      <pivotArea dataOnly="0" labelOnly="1" outline="0" fieldPosition="0">
        <references count="7">
          <reference field="0" count="0" selected="0"/>
          <reference field="2" count="0" selected="0"/>
          <reference field="3" count="0" selected="0"/>
          <reference field="7" count="0" selected="0"/>
          <reference field="8" count="0"/>
          <reference field="39" count="0" selected="0"/>
          <reference field="40" count="0" selected="0"/>
        </references>
      </pivotArea>
    </format>
    <format dxfId="1423">
      <pivotArea dataOnly="0" labelOnly="1" outline="0" fieldPosition="0">
        <references count="8">
          <reference field="0" count="0" selected="0"/>
          <reference field="2" count="0" selected="0"/>
          <reference field="3" count="0" selected="0"/>
          <reference field="7" count="0" selected="0"/>
          <reference field="8" count="0" selected="0"/>
          <reference field="9" count="0"/>
          <reference field="39" count="0" selected="0"/>
          <reference field="40" count="0" selected="0"/>
        </references>
      </pivotArea>
    </format>
    <format dxfId="1422">
      <pivotArea dataOnly="0" labelOnly="1" outline="0" fieldPosition="0">
        <references count="9">
          <reference field="0" count="0" selected="0"/>
          <reference field="2" count="0" selected="0"/>
          <reference field="3" count="0" selected="0"/>
          <reference field="7" count="0" selected="0"/>
          <reference field="8" count="0" selected="0"/>
          <reference field="9" count="0" selected="0"/>
          <reference field="10" count="0"/>
          <reference field="39" count="0" selected="0"/>
          <reference field="40" count="0" selected="0"/>
        </references>
      </pivotArea>
    </format>
    <format dxfId="1421">
      <pivotArea dataOnly="0" labelOnly="1" outline="0" fieldPosition="0">
        <references count="10">
          <reference field="0" count="0" selected="0"/>
          <reference field="2" count="0" selected="0"/>
          <reference field="3" count="0" selected="0"/>
          <reference field="7" count="0" selected="0"/>
          <reference field="8" count="0" selected="0"/>
          <reference field="9" count="0" selected="0"/>
          <reference field="10" count="0" selected="0"/>
          <reference field="11" count="0"/>
          <reference field="39" count="0" selected="0"/>
          <reference field="40" count="0" selected="0"/>
        </references>
      </pivotArea>
    </format>
    <format dxfId="1420">
      <pivotArea dataOnly="0" labelOnly="1" outline="0" fieldPosition="0">
        <references count="11">
          <reference field="0" count="0" selected="0"/>
          <reference field="2" count="0" selected="0"/>
          <reference field="3" count="0" selected="0"/>
          <reference field="7" count="0" selected="0"/>
          <reference field="8" count="0" selected="0"/>
          <reference field="9" count="0" selected="0"/>
          <reference field="10" count="0" selected="0"/>
          <reference field="11" count="0" selected="0"/>
          <reference field="12" count="0"/>
          <reference field="39" count="0" selected="0"/>
          <reference field="40" count="0" selected="0"/>
        </references>
      </pivotArea>
    </format>
    <format dxfId="1419">
      <pivotArea dataOnly="0" labelOnly="1" outline="0" fieldPosition="0">
        <references count="12">
          <reference field="0" count="0" selected="0"/>
          <reference field="2" count="0" selected="0"/>
          <reference field="3" count="0" selected="0"/>
          <reference field="7" count="0" selected="0"/>
          <reference field="8" count="0" selected="0"/>
          <reference field="9" count="0" selected="0"/>
          <reference field="10" count="0" selected="0"/>
          <reference field="11" count="0" selected="0"/>
          <reference field="12" count="0" selected="0"/>
          <reference field="30" count="0"/>
          <reference field="39" count="0" selected="0"/>
          <reference field="40" count="0" selected="0"/>
        </references>
      </pivotArea>
    </format>
    <format dxfId="1418">
      <pivotArea dataOnly="0" labelOnly="1" outline="0" fieldPosition="0">
        <references count="13">
          <reference field="0" count="0" selected="0"/>
          <reference field="2" count="0" selected="0"/>
          <reference field="3" count="0" selected="0"/>
          <reference field="7" count="0" selected="0"/>
          <reference field="8" count="0" selected="0"/>
          <reference field="9" count="0" selected="0"/>
          <reference field="10" count="0" selected="0"/>
          <reference field="11" count="0" selected="0"/>
          <reference field="12" count="0" selected="0"/>
          <reference field="30" count="0" selected="0"/>
          <reference field="31" count="0"/>
          <reference field="39" count="0" selected="0"/>
          <reference field="40" count="0" selected="0"/>
        </references>
      </pivotArea>
    </format>
    <format dxfId="1417">
      <pivotArea dataOnly="0" labelOnly="1" outline="0" fieldPosition="0">
        <references count="14">
          <reference field="0" count="0" selected="0"/>
          <reference field="2" count="0" selected="0"/>
          <reference field="3" count="0" selected="0"/>
          <reference field="7" count="0" selected="0"/>
          <reference field="8" count="0" selected="0"/>
          <reference field="9" count="0" selected="0"/>
          <reference field="10" count="0" selected="0"/>
          <reference field="11" count="0" selected="0"/>
          <reference field="12" count="0" selected="0"/>
          <reference field="30" count="0" selected="0"/>
          <reference field="31" count="0" selected="0"/>
          <reference field="32" count="0"/>
          <reference field="39" count="0" selected="0"/>
          <reference field="40" count="0" selected="0"/>
        </references>
      </pivotArea>
    </format>
    <format dxfId="1416">
      <pivotArea dataOnly="0" labelOnly="1" outline="0" fieldPosition="0">
        <references count="15">
          <reference field="0" count="0" selected="0"/>
          <reference field="2" count="0" selected="0"/>
          <reference field="3" count="0" selected="0"/>
          <reference field="7" count="0" selected="0"/>
          <reference field="8" count="0" selected="0"/>
          <reference field="9" count="0" selected="0"/>
          <reference field="10" count="0" selected="0"/>
          <reference field="11" count="0" selected="0"/>
          <reference field="12" count="0" selected="0"/>
          <reference field="30" count="0" selected="0"/>
          <reference field="31" count="0" selected="0"/>
          <reference field="32" count="0" selected="0"/>
          <reference field="33" count="0"/>
          <reference field="39" count="0" selected="0"/>
          <reference field="40" count="0" selected="0"/>
        </references>
      </pivotArea>
    </format>
    <format dxfId="1415">
      <pivotArea dataOnly="0" labelOnly="1" outline="0" fieldPosition="0">
        <references count="16">
          <reference field="0" count="0" selected="0"/>
          <reference field="2" count="0" selected="0"/>
          <reference field="3" count="0" selected="0"/>
          <reference field="7" count="0" selected="0"/>
          <reference field="8" count="0" selected="0"/>
          <reference field="9" count="0" selected="0"/>
          <reference field="10" count="0" selected="0"/>
          <reference field="11" count="0" selected="0"/>
          <reference field="12" count="0" selected="0"/>
          <reference field="30" count="0" selected="0"/>
          <reference field="31" count="0" selected="0"/>
          <reference field="32" count="0" selected="0"/>
          <reference field="33" count="0" selected="0"/>
          <reference field="35" count="0"/>
          <reference field="39" count="0" selected="0"/>
          <reference field="40" count="0" selected="0"/>
        </references>
      </pivotArea>
    </format>
    <format dxfId="1414">
      <pivotArea dataOnly="0" labelOnly="1" outline="0" fieldPosition="0">
        <references count="17">
          <reference field="0" count="0" selected="0"/>
          <reference field="2" count="0" selected="0"/>
          <reference field="3" count="0" selected="0"/>
          <reference field="7" count="0" selected="0"/>
          <reference field="8" count="0" selected="0"/>
          <reference field="9" count="0" selected="0"/>
          <reference field="10" count="0" selected="0"/>
          <reference field="11" count="0" selected="0"/>
          <reference field="12" count="0" selected="0"/>
          <reference field="30" count="0" selected="0"/>
          <reference field="31" count="0" selected="0"/>
          <reference field="32" count="0" selected="0"/>
          <reference field="33" count="0" selected="0"/>
          <reference field="34" count="0"/>
          <reference field="35" count="0" selected="0"/>
          <reference field="39" count="0" selected="0"/>
          <reference field="40" count="0" selected="0"/>
        </references>
      </pivotArea>
    </format>
    <format dxfId="1413">
      <pivotArea dataOnly="0" labelOnly="1" outline="0" fieldPosition="0">
        <references count="18">
          <reference field="0" count="0" selected="0"/>
          <reference field="2" count="0" selected="0"/>
          <reference field="3" count="0" selected="0"/>
          <reference field="7" count="0" selected="0"/>
          <reference field="8" count="0" selected="0"/>
          <reference field="9" count="0" selected="0"/>
          <reference field="10" count="0" selected="0"/>
          <reference field="11" count="0" selected="0"/>
          <reference field="12" count="0" selected="0"/>
          <reference field="30" count="0" selected="0"/>
          <reference field="31" count="0" selected="0"/>
          <reference field="32" count="0" selected="0"/>
          <reference field="33" count="0" selected="0"/>
          <reference field="34" count="0" selected="0"/>
          <reference field="35" count="0" selected="0"/>
          <reference field="36" count="0"/>
          <reference field="39" count="0" selected="0"/>
          <reference field="40" count="0" selected="0"/>
        </references>
      </pivotArea>
    </format>
    <format dxfId="1412">
      <pivotArea dataOnly="0" labelOnly="1" outline="0" fieldPosition="0">
        <references count="19">
          <reference field="0" count="0" selected="0"/>
          <reference field="2" count="0" selected="0"/>
          <reference field="3" count="0" selected="0"/>
          <reference field="7" count="0" selected="0"/>
          <reference field="8" count="0" selected="0"/>
          <reference field="9" count="0" selected="0"/>
          <reference field="10" count="0" selected="0"/>
          <reference field="11" count="0" selected="0"/>
          <reference field="12" count="0" selected="0"/>
          <reference field="13" count="0"/>
          <reference field="30" count="0" selected="0"/>
          <reference field="31" count="0" selected="0"/>
          <reference field="32" count="0" selected="0"/>
          <reference field="33" count="0" selected="0"/>
          <reference field="34" count="0" selected="0"/>
          <reference field="35" count="0" selected="0"/>
          <reference field="36" count="0" selected="0"/>
          <reference field="39" count="0" selected="0"/>
          <reference field="40" count="0" selected="0"/>
        </references>
      </pivotArea>
    </format>
    <format dxfId="1411">
      <pivotArea field="13" type="button" dataOnly="0" labelOnly="1" outline="0" axis="axisRow" fieldPosition="18"/>
    </format>
  </formats>
  <pivotTableStyleInfo name="Business Central Pivot Table Style (Template)" showRowHeaders="1" showColHeaders="1" showRowStripes="0" showColStripes="0" showLastColumn="1"/>
  <filters count="1">
    <filter fld="40" type="captionEqual" evalOrder="-1" id="1" stringValue1="Show">
      <autoFilter ref="A1">
        <filterColumn colId="0">
          <filters>
            <filter val="Show"/>
          </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30CE2F-3562-4A37-9DD8-46F1EEDA0E6C}" name="PivotTable3" cacheId="40"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location ref="B6:X7" firstHeaderRow="1" firstDataRow="1" firstDataCol="23"/>
  <pivotFields count="42">
    <pivotField name="$EntryNo$" axis="axisRow" compact="0" outline="0" subtotalTop="0" showAll="0" defaultSubtotal="0">
      <items count="1">
        <item x="0"/>
      </items>
    </pivotField>
    <pivotField name="$Type$" axis="axisRow" compact="0" outline="0" showAll="0" defaultSubtotal="0">
      <items count="1">
        <item x="0"/>
      </items>
    </pivotField>
    <pivotField name="$No$" axis="axisRow" compact="0" outline="0" showAll="0" defaultSubtotal="0">
      <items count="1">
        <item x="0"/>
      </items>
    </pivotField>
    <pivotField name="$Description$" axis="axisRow" compact="0" outline="0" showAll="0" defaultSubtotal="0">
      <items count="1">
        <item x="0"/>
      </items>
    </pivotField>
    <pivotField name="$LevelLabel$" axis="axisRow" compact="0" outline="0" subtotalTop="0" showAll="0" defaultSubtotal="0">
      <items count="1">
        <item x="0"/>
      </items>
    </pivotField>
    <pivotField compact="0" outline="0" showAll="0" defaultSubtotal="0"/>
    <pivotField compact="0" outline="0" showAll="0" defaultSubtotal="0"/>
    <pivotField name="$QtyPerParent$" axis="axisRow" compact="0" outline="0" showAll="0" defaultSubtotal="0">
      <items count="1">
        <item x="0"/>
      </items>
    </pivotField>
    <pivotField name="$QtyPerTopItem$" axis="axisRow" compact="0" outline="0" showAll="0" defaultSubtotal="0">
      <items count="1">
        <item x="0"/>
      </items>
    </pivotField>
    <pivotField name="$QtyPerBOMLine$" axis="axisRow" compact="0" outline="0" showAll="0" defaultSubtotal="0">
      <items count="1">
        <item x="0"/>
      </items>
    </pivotField>
    <pivotField name="$UnitOfMeasureCode$" axis="axisRow" compact="0" outline="0" showAll="0" defaultSubtotal="0">
      <items count="1">
        <item x="0"/>
      </items>
    </pivotField>
    <pivotField name="$BOMUnitOfMeasureCode$" axis="axisRow" compact="0" outline="0" showAll="0" defaultSubtotal="0">
      <items count="1">
        <item x="0"/>
      </items>
    </pivotField>
    <pivotField name="$ReplenishmentSystem$" axis="axisRow" compact="0" outline="0" showAll="0" defaultSubtotal="0">
      <items count="1">
        <item x="0"/>
      </items>
    </pivotField>
    <pivotField name="$UnitCost$"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ProductionBOMNo$" compact="0" outline="0" showAll="0" defaultSubtotal="0">
      <items count="1">
        <item x="0"/>
      </items>
    </pivotField>
    <pivotField name="$RoutingNo$"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SingleLevelMaterialCost$" axis="axisRow" compact="0" outline="0" showAll="0" defaultSubtotal="0">
      <items count="1">
        <item x="0"/>
      </items>
    </pivotField>
    <pivotField name="$SingleLvlMatNonInvtCost$" axis="axisRow" compact="0" outline="0" showAll="0" defaultSubtotal="0">
      <items count="1">
        <item x="0"/>
      </items>
    </pivotField>
    <pivotField name="$SingleLevelCapacityCost$" axis="axisRow" compact="0" outline="0" showAll="0" defaultSubtotal="0">
      <items count="1">
        <item x="0"/>
      </items>
    </pivotField>
    <pivotField name="$SingleLevelSubcontrdCost$" axis="axisRow" compact="0" outline="0" showAll="0" defaultSubtotal="0">
      <items count="1">
        <item x="0"/>
      </items>
    </pivotField>
    <pivotField name="$SingleLevelCapOvhdCost$" axis="axisRow" compact="0" outline="0" showAll="0" defaultSubtotal="0">
      <items count="1">
        <item x="0"/>
      </items>
    </pivotField>
    <pivotField name="$SingleLevelMfgOvhdCost$" axis="axisRow" compact="0" outline="0" showAll="0" defaultSubtotal="0">
      <items count="1">
        <item x="0"/>
      </items>
    </pivotField>
    <pivotField name="$SingleLevelScrapCost$" axis="axisRow" compact="0" outline="0" showAll="0" defaultSubtotal="0">
      <items count="1">
        <item x="0"/>
      </items>
    </pivotField>
    <pivotField name="$TotalCost$" axis="axisRow" compact="0" outline="0" showAll="0" defaultSubtotal="0">
      <items count="1">
        <item x="0"/>
      </items>
    </pivotField>
    <pivotField axis="axisRow" compact="0" outline="0" subtotalTop="0" showAll="0" defaultSubtotal="0">
      <items count="1">
        <item x="0"/>
      </items>
    </pivotField>
    <pivotField name="$LastUnitCostCalcDate$" axis="axisRow" compact="0" outline="0" subtotalTop="0" showAll="0" defaultSubtotal="0">
      <items count="1">
        <item x="0"/>
      </items>
    </pivotField>
    <pivotField compact="0" outline="0" subtotalTop="0" showAll="0" defaultSubtotal="0"/>
    <pivotField axis="axisRow" compact="0" outline="0" subtotalTop="0" showAll="0" defaultSubtotal="0">
      <items count="1">
        <item x="0"/>
      </items>
    </pivotField>
  </pivotFields>
  <rowFields count="23">
    <field x="0"/>
    <field x="41"/>
    <field x="38"/>
    <field x="4"/>
    <field x="1"/>
    <field x="2"/>
    <field x="3"/>
    <field x="39"/>
    <field x="7"/>
    <field x="8"/>
    <field x="9"/>
    <field x="10"/>
    <field x="11"/>
    <field x="12"/>
    <field x="30"/>
    <field x="31"/>
    <field x="32"/>
    <field x="33"/>
    <field x="35"/>
    <field x="34"/>
    <field x="36"/>
    <field x="13"/>
    <field x="37"/>
  </rowFields>
  <rowItems count="1">
    <i>
      <x/>
      <x/>
      <x/>
      <x/>
      <x/>
      <x/>
      <x/>
      <x/>
      <x/>
      <x/>
      <x/>
      <x/>
      <x/>
      <x/>
      <x/>
      <x/>
      <x/>
      <x/>
      <x/>
      <x/>
      <x/>
      <x/>
      <x/>
    </i>
  </rowItems>
  <colItems count="1">
    <i/>
  </colItems>
  <formats count="89">
    <format dxfId="1410">
      <pivotArea type="all" dataOnly="0" outline="0" fieldPosition="0"/>
    </format>
    <format dxfId="1409">
      <pivotArea outline="0" collapsedLevelsAreSubtotals="1" fieldPosition="0"/>
    </format>
    <format dxfId="1408">
      <pivotArea field="1" type="button" dataOnly="0" labelOnly="1" outline="0" axis="axisRow" fieldPosition="4"/>
    </format>
    <format dxfId="1407">
      <pivotArea field="2" type="button" dataOnly="0" labelOnly="1" outline="0" axis="axisRow" fieldPosition="5"/>
    </format>
    <format dxfId="1406">
      <pivotArea field="3" type="button" dataOnly="0" labelOnly="1" outline="0" axis="axisRow" fieldPosition="6"/>
    </format>
    <format dxfId="1405">
      <pivotArea field="20" type="button" dataOnly="0" labelOnly="1" outline="0"/>
    </format>
    <format dxfId="1404">
      <pivotArea field="21" type="button" dataOnly="0" labelOnly="1" outline="0"/>
    </format>
    <format dxfId="1403">
      <pivotArea dataOnly="0" labelOnly="1" outline="0" fieldPosition="0">
        <references count="1">
          <reference field="1" count="0"/>
        </references>
      </pivotArea>
    </format>
    <format dxfId="1402">
      <pivotArea dataOnly="0" labelOnly="1" grandRow="1" outline="0" fieldPosition="0"/>
    </format>
    <format dxfId="1401">
      <pivotArea dataOnly="0" labelOnly="1" outline="0" fieldPosition="0">
        <references count="2">
          <reference field="1" count="0" selected="0"/>
          <reference field="2" count="0"/>
        </references>
      </pivotArea>
    </format>
    <format dxfId="1400">
      <pivotArea dataOnly="0" labelOnly="1" outline="0" fieldPosition="0">
        <references count="3">
          <reference field="1" count="0" selected="0"/>
          <reference field="2" count="0" selected="0"/>
          <reference field="3" count="0"/>
        </references>
      </pivotArea>
    </format>
    <format dxfId="1399">
      <pivotArea field="0" type="button" dataOnly="0" labelOnly="1" outline="0" axis="axisRow" fieldPosition="0"/>
    </format>
    <format dxfId="1398">
      <pivotArea field="2" type="button" dataOnly="0" labelOnly="1" outline="0" axis="axisRow" fieldPosition="5"/>
    </format>
    <format dxfId="1397">
      <pivotArea field="3" type="button" dataOnly="0" labelOnly="1" outline="0" axis="axisRow" fieldPosition="6"/>
    </format>
    <format dxfId="1396">
      <pivotArea field="20" type="button" dataOnly="0" labelOnly="1" outline="0"/>
    </format>
    <format dxfId="1395">
      <pivotArea field="21" type="button" dataOnly="0" labelOnly="1" outline="0"/>
    </format>
    <format dxfId="1394">
      <pivotArea field="12" type="button" dataOnly="0" labelOnly="1" outline="0" axis="axisRow" fieldPosition="13"/>
    </format>
    <format dxfId="1393">
      <pivotArea field="1" type="button" dataOnly="0" labelOnly="1" outline="0" axis="axisRow" fieldPosition="4"/>
    </format>
    <format dxfId="1392">
      <pivotArea field="4" type="button" dataOnly="0" labelOnly="1" outline="0" axis="axisRow" fieldPosition="3"/>
    </format>
    <format dxfId="1391">
      <pivotArea field="7" type="button" dataOnly="0" labelOnly="1" outline="0" axis="axisRow" fieldPosition="8"/>
    </format>
    <format dxfId="1390">
      <pivotArea field="8" type="button" dataOnly="0" labelOnly="1" outline="0" axis="axisRow" fieldPosition="9"/>
    </format>
    <format dxfId="1389">
      <pivotArea field="9" type="button" dataOnly="0" labelOnly="1" outline="0" axis="axisRow" fieldPosition="10"/>
    </format>
    <format dxfId="1388">
      <pivotArea field="10" type="button" dataOnly="0" labelOnly="1" outline="0" axis="axisRow" fieldPosition="11"/>
    </format>
    <format dxfId="1387">
      <pivotArea field="11" type="button" dataOnly="0" labelOnly="1" outline="0" axis="axisRow" fieldPosition="12"/>
    </format>
    <format dxfId="1386">
      <pivotArea field="10" type="button" dataOnly="0" labelOnly="1" outline="0" axis="axisRow" fieldPosition="11"/>
    </format>
    <format dxfId="1385">
      <pivotArea field="11" type="button" dataOnly="0" labelOnly="1" outline="0" axis="axisRow" fieldPosition="12"/>
    </format>
    <format dxfId="1384">
      <pivotArea field="7" type="button" dataOnly="0" labelOnly="1" outline="0" axis="axisRow" fieldPosition="8"/>
    </format>
    <format dxfId="1383">
      <pivotArea field="8" type="button" dataOnly="0" labelOnly="1" outline="0" axis="axisRow" fieldPosition="9"/>
    </format>
    <format dxfId="1382">
      <pivotArea field="9" type="button" dataOnly="0" labelOnly="1" outline="0" axis="axisRow" fieldPosition="10"/>
    </format>
    <format dxfId="1381">
      <pivotArea field="4" type="button" dataOnly="0" labelOnly="1" outline="0" axis="axisRow" fieldPosition="3"/>
    </format>
    <format dxfId="1380">
      <pivotArea field="1" type="button" dataOnly="0" labelOnly="1" outline="0" axis="axisRow" fieldPosition="4"/>
    </format>
    <format dxfId="1379">
      <pivotArea field="2" type="button" dataOnly="0" labelOnly="1" outline="0" axis="axisRow" fieldPosition="5"/>
    </format>
    <format dxfId="1378">
      <pivotArea field="3" type="button" dataOnly="0" labelOnly="1" outline="0" axis="axisRow" fieldPosition="6"/>
    </format>
    <format dxfId="1377">
      <pivotArea field="12" type="button" dataOnly="0" labelOnly="1" outline="0" axis="axisRow" fieldPosition="13"/>
    </format>
    <format dxfId="1376">
      <pivotArea field="10" type="button" dataOnly="0" labelOnly="1" outline="0" axis="axisRow" fieldPosition="11"/>
    </format>
    <format dxfId="1375">
      <pivotArea field="11" type="button" dataOnly="0" labelOnly="1" outline="0" axis="axisRow" fieldPosition="12"/>
    </format>
    <format dxfId="1374">
      <pivotArea outline="0" collapsedLevelsAreSubtotals="1" fieldPosition="0"/>
    </format>
    <format dxfId="1373">
      <pivotArea dataOnly="0" labelOnly="1" outline="0" fieldPosition="0">
        <references count="8">
          <reference field="0" count="0" selected="0"/>
          <reference field="1" count="0" selected="0"/>
          <reference field="2" count="0" selected="0"/>
          <reference field="3" count="0" selected="0"/>
          <reference field="4" count="0" selected="0"/>
          <reference field="12" count="0"/>
          <reference field="38" count="0" selected="0"/>
          <reference field="41" count="0" selected="0"/>
        </references>
      </pivotArea>
    </format>
    <format dxfId="1372">
      <pivotArea dataOnly="0" labelOnly="1" outline="0" fieldPosition="0">
        <references count="9">
          <reference field="0" count="0" selected="0"/>
          <reference field="1" count="0" selected="0"/>
          <reference field="2" count="0" selected="0"/>
          <reference field="3" count="0" selected="0"/>
          <reference field="4" count="0" selected="0"/>
          <reference field="10" count="0"/>
          <reference field="12" count="0" selected="0"/>
          <reference field="38" count="0" selected="0"/>
          <reference field="41" count="0" selected="0"/>
        </references>
      </pivotArea>
    </format>
    <format dxfId="1371">
      <pivotArea dataOnly="0" labelOnly="1" outline="0" fieldPosition="0">
        <references count="10">
          <reference field="0" count="0" selected="0"/>
          <reference field="1" count="0" selected="0"/>
          <reference field="2" count="0" selected="0"/>
          <reference field="3" count="0" selected="0"/>
          <reference field="4" count="0" selected="0"/>
          <reference field="10" count="0" selected="0"/>
          <reference field="11" count="0"/>
          <reference field="12" count="0" selected="0"/>
          <reference field="38" count="0" selected="0"/>
          <reference field="41" count="0" selected="0"/>
        </references>
      </pivotArea>
    </format>
    <format dxfId="1370">
      <pivotArea field="12" type="button" dataOnly="0" labelOnly="1" outline="0" axis="axisRow" fieldPosition="13"/>
    </format>
    <format dxfId="1369">
      <pivotArea field="39" type="button" dataOnly="0" labelOnly="1" outline="0" axis="axisRow" fieldPosition="7"/>
    </format>
    <format dxfId="1368">
      <pivotArea dataOnly="0" labelOnly="1" outline="0" fieldPosition="0">
        <references count="9">
          <reference field="0" count="0" selected="0"/>
          <reference field="1" count="0" selected="0"/>
          <reference field="2" count="0" selected="0"/>
          <reference field="3" count="0" selected="0"/>
          <reference field="4" count="0" selected="0"/>
          <reference field="12" count="0"/>
          <reference field="38" count="0" selected="0"/>
          <reference field="39" count="0" selected="0"/>
          <reference field="41" count="0" selected="0"/>
        </references>
      </pivotArea>
    </format>
    <format dxfId="1367">
      <pivotArea field="39" type="button" dataOnly="0" labelOnly="1" outline="0" axis="axisRow" fieldPosition="7"/>
    </format>
    <format dxfId="1366">
      <pivotArea dataOnly="0" labelOnly="1" outline="0" fieldPosition="0">
        <references count="8">
          <reference field="0" count="0" selected="0"/>
          <reference field="1" count="0" selected="0"/>
          <reference field="2" count="0" selected="0"/>
          <reference field="3" count="0" selected="0"/>
          <reference field="4" count="0" selected="0"/>
          <reference field="38" count="0" selected="0"/>
          <reference field="39" count="0"/>
          <reference field="41" count="0" selected="0"/>
        </references>
      </pivotArea>
    </format>
    <format dxfId="1365">
      <pivotArea field="39" type="button" dataOnly="0" labelOnly="1" outline="0" axis="axisRow" fieldPosition="7"/>
    </format>
    <format dxfId="1364">
      <pivotArea field="7" type="button" dataOnly="0" labelOnly="1" outline="0" axis="axisRow" fieldPosition="8"/>
    </format>
    <format dxfId="1363">
      <pivotArea field="8" type="button" dataOnly="0" labelOnly="1" outline="0" axis="axisRow" fieldPosition="9"/>
    </format>
    <format dxfId="1362">
      <pivotArea field="9" type="button" dataOnly="0" labelOnly="1" outline="0" axis="axisRow" fieldPosition="10"/>
    </format>
    <format dxfId="1361">
      <pivotArea field="10" type="button" dataOnly="0" labelOnly="1" outline="0" axis="axisRow" fieldPosition="11"/>
    </format>
    <format dxfId="1360">
      <pivotArea field="11" type="button" dataOnly="0" labelOnly="1" outline="0" axis="axisRow" fieldPosition="12"/>
    </format>
    <format dxfId="1359">
      <pivotArea field="12" type="button" dataOnly="0" labelOnly="1" outline="0" axis="axisRow" fieldPosition="13"/>
    </format>
    <format dxfId="1358">
      <pivotArea field="30" type="button" dataOnly="0" labelOnly="1" outline="0" axis="axisRow" fieldPosition="14"/>
    </format>
    <format dxfId="1357">
      <pivotArea field="31" type="button" dataOnly="0" labelOnly="1" outline="0" axis="axisRow" fieldPosition="15"/>
    </format>
    <format dxfId="1356">
      <pivotArea field="32" type="button" dataOnly="0" labelOnly="1" outline="0" axis="axisRow" fieldPosition="16"/>
    </format>
    <format dxfId="1355">
      <pivotArea field="33" type="button" dataOnly="0" labelOnly="1" outline="0" axis="axisRow" fieldPosition="17"/>
    </format>
    <format dxfId="1354">
      <pivotArea field="35" type="button" dataOnly="0" labelOnly="1" outline="0" axis="axisRow" fieldPosition="18"/>
    </format>
    <format dxfId="1353">
      <pivotArea field="34" type="button" dataOnly="0" labelOnly="1" outline="0" axis="axisRow" fieldPosition="19"/>
    </format>
    <format dxfId="1352">
      <pivotArea field="36" type="button" dataOnly="0" labelOnly="1" outline="0" axis="axisRow" fieldPosition="20"/>
    </format>
    <format dxfId="1351">
      <pivotArea field="13" type="button" dataOnly="0" labelOnly="1" outline="0" axis="axisRow" fieldPosition="21"/>
    </format>
    <format dxfId="1350">
      <pivotArea field="37" type="button" dataOnly="0" labelOnly="1" outline="0" axis="axisRow" fieldPosition="22"/>
    </format>
    <format dxfId="1349">
      <pivotArea dataOnly="0" labelOnly="1" outline="0" fieldPosition="0">
        <references count="4">
          <reference field="0" count="0" selected="0"/>
          <reference field="4" count="0"/>
          <reference field="38" count="0" selected="0"/>
          <reference field="41" count="0" selected="0"/>
        </references>
      </pivotArea>
    </format>
    <format dxfId="1348">
      <pivotArea dataOnly="0" labelOnly="1" outline="0" fieldPosition="0">
        <references count="5">
          <reference field="0" count="0" selected="0"/>
          <reference field="1" count="0"/>
          <reference field="4" count="0" selected="0"/>
          <reference field="38" count="0" selected="0"/>
          <reference field="41" count="0" selected="0"/>
        </references>
      </pivotArea>
    </format>
    <format dxfId="1347">
      <pivotArea dataOnly="0" labelOnly="1" outline="0" fieldPosition="0">
        <references count="6">
          <reference field="0" count="0" selected="0"/>
          <reference field="1" count="0" selected="0"/>
          <reference field="2" count="0"/>
          <reference field="4" count="0" selected="0"/>
          <reference field="38" count="0" selected="0"/>
          <reference field="41" count="0" selected="0"/>
        </references>
      </pivotArea>
    </format>
    <format dxfId="1346">
      <pivotArea dataOnly="0" labelOnly="1" outline="0" fieldPosition="0">
        <references count="7">
          <reference field="0" count="0" selected="0"/>
          <reference field="1" count="0" selected="0"/>
          <reference field="2" count="0" selected="0"/>
          <reference field="3" count="0"/>
          <reference field="4" count="0" selected="0"/>
          <reference field="38" count="0" selected="0"/>
          <reference field="41" count="0" selected="0"/>
        </references>
      </pivotArea>
    </format>
    <format dxfId="1345">
      <pivotArea dataOnly="0" labelOnly="1" outline="0" fieldPosition="0">
        <references count="8">
          <reference field="0" count="0" selected="0"/>
          <reference field="1" count="0" selected="0"/>
          <reference field="2" count="0" selected="0"/>
          <reference field="3" count="0" selected="0"/>
          <reference field="4" count="0" selected="0"/>
          <reference field="38" count="0" selected="0"/>
          <reference field="39" count="0"/>
          <reference field="41" count="0" selected="0"/>
        </references>
      </pivotArea>
    </format>
    <format dxfId="1344">
      <pivotArea dataOnly="0" labelOnly="1" outline="0" fieldPosition="0">
        <references count="9">
          <reference field="0" count="0" selected="0"/>
          <reference field="1" count="0" selected="0"/>
          <reference field="2" count="0" selected="0"/>
          <reference field="3" count="0" selected="0"/>
          <reference field="4" count="0" selected="0"/>
          <reference field="7" count="0"/>
          <reference field="38" count="0" selected="0"/>
          <reference field="39" count="0" selected="0"/>
          <reference field="41" count="0" selected="0"/>
        </references>
      </pivotArea>
    </format>
    <format dxfId="1343">
      <pivotArea dataOnly="0" labelOnly="1" outline="0" fieldPosition="0">
        <references count="10">
          <reference field="0" count="0" selected="0"/>
          <reference field="1" count="0" selected="0"/>
          <reference field="2" count="0" selected="0"/>
          <reference field="3" count="0" selected="0"/>
          <reference field="4" count="0" selected="0"/>
          <reference field="7" count="0" selected="0"/>
          <reference field="8" count="0"/>
          <reference field="38" count="0" selected="0"/>
          <reference field="39" count="0" selected="0"/>
          <reference field="41" count="0" selected="0"/>
        </references>
      </pivotArea>
    </format>
    <format dxfId="1342">
      <pivotArea dataOnly="0" labelOnly="1" outline="0" fieldPosition="0">
        <references count="11">
          <reference field="0" count="0" selected="0"/>
          <reference field="1" count="0" selected="0"/>
          <reference field="2" count="0" selected="0"/>
          <reference field="3" count="0" selected="0"/>
          <reference field="4" count="0" selected="0"/>
          <reference field="7" count="0" selected="0"/>
          <reference field="8" count="0" selected="0"/>
          <reference field="9" count="0"/>
          <reference field="38" count="0" selected="0"/>
          <reference field="39" count="0" selected="0"/>
          <reference field="41" count="0" selected="0"/>
        </references>
      </pivotArea>
    </format>
    <format dxfId="1341">
      <pivotArea dataOnly="0" labelOnly="1" outline="0" fieldPosition="0">
        <references count="12">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reference field="38" count="0" selected="0"/>
          <reference field="39" count="0" selected="0"/>
          <reference field="41" count="0" selected="0"/>
        </references>
      </pivotArea>
    </format>
    <format dxfId="1340">
      <pivotArea dataOnly="0" labelOnly="1" outline="0" fieldPosition="0">
        <references count="13">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reference field="38" count="0" selected="0"/>
          <reference field="39" count="0" selected="0"/>
          <reference field="41" count="0" selected="0"/>
        </references>
      </pivotArea>
    </format>
    <format dxfId="1339">
      <pivotArea dataOnly="0" labelOnly="1" outline="0" fieldPosition="0">
        <references count="14">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reference field="38" count="0" selected="0"/>
          <reference field="39" count="0" selected="0"/>
          <reference field="41" count="0" selected="0"/>
        </references>
      </pivotArea>
    </format>
    <format dxfId="1338">
      <pivotArea dataOnly="0" labelOnly="1" outline="0" fieldPosition="0">
        <references count="15">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30" count="0"/>
          <reference field="38" count="0" selected="0"/>
          <reference field="39" count="0" selected="0"/>
          <reference field="41" count="0" selected="0"/>
        </references>
      </pivotArea>
    </format>
    <format dxfId="1337">
      <pivotArea dataOnly="0" labelOnly="1" outline="0" fieldPosition="0">
        <references count="16">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30" count="0" selected="0"/>
          <reference field="31" count="0"/>
          <reference field="38" count="0" selected="0"/>
          <reference field="39" count="0" selected="0"/>
          <reference field="41" count="0" selected="0"/>
        </references>
      </pivotArea>
    </format>
    <format dxfId="1336">
      <pivotArea dataOnly="0" labelOnly="1" outline="0" fieldPosition="0">
        <references count="17">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30" count="0" selected="0"/>
          <reference field="31" count="0" selected="0"/>
          <reference field="32" count="0"/>
          <reference field="38" count="0" selected="0"/>
          <reference field="39" count="0" selected="0"/>
          <reference field="41" count="0" selected="0"/>
        </references>
      </pivotArea>
    </format>
    <format dxfId="1335">
      <pivotArea dataOnly="0" labelOnly="1" outline="0" fieldPosition="0">
        <references count="18">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30" count="0" selected="0"/>
          <reference field="31" count="0" selected="0"/>
          <reference field="32" count="0" selected="0"/>
          <reference field="33" count="0"/>
          <reference field="38" count="0" selected="0"/>
          <reference field="39" count="0" selected="0"/>
          <reference field="41" count="0" selected="0"/>
        </references>
      </pivotArea>
    </format>
    <format dxfId="1334">
      <pivotArea dataOnly="0" labelOnly="1" outline="0" fieldPosition="0">
        <references count="19">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30" count="0" selected="0"/>
          <reference field="31" count="0" selected="0"/>
          <reference field="32" count="0" selected="0"/>
          <reference field="33" count="0" selected="0"/>
          <reference field="35" count="0"/>
          <reference field="38" count="0" selected="0"/>
          <reference field="39" count="0" selected="0"/>
          <reference field="41" count="0" selected="0"/>
        </references>
      </pivotArea>
    </format>
    <format dxfId="1333">
      <pivotArea dataOnly="0" labelOnly="1" outline="0" fieldPosition="0">
        <references count="20">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30" count="0" selected="0"/>
          <reference field="31" count="0" selected="0"/>
          <reference field="32" count="0" selected="0"/>
          <reference field="33" count="0" selected="0"/>
          <reference field="34" count="0"/>
          <reference field="35" count="0" selected="0"/>
          <reference field="38" count="0" selected="0"/>
          <reference field="39" count="0" selected="0"/>
          <reference field="41" count="0" selected="0"/>
        </references>
      </pivotArea>
    </format>
    <format dxfId="1332">
      <pivotArea dataOnly="0" labelOnly="1" outline="0" fieldPosition="0">
        <references count="21">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30" count="0" selected="0"/>
          <reference field="31" count="0" selected="0"/>
          <reference field="32" count="0" selected="0"/>
          <reference field="33" count="0" selected="0"/>
          <reference field="34" count="0" selected="0"/>
          <reference field="35" count="0" selected="0"/>
          <reference field="36" count="0"/>
          <reference field="38" count="0" selected="0"/>
          <reference field="39" count="0" selected="0"/>
          <reference field="41" count="0" selected="0"/>
        </references>
      </pivotArea>
    </format>
    <format dxfId="1331">
      <pivotArea dataOnly="0" labelOnly="1" outline="0" fieldPosition="0">
        <references count="22">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13" count="0"/>
          <reference field="30" count="0" selected="0"/>
          <reference field="31" count="0" selected="0"/>
          <reference field="32" count="0" selected="0"/>
          <reference field="33" count="0" selected="0"/>
          <reference field="34" count="0" selected="0"/>
          <reference field="35" count="0" selected="0"/>
          <reference field="36" count="0" selected="0"/>
          <reference field="38" count="0" selected="0"/>
          <reference field="39" count="0" selected="0"/>
          <reference field="41" count="0" selected="0"/>
        </references>
      </pivotArea>
    </format>
    <format dxfId="1330">
      <pivotArea dataOnly="0" labelOnly="1" outline="0" fieldPosition="0">
        <references count="23">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13"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reference field="38" count="0" selected="0"/>
          <reference field="39" count="0" selected="0"/>
          <reference field="41" count="0" selected="0"/>
        </references>
      </pivotArea>
    </format>
    <format dxfId="1329">
      <pivotArea field="30" type="button" dataOnly="0" labelOnly="1" outline="0" axis="axisRow" fieldPosition="14"/>
    </format>
    <format dxfId="1328">
      <pivotArea field="31" type="button" dataOnly="0" labelOnly="1" outline="0" axis="axisRow" fieldPosition="15"/>
    </format>
    <format dxfId="1327">
      <pivotArea field="32" type="button" dataOnly="0" labelOnly="1" outline="0" axis="axisRow" fieldPosition="16"/>
    </format>
    <format dxfId="1326">
      <pivotArea field="33" type="button" dataOnly="0" labelOnly="1" outline="0" axis="axisRow" fieldPosition="17"/>
    </format>
    <format dxfId="1325">
      <pivotArea field="35" type="button" dataOnly="0" labelOnly="1" outline="0" axis="axisRow" fieldPosition="18"/>
    </format>
    <format dxfId="1324">
      <pivotArea field="34" type="button" dataOnly="0" labelOnly="1" outline="0" axis="axisRow" fieldPosition="19"/>
    </format>
    <format dxfId="1323">
      <pivotArea field="36" type="button" dataOnly="0" labelOnly="1" outline="0" axis="axisRow" fieldPosition="20"/>
    </format>
    <format dxfId="1322">
      <pivotArea field="37" type="button" dataOnly="0" labelOnly="1" outline="0" axis="axisRow" fieldPosition="22"/>
    </format>
  </formats>
  <pivotTableStyleInfo name="Business Central Pivot Table Style (Template)" showRowHeaders="1" showColHeaders="1" showRowStripes="0" showColStripes="0" showLastColumn="1"/>
  <filters count="1">
    <filter fld="41" type="captionEqual" evalOrder="-1" id="1" stringValue1="Show">
      <autoFilter ref="A1">
        <filterColumn colId="0">
          <filters>
            <filter val="Show"/>
          </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0021D0-3B9B-4A8C-B1CC-61CCB5665B6A}" name="PivotTable3" cacheId="40"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location ref="B6:W7" firstHeaderRow="1" firstDataRow="1" firstDataCol="22"/>
  <pivotFields count="42">
    <pivotField name="$EntryNo$" axis="axisRow" compact="0" outline="0" subtotalTop="0" showAll="0" defaultSubtotal="0">
      <items count="1">
        <item x="0"/>
      </items>
    </pivotField>
    <pivotField name="$Type$" axis="axisRow" compact="0" outline="0" showAll="0" defaultSubtotal="0">
      <items count="1">
        <item x="0"/>
      </items>
    </pivotField>
    <pivotField name="$No$" axis="axisRow" compact="0" outline="0" showAll="0" defaultSubtotal="0">
      <items count="1">
        <item x="0"/>
      </items>
    </pivotField>
    <pivotField name="$Description$" axis="axisRow" compact="0" outline="0" showAll="0" defaultSubtotal="0">
      <items count="1">
        <item x="0"/>
      </items>
    </pivotField>
    <pivotField name="$LevelLabel$" axis="axisRow" compact="0" outline="0" subtotalTop="0" showAll="0" defaultSubtotal="0">
      <items count="1">
        <item x="0"/>
      </items>
    </pivotField>
    <pivotField compact="0" outline="0" showAll="0" defaultSubtotal="0"/>
    <pivotField compact="0" outline="0" showAll="0" defaultSubtotal="0"/>
    <pivotField name="$QtyPerParent$" axis="axisRow" compact="0" outline="0" showAll="0" defaultSubtotal="0">
      <items count="1">
        <item x="0"/>
      </items>
    </pivotField>
    <pivotField name="$QtyPerTopItem$" axis="axisRow" compact="0" outline="0" showAll="0" defaultSubtotal="0">
      <items count="1">
        <item x="0"/>
      </items>
    </pivotField>
    <pivotField name="$QtyPerBOMLine$" axis="axisRow" compact="0" outline="0" showAll="0" defaultSubtotal="0">
      <items count="1">
        <item x="0"/>
      </items>
    </pivotField>
    <pivotField name="$UnitOfMeasureCode$" axis="axisRow" compact="0" outline="0" showAll="0" defaultSubtotal="0">
      <items count="1">
        <item x="0"/>
      </items>
    </pivotField>
    <pivotField name="$BOMUnitOfMeasureCode$" axis="axisRow" compact="0" outline="0" showAll="0" defaultSubtotal="0">
      <items count="1">
        <item x="0"/>
      </items>
    </pivotField>
    <pivotField name="$ReplenishmentSystem$" axis="axisRow" compact="0" outline="0" showAll="0" defaultSubtotal="0">
      <items count="1">
        <item x="0"/>
      </items>
    </pivotField>
    <pivotField name="$UnitCost$"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ProductionBOMNo$" compact="0" outline="0" showAll="0" defaultSubtotal="0">
      <items count="1">
        <item x="0"/>
      </items>
    </pivotField>
    <pivotField name="$RoutingNo$"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SingleLevelMaterialCost$" axis="axisRow" compact="0" outline="0" showAll="0" defaultSubtotal="0">
      <items count="1">
        <item x="0"/>
      </items>
    </pivotField>
    <pivotField name="$SingleLvlMatNonInvtCost$" axis="axisRow" compact="0" outline="0" showAll="0" defaultSubtotal="0">
      <items count="1">
        <item x="0"/>
      </items>
    </pivotField>
    <pivotField name="$SingleLevelCapacityCost$" axis="axisRow" compact="0" outline="0" showAll="0" defaultSubtotal="0">
      <items count="1">
        <item x="0"/>
      </items>
    </pivotField>
    <pivotField name="$SingleLevelSubcontrdCost$" axis="axisRow" compact="0" outline="0" showAll="0" defaultSubtotal="0">
      <items count="1">
        <item x="0"/>
      </items>
    </pivotField>
    <pivotField name="$SingleLevelCapOvhdCost$" axis="axisRow" compact="0" outline="0" showAll="0" defaultSubtotal="0">
      <items count="1">
        <item x="0"/>
      </items>
    </pivotField>
    <pivotField name="$SingleLevelMfgOvhdCost$" axis="axisRow" compact="0" outline="0" showAll="0" defaultSubtotal="0">
      <items count="1">
        <item x="0"/>
      </items>
    </pivotField>
    <pivotField name="$SingleLevelScrapCost$" axis="axisRow" compact="0" outline="0" showAll="0" defaultSubtotal="0">
      <items count="1">
        <item x="0"/>
      </items>
    </pivotField>
    <pivotField name="$TotalCost$" axis="axisRow" compact="0" outline="0" showAll="0" defaultSubtotal="0">
      <items count="1">
        <item x="0"/>
      </items>
    </pivotField>
    <pivotField axis="axisRow" compact="0" outline="0" subtotalTop="0" showAll="0" defaultSubtotal="0">
      <items count="1">
        <item x="0"/>
      </items>
    </pivotField>
    <pivotField name="$LastUnitCostCalcDate$" axis="axisRow" compact="0" outline="0" subtotalTop="0" showAll="0" defaultSubtotal="0">
      <items count="1">
        <item x="0"/>
      </items>
    </pivotField>
    <pivotField compact="0" outline="0" subtotalTop="0" showAll="0" defaultSubtotal="0"/>
    <pivotField compact="0" outline="0" subtotalTop="0" showAll="0" defaultSubtotal="0"/>
  </pivotFields>
  <rowFields count="22">
    <field x="0"/>
    <field x="38"/>
    <field x="4"/>
    <field x="1"/>
    <field x="2"/>
    <field x="3"/>
    <field x="39"/>
    <field x="7"/>
    <field x="8"/>
    <field x="9"/>
    <field x="10"/>
    <field x="11"/>
    <field x="12"/>
    <field x="30"/>
    <field x="31"/>
    <field x="32"/>
    <field x="33"/>
    <field x="35"/>
    <field x="34"/>
    <field x="36"/>
    <field x="13"/>
    <field x="37"/>
  </rowFields>
  <rowItems count="1">
    <i>
      <x/>
      <x/>
      <x/>
      <x/>
      <x/>
      <x/>
      <x/>
      <x/>
      <x/>
      <x/>
      <x/>
      <x/>
      <x/>
      <x/>
      <x/>
      <x/>
      <x/>
      <x/>
      <x/>
      <x/>
      <x/>
      <x/>
    </i>
  </rowItems>
  <colItems count="1">
    <i/>
  </colItems>
  <formats count="92">
    <format dxfId="1321">
      <pivotArea type="all" dataOnly="0" outline="0" fieldPosition="0"/>
    </format>
    <format dxfId="1320">
      <pivotArea outline="0" collapsedLevelsAreSubtotals="1" fieldPosition="0"/>
    </format>
    <format dxfId="1319">
      <pivotArea field="1" type="button" dataOnly="0" labelOnly="1" outline="0" axis="axisRow" fieldPosition="3"/>
    </format>
    <format dxfId="1318">
      <pivotArea field="2" type="button" dataOnly="0" labelOnly="1" outline="0" axis="axisRow" fieldPosition="4"/>
    </format>
    <format dxfId="1317">
      <pivotArea field="3" type="button" dataOnly="0" labelOnly="1" outline="0" axis="axisRow" fieldPosition="5"/>
    </format>
    <format dxfId="1316">
      <pivotArea field="20" type="button" dataOnly="0" labelOnly="1" outline="0"/>
    </format>
    <format dxfId="1315">
      <pivotArea field="21" type="button" dataOnly="0" labelOnly="1" outline="0"/>
    </format>
    <format dxfId="1314">
      <pivotArea dataOnly="0" labelOnly="1" outline="0" fieldPosition="0">
        <references count="1">
          <reference field="1" count="0"/>
        </references>
      </pivotArea>
    </format>
    <format dxfId="1313">
      <pivotArea dataOnly="0" labelOnly="1" grandRow="1" outline="0" fieldPosition="0"/>
    </format>
    <format dxfId="1312">
      <pivotArea dataOnly="0" labelOnly="1" outline="0" fieldPosition="0">
        <references count="2">
          <reference field="1" count="0" selected="0"/>
          <reference field="2" count="0"/>
        </references>
      </pivotArea>
    </format>
    <format dxfId="1311">
      <pivotArea dataOnly="0" labelOnly="1" outline="0" fieldPosition="0">
        <references count="3">
          <reference field="1" count="0" selected="0"/>
          <reference field="2" count="0" selected="0"/>
          <reference field="3" count="0"/>
        </references>
      </pivotArea>
    </format>
    <format dxfId="1310">
      <pivotArea field="0" type="button" dataOnly="0" labelOnly="1" outline="0" axis="axisRow" fieldPosition="0"/>
    </format>
    <format dxfId="1309">
      <pivotArea field="2" type="button" dataOnly="0" labelOnly="1" outline="0" axis="axisRow" fieldPosition="4"/>
    </format>
    <format dxfId="1308">
      <pivotArea field="3" type="button" dataOnly="0" labelOnly="1" outline="0" axis="axisRow" fieldPosition="5"/>
    </format>
    <format dxfId="1307">
      <pivotArea field="20" type="button" dataOnly="0" labelOnly="1" outline="0"/>
    </format>
    <format dxfId="1306">
      <pivotArea field="21" type="button" dataOnly="0" labelOnly="1" outline="0"/>
    </format>
    <format dxfId="1305">
      <pivotArea field="12" type="button" dataOnly="0" labelOnly="1" outline="0" axis="axisRow" fieldPosition="12"/>
    </format>
    <format dxfId="1304">
      <pivotArea field="1" type="button" dataOnly="0" labelOnly="1" outline="0" axis="axisRow" fieldPosition="3"/>
    </format>
    <format dxfId="1303">
      <pivotArea field="4" type="button" dataOnly="0" labelOnly="1" outline="0" axis="axisRow" fieldPosition="2"/>
    </format>
    <format dxfId="1302">
      <pivotArea field="7" type="button" dataOnly="0" labelOnly="1" outline="0" axis="axisRow" fieldPosition="7"/>
    </format>
    <format dxfId="1301">
      <pivotArea field="8" type="button" dataOnly="0" labelOnly="1" outline="0" axis="axisRow" fieldPosition="8"/>
    </format>
    <format dxfId="1300">
      <pivotArea field="9" type="button" dataOnly="0" labelOnly="1" outline="0" axis="axisRow" fieldPosition="9"/>
    </format>
    <format dxfId="1299">
      <pivotArea field="10" type="button" dataOnly="0" labelOnly="1" outline="0" axis="axisRow" fieldPosition="10"/>
    </format>
    <format dxfId="1298">
      <pivotArea field="11" type="button" dataOnly="0" labelOnly="1" outline="0" axis="axisRow" fieldPosition="11"/>
    </format>
    <format dxfId="1297">
      <pivotArea field="10" type="button" dataOnly="0" labelOnly="1" outline="0" axis="axisRow" fieldPosition="10"/>
    </format>
    <format dxfId="1296">
      <pivotArea field="11" type="button" dataOnly="0" labelOnly="1" outline="0" axis="axisRow" fieldPosition="11"/>
    </format>
    <format dxfId="1295">
      <pivotArea field="7" type="button" dataOnly="0" labelOnly="1" outline="0" axis="axisRow" fieldPosition="7"/>
    </format>
    <format dxfId="1294">
      <pivotArea field="8" type="button" dataOnly="0" labelOnly="1" outline="0" axis="axisRow" fieldPosition="8"/>
    </format>
    <format dxfId="1293">
      <pivotArea field="9" type="button" dataOnly="0" labelOnly="1" outline="0" axis="axisRow" fieldPosition="9"/>
    </format>
    <format dxfId="1292">
      <pivotArea field="4" type="button" dataOnly="0" labelOnly="1" outline="0" axis="axisRow" fieldPosition="2"/>
    </format>
    <format dxfId="1291">
      <pivotArea field="1" type="button" dataOnly="0" labelOnly="1" outline="0" axis="axisRow" fieldPosition="3"/>
    </format>
    <format dxfId="1290">
      <pivotArea field="2" type="button" dataOnly="0" labelOnly="1" outline="0" axis="axisRow" fieldPosition="4"/>
    </format>
    <format dxfId="1289">
      <pivotArea field="3" type="button" dataOnly="0" labelOnly="1" outline="0" axis="axisRow" fieldPosition="5"/>
    </format>
    <format dxfId="1288">
      <pivotArea field="12" type="button" dataOnly="0" labelOnly="1" outline="0" axis="axisRow" fieldPosition="12"/>
    </format>
    <format dxfId="1287">
      <pivotArea field="10" type="button" dataOnly="0" labelOnly="1" outline="0" axis="axisRow" fieldPosition="10"/>
    </format>
    <format dxfId="1286">
      <pivotArea field="11" type="button" dataOnly="0" labelOnly="1" outline="0" axis="axisRow" fieldPosition="11"/>
    </format>
    <format dxfId="1285">
      <pivotArea outline="0" collapsedLevelsAreSubtotals="1" fieldPosition="0"/>
    </format>
    <format dxfId="1284">
      <pivotArea dataOnly="0" labelOnly="1" outline="0" fieldPosition="0">
        <references count="7">
          <reference field="0" count="0" selected="0"/>
          <reference field="1" count="0" selected="0"/>
          <reference field="2" count="0" selected="0"/>
          <reference field="3" count="0" selected="0"/>
          <reference field="4" count="0" selected="0"/>
          <reference field="12" count="0"/>
          <reference field="38" count="0" selected="0"/>
        </references>
      </pivotArea>
    </format>
    <format dxfId="1283">
      <pivotArea dataOnly="0" labelOnly="1" outline="0" fieldPosition="0">
        <references count="8">
          <reference field="0" count="0" selected="0"/>
          <reference field="1" count="0" selected="0"/>
          <reference field="2" count="0" selected="0"/>
          <reference field="3" count="0" selected="0"/>
          <reference field="4" count="0" selected="0"/>
          <reference field="10" count="0"/>
          <reference field="12" count="0" selected="0"/>
          <reference field="38" count="0" selected="0"/>
        </references>
      </pivotArea>
    </format>
    <format dxfId="1282">
      <pivotArea dataOnly="0" labelOnly="1" outline="0" fieldPosition="0">
        <references count="9">
          <reference field="0" count="0" selected="0"/>
          <reference field="1" count="0" selected="0"/>
          <reference field="2" count="0" selected="0"/>
          <reference field="3" count="0" selected="0"/>
          <reference field="4" count="0" selected="0"/>
          <reference field="10" count="0" selected="0"/>
          <reference field="11" count="0"/>
          <reference field="12" count="0" selected="0"/>
          <reference field="38" count="0" selected="0"/>
        </references>
      </pivotArea>
    </format>
    <format dxfId="1281">
      <pivotArea dataOnly="0" labelOnly="1" outline="0" fieldPosition="0">
        <references count="1">
          <reference field="12" count="0"/>
        </references>
      </pivotArea>
    </format>
    <format dxfId="1280">
      <pivotArea field="12" type="button" dataOnly="0" labelOnly="1" outline="0" axis="axisRow" fieldPosition="12"/>
    </format>
    <format dxfId="1279">
      <pivotArea field="39" type="button" dataOnly="0" labelOnly="1" outline="0" axis="axisRow" fieldPosition="6"/>
    </format>
    <format dxfId="1278">
      <pivotArea dataOnly="0" labelOnly="1" outline="0" fieldPosition="0">
        <references count="8">
          <reference field="0" count="0" selected="0"/>
          <reference field="1" count="0" selected="0"/>
          <reference field="2" count="0" selected="0"/>
          <reference field="3" count="0" selected="0"/>
          <reference field="4" count="0" selected="0"/>
          <reference field="12" count="0"/>
          <reference field="38" count="0" selected="0"/>
          <reference field="39" count="0" selected="0"/>
        </references>
      </pivotArea>
    </format>
    <format dxfId="1277">
      <pivotArea field="39" type="button" dataOnly="0" labelOnly="1" outline="0" axis="axisRow" fieldPosition="6"/>
    </format>
    <format dxfId="1276">
      <pivotArea dataOnly="0" labelOnly="1" outline="0" fieldPosition="0">
        <references count="7">
          <reference field="0" count="0" selected="0"/>
          <reference field="1" count="0" selected="0"/>
          <reference field="2" count="0" selected="0"/>
          <reference field="3" count="0" selected="0"/>
          <reference field="4" count="0" selected="0"/>
          <reference field="38" count="0" selected="0"/>
          <reference field="39" count="0"/>
        </references>
      </pivotArea>
    </format>
    <format dxfId="1275">
      <pivotArea dataOnly="0" labelOnly="1" outline="0" fieldPosition="0">
        <references count="3">
          <reference field="0" count="0" selected="0"/>
          <reference field="4" count="0"/>
          <reference field="38" count="0" selected="0"/>
        </references>
      </pivotArea>
    </format>
    <format dxfId="1274">
      <pivotArea dataOnly="0" labelOnly="1" outline="0" fieldPosition="0">
        <references count="4">
          <reference field="0" count="0" selected="0"/>
          <reference field="1" count="0"/>
          <reference field="4" count="0" selected="0"/>
          <reference field="38" count="0" selected="0"/>
        </references>
      </pivotArea>
    </format>
    <format dxfId="1273">
      <pivotArea dataOnly="0" labelOnly="1" outline="0" fieldPosition="0">
        <references count="5">
          <reference field="0" count="0" selected="0"/>
          <reference field="1" count="0" selected="0"/>
          <reference field="2" count="0"/>
          <reference field="4" count="0" selected="0"/>
          <reference field="38" count="0" selected="0"/>
        </references>
      </pivotArea>
    </format>
    <format dxfId="1272">
      <pivotArea dataOnly="0" labelOnly="1" outline="0" fieldPosition="0">
        <references count="6">
          <reference field="0" count="0" selected="0"/>
          <reference field="1" count="0" selected="0"/>
          <reference field="2" count="0" selected="0"/>
          <reference field="3" count="0"/>
          <reference field="4" count="0" selected="0"/>
          <reference field="38" count="0" selected="0"/>
        </references>
      </pivotArea>
    </format>
    <format dxfId="1271">
      <pivotArea dataOnly="0" labelOnly="1" outline="0" fieldPosition="0">
        <references count="7">
          <reference field="0" count="0" selected="0"/>
          <reference field="1" count="0" selected="0"/>
          <reference field="2" count="0" selected="0"/>
          <reference field="3" count="0" selected="0"/>
          <reference field="4" count="0" selected="0"/>
          <reference field="38" count="0" selected="0"/>
          <reference field="39" count="0"/>
        </references>
      </pivotArea>
    </format>
    <format dxfId="1270">
      <pivotArea dataOnly="0" labelOnly="1" outline="0" fieldPosition="0">
        <references count="8">
          <reference field="0" count="0" selected="0"/>
          <reference field="1" count="0" selected="0"/>
          <reference field="2" count="0" selected="0"/>
          <reference field="3" count="0" selected="0"/>
          <reference field="4" count="0" selected="0"/>
          <reference field="7" count="0"/>
          <reference field="38" count="0" selected="0"/>
          <reference field="39" count="0" selected="0"/>
        </references>
      </pivotArea>
    </format>
    <format dxfId="1269">
      <pivotArea dataOnly="0" labelOnly="1" outline="0" fieldPosition="0">
        <references count="9">
          <reference field="0" count="0" selected="0"/>
          <reference field="1" count="0" selected="0"/>
          <reference field="2" count="0" selected="0"/>
          <reference field="3" count="0" selected="0"/>
          <reference field="4" count="0" selected="0"/>
          <reference field="7" count="0" selected="0"/>
          <reference field="8" count="0"/>
          <reference field="38" count="0" selected="0"/>
          <reference field="39" count="0" selected="0"/>
        </references>
      </pivotArea>
    </format>
    <format dxfId="1268">
      <pivotArea dataOnly="0" labelOnly="1" outline="0" fieldPosition="0">
        <references count="10">
          <reference field="0" count="0" selected="0"/>
          <reference field="1" count="0" selected="0"/>
          <reference field="2" count="0" selected="0"/>
          <reference field="3" count="0" selected="0"/>
          <reference field="4" count="0" selected="0"/>
          <reference field="7" count="0" selected="0"/>
          <reference field="8" count="0" selected="0"/>
          <reference field="9" count="0"/>
          <reference field="38" count="0" selected="0"/>
          <reference field="39" count="0" selected="0"/>
        </references>
      </pivotArea>
    </format>
    <format dxfId="1267">
      <pivotArea dataOnly="0" labelOnly="1" outline="0" fieldPosition="0">
        <references count="11">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reference field="38" count="0" selected="0"/>
          <reference field="39" count="0" selected="0"/>
        </references>
      </pivotArea>
    </format>
    <format dxfId="1266">
      <pivotArea dataOnly="0" labelOnly="1" outline="0" fieldPosition="0">
        <references count="12">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reference field="38" count="0" selected="0"/>
          <reference field="39" count="0" selected="0"/>
        </references>
      </pivotArea>
    </format>
    <format dxfId="1265">
      <pivotArea dataOnly="0" labelOnly="1" outline="0" fieldPosition="0">
        <references count="13">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reference field="38" count="0" selected="0"/>
          <reference field="39" count="0" selected="0"/>
        </references>
      </pivotArea>
    </format>
    <format dxfId="1264">
      <pivotArea dataOnly="0" labelOnly="1" outline="0" fieldPosition="0">
        <references count="14">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30" count="0"/>
          <reference field="38" count="0" selected="0"/>
          <reference field="39" count="0" selected="0"/>
        </references>
      </pivotArea>
    </format>
    <format dxfId="1263">
      <pivotArea dataOnly="0" labelOnly="1" outline="0" fieldPosition="0">
        <references count="15">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30" count="0" selected="0"/>
          <reference field="31" count="0"/>
          <reference field="38" count="0" selected="0"/>
          <reference field="39" count="0" selected="0"/>
        </references>
      </pivotArea>
    </format>
    <format dxfId="1262">
      <pivotArea dataOnly="0" labelOnly="1" outline="0" fieldPosition="0">
        <references count="16">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30" count="0" selected="0"/>
          <reference field="31" count="0" selected="0"/>
          <reference field="32" count="0"/>
          <reference field="38" count="0" selected="0"/>
          <reference field="39" count="0" selected="0"/>
        </references>
      </pivotArea>
    </format>
    <format dxfId="1261">
      <pivotArea dataOnly="0" labelOnly="1" outline="0" fieldPosition="0">
        <references count="17">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30" count="0" selected="0"/>
          <reference field="31" count="0" selected="0"/>
          <reference field="32" count="0" selected="0"/>
          <reference field="33" count="0"/>
          <reference field="38" count="0" selected="0"/>
          <reference field="39" count="0" selected="0"/>
        </references>
      </pivotArea>
    </format>
    <format dxfId="1260">
      <pivotArea dataOnly="0" labelOnly="1" outline="0" fieldPosition="0">
        <references count="18">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30" count="0" selected="0"/>
          <reference field="31" count="0" selected="0"/>
          <reference field="32" count="0" selected="0"/>
          <reference field="33" count="0" selected="0"/>
          <reference field="35" count="0"/>
          <reference field="38" count="0" selected="0"/>
          <reference field="39" count="0" selected="0"/>
        </references>
      </pivotArea>
    </format>
    <format dxfId="1259">
      <pivotArea dataOnly="0" labelOnly="1" outline="0" fieldPosition="0">
        <references count="19">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30" count="0" selected="0"/>
          <reference field="31" count="0" selected="0"/>
          <reference field="32" count="0" selected="0"/>
          <reference field="33" count="0" selected="0"/>
          <reference field="34" count="0"/>
          <reference field="35" count="0" selected="0"/>
          <reference field="38" count="0" selected="0"/>
          <reference field="39" count="0" selected="0"/>
        </references>
      </pivotArea>
    </format>
    <format dxfId="1258">
      <pivotArea dataOnly="0" labelOnly="1" outline="0" fieldPosition="0">
        <references count="20">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30" count="0" selected="0"/>
          <reference field="31" count="0" selected="0"/>
          <reference field="32" count="0" selected="0"/>
          <reference field="33" count="0" selected="0"/>
          <reference field="34" count="0" selected="0"/>
          <reference field="35" count="0" selected="0"/>
          <reference field="36" count="0"/>
          <reference field="38" count="0" selected="0"/>
          <reference field="39" count="0" selected="0"/>
        </references>
      </pivotArea>
    </format>
    <format dxfId="1257">
      <pivotArea dataOnly="0" labelOnly="1" outline="0" fieldPosition="0">
        <references count="21">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13" count="0"/>
          <reference field="30" count="0" selected="0"/>
          <reference field="31" count="0" selected="0"/>
          <reference field="32" count="0" selected="0"/>
          <reference field="33" count="0" selected="0"/>
          <reference field="34" count="0" selected="0"/>
          <reference field="35" count="0" selected="0"/>
          <reference field="36" count="0" selected="0"/>
          <reference field="38" count="0" selected="0"/>
          <reference field="39" count="0" selected="0"/>
        </references>
      </pivotArea>
    </format>
    <format dxfId="1256">
      <pivotArea dataOnly="0" labelOnly="1" outline="0" fieldPosition="0">
        <references count="22">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13"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reference field="38" count="0" selected="0"/>
          <reference field="39" count="0" selected="0"/>
        </references>
      </pivotArea>
    </format>
    <format dxfId="1255">
      <pivotArea field="30" type="button" dataOnly="0" labelOnly="1" outline="0" axis="axisRow" fieldPosition="13"/>
    </format>
    <format dxfId="1254">
      <pivotArea field="31" type="button" dataOnly="0" labelOnly="1" outline="0" axis="axisRow" fieldPosition="14"/>
    </format>
    <format dxfId="1253">
      <pivotArea field="32" type="button" dataOnly="0" labelOnly="1" outline="0" axis="axisRow" fieldPosition="15"/>
    </format>
    <format dxfId="1252">
      <pivotArea field="33" type="button" dataOnly="0" labelOnly="1" outline="0" axis="axisRow" fieldPosition="16"/>
    </format>
    <format dxfId="1251">
      <pivotArea field="35" type="button" dataOnly="0" labelOnly="1" outline="0" axis="axisRow" fieldPosition="17"/>
    </format>
    <format dxfId="1250">
      <pivotArea field="34" type="button" dataOnly="0" labelOnly="1" outline="0" axis="axisRow" fieldPosition="18"/>
    </format>
    <format dxfId="1249">
      <pivotArea field="36" type="button" dataOnly="0" labelOnly="1" outline="0" axis="axisRow" fieldPosition="19"/>
    </format>
    <format dxfId="1248">
      <pivotArea field="13" type="button" dataOnly="0" labelOnly="1" outline="0" axis="axisRow" fieldPosition="20"/>
    </format>
    <format dxfId="1247">
      <pivotArea field="37" type="button" dataOnly="0" labelOnly="1" outline="0" axis="axisRow" fieldPosition="21"/>
    </format>
    <format dxfId="1246">
      <pivotArea field="30" type="button" dataOnly="0" labelOnly="1" outline="0" axis="axisRow" fieldPosition="13"/>
    </format>
    <format dxfId="1245">
      <pivotArea field="31" type="button" dataOnly="0" labelOnly="1" outline="0" axis="axisRow" fieldPosition="14"/>
    </format>
    <format dxfId="1244">
      <pivotArea field="32" type="button" dataOnly="0" labelOnly="1" outline="0" axis="axisRow" fieldPosition="15"/>
    </format>
    <format dxfId="1243">
      <pivotArea field="33" type="button" dataOnly="0" labelOnly="1" outline="0" axis="axisRow" fieldPosition="16"/>
    </format>
    <format dxfId="1242">
      <pivotArea field="35" type="button" dataOnly="0" labelOnly="1" outline="0" axis="axisRow" fieldPosition="17"/>
    </format>
    <format dxfId="1241">
      <pivotArea field="34" type="button" dataOnly="0" labelOnly="1" outline="0" axis="axisRow" fieldPosition="18"/>
    </format>
    <format dxfId="1240">
      <pivotArea field="36" type="button" dataOnly="0" labelOnly="1" outline="0" axis="axisRow" fieldPosition="19"/>
    </format>
    <format dxfId="1239">
      <pivotArea field="13" type="button" dataOnly="0" labelOnly="1" outline="0" axis="axisRow" fieldPosition="20"/>
    </format>
    <format dxfId="1238">
      <pivotArea field="37" type="button" dataOnly="0" labelOnly="1" outline="0" axis="axisRow" fieldPosition="21"/>
    </format>
    <format dxfId="1237">
      <pivotArea field="30" type="button" dataOnly="0" labelOnly="1" outline="0" axis="axisRow" fieldPosition="13"/>
    </format>
    <format dxfId="1236">
      <pivotArea field="31" type="button" dataOnly="0" labelOnly="1" outline="0" axis="axisRow" fieldPosition="14"/>
    </format>
    <format dxfId="1235">
      <pivotArea field="32" type="button" dataOnly="0" labelOnly="1" outline="0" axis="axisRow" fieldPosition="15"/>
    </format>
    <format dxfId="1234">
      <pivotArea field="33" type="button" dataOnly="0" labelOnly="1" outline="0" axis="axisRow" fieldPosition="16"/>
    </format>
    <format dxfId="1233">
      <pivotArea field="35" type="button" dataOnly="0" labelOnly="1" outline="0" axis="axisRow" fieldPosition="17"/>
    </format>
    <format dxfId="1232">
      <pivotArea field="34" type="button" dataOnly="0" labelOnly="1" outline="0" axis="axisRow" fieldPosition="18"/>
    </format>
    <format dxfId="1231">
      <pivotArea field="36" type="button" dataOnly="0" labelOnly="1" outline="0" axis="axisRow" fieldPosition="19"/>
    </format>
    <format dxfId="1230">
      <pivotArea field="37" type="button" dataOnly="0" labelOnly="1" outline="0" axis="axisRow" fieldPosition="21"/>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633D27-406D-46D1-9FEB-26ED125EC13C}" name="PivotTable3" cacheId="40"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location ref="B6:T7" firstHeaderRow="1" firstDataRow="1" firstDataCol="19"/>
  <pivotFields count="42">
    <pivotField name="$EntryNo$" axis="axisRow" compact="0" outline="0" subtotalTop="0" showAll="0" defaultSubtotal="0">
      <items count="1">
        <item x="0"/>
      </items>
    </pivotField>
    <pivotField name="$Type$" compact="0" outline="0" showAll="0" defaultSubtotal="0">
      <items count="1">
        <item x="0"/>
      </items>
    </pivotField>
    <pivotField name="$No$" axis="axisRow" compact="0" outline="0" showAll="0" defaultSubtotal="0">
      <items count="1">
        <item x="0"/>
      </items>
    </pivotField>
    <pivotField name="$Description$" axis="axisRow" compact="0" outline="0" showAll="0" defaultSubtotal="0">
      <items count="1">
        <item x="0"/>
      </items>
    </pivotField>
    <pivotField name="$LevelLabel$" compact="0" outline="0" subtotalTop="0" showAll="0" defaultSubtotal="0">
      <items count="1">
        <item x="0"/>
      </items>
    </pivotField>
    <pivotField name="$HasWarningLabel$" compact="0" outline="0" showAll="0" defaultSubtotal="0">
      <items count="1">
        <item x="0"/>
      </items>
    </pivotField>
    <pivotField compact="0" outline="0" showAll="0" defaultSubtotal="0"/>
    <pivotField name="$QtyPerParent$" axis="axisRow" compact="0" outline="0" showAll="0" defaultSubtotal="0">
      <items count="1">
        <item x="0"/>
      </items>
    </pivotField>
    <pivotField name="$QtyPerTopItem$" axis="axisRow" compact="0" outline="0" showAll="0" defaultSubtotal="0">
      <items count="1">
        <item x="0"/>
      </items>
    </pivotField>
    <pivotField name="$QtyPerBOMLine$" axis="axisRow" compact="0" outline="0" showAll="0" defaultSubtotal="0">
      <items count="1">
        <item x="0"/>
      </items>
    </pivotField>
    <pivotField name="$UnitOfMeasureCode$" axis="axisRow" compact="0" outline="0" showAll="0" defaultSubtotal="0">
      <items count="1">
        <item x="0"/>
      </items>
    </pivotField>
    <pivotField name="$BOMUnitOfMeasureCode$" axis="axisRow" compact="0" outline="0" showAll="0" defaultSubtotal="0">
      <items count="1">
        <item x="0"/>
      </items>
    </pivotField>
    <pivotField name="$ReplenishmentSystem$" axis="axisRow" compact="0" outline="0" showAll="0" defaultSubtotal="0">
      <items count="1">
        <item x="0"/>
      </items>
    </pivotField>
    <pivotField name="$UnitCost$"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ProductionBOMNo$" compact="0" outline="0" showAll="0" defaultSubtotal="0">
      <items count="1">
        <item x="0"/>
      </items>
    </pivotField>
    <pivotField name="$RoutingNo$" compact="0" outline="0" showAll="0" defaultSubtotal="0">
      <items count="1">
        <item x="0"/>
      </items>
    </pivotField>
    <pivotField compact="0" outline="0" showAll="0" defaultSubtotal="0"/>
    <pivotField name="$RolledUpMaterialCost$" axis="axisRow" compact="0" outline="0" showAll="0" defaultSubtotal="0">
      <items count="1">
        <item x="0"/>
      </items>
    </pivotField>
    <pivotField name="$RolledUpMatNonInvtCost$" axis="axisRow" compact="0" outline="0" showAll="0" defaultSubtotal="0">
      <items count="1">
        <item x="0"/>
      </items>
    </pivotField>
    <pivotField name="$RolledUpCapacityCost$" axis="axisRow" compact="0" outline="0" showAll="0" defaultSubtotal="0">
      <items count="1">
        <item x="0"/>
      </items>
    </pivotField>
    <pivotField name="$RolledUpSubcontractedCost$" axis="axisRow" compact="0" outline="0" showAll="0" defaultSubtotal="0">
      <items count="1">
        <item x="0"/>
      </items>
    </pivotField>
    <pivotField name="$RolledUpMfgOvhdCost$" axis="axisRow" compact="0" outline="0" showAll="0" defaultSubtotal="0">
      <items count="1">
        <item x="0"/>
      </items>
    </pivotField>
    <pivotField name="$RolledUpCapacityOvhdCost$" axis="axisRow" compact="0" outline="0" showAll="0" defaultSubtotal="0">
      <items count="1">
        <item x="0"/>
      </items>
    </pivotField>
    <pivotField name="$RolledUpScrapCost$"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name="$LastUnitCostCalcDate$" axis="axisRow" compact="0" outline="0" subtotalTop="0" showAll="0" defaultSubtotal="0">
      <items count="1">
        <item x="0"/>
      </items>
    </pivotField>
    <pivotField axis="axisRow" compact="0" outline="0" subtotalTop="0" showAll="0" defaultSubtotal="0">
      <items count="1">
        <item x="0"/>
      </items>
    </pivotField>
    <pivotField compact="0" outline="0" subtotalTop="0" showAll="0" defaultSubtotal="0"/>
  </pivotFields>
  <rowFields count="19">
    <field x="0"/>
    <field x="40"/>
    <field x="2"/>
    <field x="3"/>
    <field x="39"/>
    <field x="7"/>
    <field x="8"/>
    <field x="9"/>
    <field x="10"/>
    <field x="11"/>
    <field x="12"/>
    <field x="23"/>
    <field x="24"/>
    <field x="25"/>
    <field x="26"/>
    <field x="27"/>
    <field x="28"/>
    <field x="29"/>
    <field x="13"/>
  </rowFields>
  <rowItems count="1">
    <i>
      <x/>
      <x/>
      <x/>
      <x/>
      <x/>
      <x/>
      <x/>
      <x/>
      <x/>
      <x/>
      <x/>
      <x/>
      <x/>
      <x/>
      <x/>
      <x/>
      <x/>
      <x/>
      <x/>
    </i>
  </rowItems>
  <colItems count="1">
    <i/>
  </colItems>
  <formats count="77">
    <format dxfId="1229">
      <pivotArea type="all" dataOnly="0" outline="0" fieldPosition="0"/>
    </format>
    <format dxfId="1228">
      <pivotArea outline="0" collapsedLevelsAreSubtotals="1" fieldPosition="0"/>
    </format>
    <format dxfId="1227">
      <pivotArea field="1" type="button" dataOnly="0" labelOnly="1" outline="0"/>
    </format>
    <format dxfId="1226">
      <pivotArea field="2" type="button" dataOnly="0" labelOnly="1" outline="0" axis="axisRow" fieldPosition="2"/>
    </format>
    <format dxfId="1225">
      <pivotArea field="3" type="button" dataOnly="0" labelOnly="1" outline="0" axis="axisRow" fieldPosition="3"/>
    </format>
    <format dxfId="1224">
      <pivotArea field="20" type="button" dataOnly="0" labelOnly="1" outline="0"/>
    </format>
    <format dxfId="1223">
      <pivotArea field="21" type="button" dataOnly="0" labelOnly="1" outline="0"/>
    </format>
    <format dxfId="1222">
      <pivotArea dataOnly="0" labelOnly="1" grandRow="1" outline="0" fieldPosition="0"/>
    </format>
    <format dxfId="1221">
      <pivotArea field="0" type="button" dataOnly="0" labelOnly="1" outline="0" axis="axisRow" fieldPosition="0"/>
    </format>
    <format dxfId="1220">
      <pivotArea field="2" type="button" dataOnly="0" labelOnly="1" outline="0" axis="axisRow" fieldPosition="2"/>
    </format>
    <format dxfId="1219">
      <pivotArea field="3" type="button" dataOnly="0" labelOnly="1" outline="0" axis="axisRow" fieldPosition="3"/>
    </format>
    <format dxfId="1218">
      <pivotArea field="20" type="button" dataOnly="0" labelOnly="1" outline="0"/>
    </format>
    <format dxfId="1217">
      <pivotArea field="21" type="button" dataOnly="0" labelOnly="1" outline="0"/>
    </format>
    <format dxfId="1216">
      <pivotArea field="1" type="button" dataOnly="0" labelOnly="1" outline="0"/>
    </format>
    <format dxfId="1215">
      <pivotArea field="4" type="button" dataOnly="0" labelOnly="1" outline="0"/>
    </format>
    <format dxfId="1214">
      <pivotArea field="5" type="button" dataOnly="0" labelOnly="1" outline="0"/>
    </format>
    <format dxfId="1213">
      <pivotArea field="12" type="button" dataOnly="0" labelOnly="1" outline="0" axis="axisRow" fieldPosition="10"/>
    </format>
    <format dxfId="1212">
      <pivotArea field="10" type="button" dataOnly="0" labelOnly="1" outline="0" axis="axisRow" fieldPosition="8"/>
    </format>
    <format dxfId="1211">
      <pivotArea field="11" type="button" dataOnly="0" labelOnly="1" outline="0" axis="axisRow" fieldPosition="9"/>
    </format>
    <format dxfId="1210">
      <pivotArea field="4" type="button" dataOnly="0" labelOnly="1" outline="0"/>
    </format>
    <format dxfId="1209">
      <pivotArea field="1" type="button" dataOnly="0" labelOnly="1" outline="0"/>
    </format>
    <format dxfId="1208">
      <pivotArea field="2" type="button" dataOnly="0" labelOnly="1" outline="0" axis="axisRow" fieldPosition="2"/>
    </format>
    <format dxfId="1207">
      <pivotArea field="3" type="button" dataOnly="0" labelOnly="1" outline="0" axis="axisRow" fieldPosition="3"/>
    </format>
    <format dxfId="1206">
      <pivotArea field="12" type="button" dataOnly="0" labelOnly="1" outline="0" axis="axisRow" fieldPosition="10"/>
    </format>
    <format dxfId="1205">
      <pivotArea field="10" type="button" dataOnly="0" labelOnly="1" outline="0" axis="axisRow" fieldPosition="8"/>
    </format>
    <format dxfId="1204">
      <pivotArea field="11" type="button" dataOnly="0" labelOnly="1" outline="0" axis="axisRow" fieldPosition="9"/>
    </format>
    <format dxfId="1203">
      <pivotArea outline="0" collapsedLevelsAreSubtotals="1" fieldPosition="0"/>
    </format>
    <format dxfId="1202">
      <pivotArea dataOnly="0" labelOnly="1" outline="0" fieldPosition="0">
        <references count="5">
          <reference field="0" count="0" selected="0"/>
          <reference field="2" count="0" selected="0"/>
          <reference field="3" count="0" selected="0"/>
          <reference field="12" count="0"/>
          <reference field="40" count="0" selected="0"/>
        </references>
      </pivotArea>
    </format>
    <format dxfId="1201">
      <pivotArea dataOnly="0" labelOnly="1" outline="0" fieldPosition="0">
        <references count="6">
          <reference field="0" count="0" selected="0"/>
          <reference field="2" count="0" selected="0"/>
          <reference field="3" count="0" selected="0"/>
          <reference field="10" count="0"/>
          <reference field="12" count="0" selected="0"/>
          <reference field="40" count="0" selected="0"/>
        </references>
      </pivotArea>
    </format>
    <format dxfId="1200">
      <pivotArea dataOnly="0" labelOnly="1" outline="0" fieldPosition="0">
        <references count="7">
          <reference field="0" count="0" selected="0"/>
          <reference field="2" count="0" selected="0"/>
          <reference field="3" count="0" selected="0"/>
          <reference field="10" count="0" selected="0"/>
          <reference field="11" count="0"/>
          <reference field="12" count="0" selected="0"/>
          <reference field="40" count="0" selected="0"/>
        </references>
      </pivotArea>
    </format>
    <format dxfId="1199">
      <pivotArea field="39" type="button" dataOnly="0" labelOnly="1" outline="0" axis="axisRow" fieldPosition="4"/>
    </format>
    <format dxfId="1198">
      <pivotArea dataOnly="0" labelOnly="1" outline="0" fieldPosition="0">
        <references count="6">
          <reference field="0" count="0" selected="0"/>
          <reference field="2" count="0" selected="0"/>
          <reference field="3" count="0" selected="0"/>
          <reference field="12" count="0"/>
          <reference field="39" count="0" selected="0"/>
          <reference field="40" count="0" selected="0"/>
        </references>
      </pivotArea>
    </format>
    <format dxfId="1197">
      <pivotArea field="39" type="button" dataOnly="0" labelOnly="1" outline="0" axis="axisRow" fieldPosition="4"/>
    </format>
    <format dxfId="1196">
      <pivotArea dataOnly="0" labelOnly="1" outline="0" fieldPosition="0">
        <references count="5">
          <reference field="0" count="0" selected="0"/>
          <reference field="2" count="0" selected="0"/>
          <reference field="3" count="0" selected="0"/>
          <reference field="39" count="0"/>
          <reference field="40" count="0" selected="0"/>
        </references>
      </pivotArea>
    </format>
    <format dxfId="1195">
      <pivotArea dataOnly="0" labelOnly="1" outline="0" fieldPosition="0">
        <references count="3">
          <reference field="0" count="0" selected="0"/>
          <reference field="2" count="0"/>
          <reference field="40" count="0" selected="0"/>
        </references>
      </pivotArea>
    </format>
    <format dxfId="1194">
      <pivotArea dataOnly="0" labelOnly="1" outline="0" fieldPosition="0">
        <references count="4">
          <reference field="0" count="0" selected="0"/>
          <reference field="2" count="0" selected="0"/>
          <reference field="3" count="0"/>
          <reference field="40" count="0" selected="0"/>
        </references>
      </pivotArea>
    </format>
    <format dxfId="1193">
      <pivotArea dataOnly="0" labelOnly="1" outline="0" fieldPosition="0">
        <references count="5">
          <reference field="0" count="0" selected="0"/>
          <reference field="2" count="0" selected="0"/>
          <reference field="3" count="0" selected="0"/>
          <reference field="39" count="0"/>
          <reference field="40" count="0" selected="0"/>
        </references>
      </pivotArea>
    </format>
    <format dxfId="1192">
      <pivotArea dataOnly="0" labelOnly="1" outline="0" fieldPosition="0">
        <references count="6">
          <reference field="0" count="0" selected="0"/>
          <reference field="2" count="0" selected="0"/>
          <reference field="3" count="0" selected="0"/>
          <reference field="7" count="0"/>
          <reference field="39" count="0" selected="0"/>
          <reference field="40" count="0" selected="0"/>
        </references>
      </pivotArea>
    </format>
    <format dxfId="1191">
      <pivotArea dataOnly="0" labelOnly="1" outline="0" fieldPosition="0">
        <references count="7">
          <reference field="0" count="0" selected="0"/>
          <reference field="2" count="0" selected="0"/>
          <reference field="3" count="0" selected="0"/>
          <reference field="7" count="0" selected="0"/>
          <reference field="8" count="0"/>
          <reference field="39" count="0" selected="0"/>
          <reference field="40" count="0" selected="0"/>
        </references>
      </pivotArea>
    </format>
    <format dxfId="1190">
      <pivotArea dataOnly="0" labelOnly="1" outline="0" fieldPosition="0">
        <references count="8">
          <reference field="0" count="0" selected="0"/>
          <reference field="2" count="0" selected="0"/>
          <reference field="3" count="0" selected="0"/>
          <reference field="7" count="0" selected="0"/>
          <reference field="8" count="0" selected="0"/>
          <reference field="9" count="0"/>
          <reference field="39" count="0" selected="0"/>
          <reference field="40" count="0" selected="0"/>
        </references>
      </pivotArea>
    </format>
    <format dxfId="1189">
      <pivotArea dataOnly="0" labelOnly="1" outline="0" fieldPosition="0">
        <references count="9">
          <reference field="0" count="0" selected="0"/>
          <reference field="2" count="0" selected="0"/>
          <reference field="3" count="0" selected="0"/>
          <reference field="7" count="0" selected="0"/>
          <reference field="8" count="0" selected="0"/>
          <reference field="9" count="0" selected="0"/>
          <reference field="10" count="0"/>
          <reference field="39" count="0" selected="0"/>
          <reference field="40" count="0" selected="0"/>
        </references>
      </pivotArea>
    </format>
    <format dxfId="1188">
      <pivotArea dataOnly="0" labelOnly="1" outline="0" fieldPosition="0">
        <references count="10">
          <reference field="0" count="0" selected="0"/>
          <reference field="2" count="0" selected="0"/>
          <reference field="3" count="0" selected="0"/>
          <reference field="7" count="0" selected="0"/>
          <reference field="8" count="0" selected="0"/>
          <reference field="9" count="0" selected="0"/>
          <reference field="10" count="0" selected="0"/>
          <reference field="11" count="0"/>
          <reference field="39" count="0" selected="0"/>
          <reference field="40" count="0" selected="0"/>
        </references>
      </pivotArea>
    </format>
    <format dxfId="1187">
      <pivotArea dataOnly="0" labelOnly="1" outline="0" fieldPosition="0">
        <references count="11">
          <reference field="0" count="0" selected="0"/>
          <reference field="2" count="0" selected="0"/>
          <reference field="3" count="0" selected="0"/>
          <reference field="7" count="0" selected="0"/>
          <reference field="8" count="0" selected="0"/>
          <reference field="9" count="0" selected="0"/>
          <reference field="10" count="0" selected="0"/>
          <reference field="11" count="0" selected="0"/>
          <reference field="12" count="0"/>
          <reference field="39" count="0" selected="0"/>
          <reference field="40" count="0" selected="0"/>
        </references>
      </pivotArea>
    </format>
    <format dxfId="1186">
      <pivotArea dataOnly="0" labelOnly="1" outline="0" fieldPosition="0">
        <references count="12">
          <reference field="0" count="0" selected="0"/>
          <reference field="2" count="0" selected="0"/>
          <reference field="3" count="0" selected="0"/>
          <reference field="7" count="0" selected="0"/>
          <reference field="8" count="0" selected="0"/>
          <reference field="9" count="0" selected="0"/>
          <reference field="10" count="0" selected="0"/>
          <reference field="11" count="0" selected="0"/>
          <reference field="12" count="0" selected="0"/>
          <reference field="23" count="0"/>
          <reference field="39" count="0" selected="0"/>
          <reference field="40" count="0" selected="0"/>
        </references>
      </pivotArea>
    </format>
    <format dxfId="1185">
      <pivotArea dataOnly="0" labelOnly="1" outline="0" fieldPosition="0">
        <references count="13">
          <reference field="0" count="0" selected="0"/>
          <reference field="2" count="0" selected="0"/>
          <reference field="3"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reference field="39" count="0" selected="0"/>
          <reference field="40" count="0" selected="0"/>
        </references>
      </pivotArea>
    </format>
    <format dxfId="1184">
      <pivotArea dataOnly="0" labelOnly="1" outline="0" fieldPosition="0">
        <references count="14">
          <reference field="0" count="0" selected="0"/>
          <reference field="2" count="0" selected="0"/>
          <reference field="3"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selected="0"/>
          <reference field="25" count="0"/>
          <reference field="39" count="0" selected="0"/>
          <reference field="40" count="0" selected="0"/>
        </references>
      </pivotArea>
    </format>
    <format dxfId="1183">
      <pivotArea dataOnly="0" labelOnly="1" outline="0" fieldPosition="0">
        <references count="15">
          <reference field="0" count="0" selected="0"/>
          <reference field="2" count="0" selected="0"/>
          <reference field="3"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selected="0"/>
          <reference field="25" count="0" selected="0"/>
          <reference field="26" count="0"/>
          <reference field="39" count="0" selected="0"/>
          <reference field="40" count="0" selected="0"/>
        </references>
      </pivotArea>
    </format>
    <format dxfId="1182">
      <pivotArea dataOnly="0" labelOnly="1" outline="0" fieldPosition="0">
        <references count="16">
          <reference field="0" count="0" selected="0"/>
          <reference field="2" count="0" selected="0"/>
          <reference field="3"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selected="0"/>
          <reference field="25" count="0" selected="0"/>
          <reference field="26" count="0" selected="0"/>
          <reference field="27" count="0"/>
          <reference field="39" count="0" selected="0"/>
          <reference field="40" count="0" selected="0"/>
        </references>
      </pivotArea>
    </format>
    <format dxfId="1181">
      <pivotArea dataOnly="0" labelOnly="1" outline="0" fieldPosition="0">
        <references count="17">
          <reference field="0" count="0" selected="0"/>
          <reference field="2" count="0" selected="0"/>
          <reference field="3"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selected="0"/>
          <reference field="25" count="0" selected="0"/>
          <reference field="26" count="0" selected="0"/>
          <reference field="27" count="0" selected="0"/>
          <reference field="28" count="0"/>
          <reference field="39" count="0" selected="0"/>
          <reference field="40" count="0" selected="0"/>
        </references>
      </pivotArea>
    </format>
    <format dxfId="1180">
      <pivotArea dataOnly="0" labelOnly="1" outline="0" fieldPosition="0">
        <references count="18">
          <reference field="0" count="0" selected="0"/>
          <reference field="2" count="0" selected="0"/>
          <reference field="3"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selected="0"/>
          <reference field="25" count="0" selected="0"/>
          <reference field="26" count="0" selected="0"/>
          <reference field="27" count="0" selected="0"/>
          <reference field="28" count="0" selected="0"/>
          <reference field="29" count="0"/>
          <reference field="39" count="0" selected="0"/>
          <reference field="40" count="0" selected="0"/>
        </references>
      </pivotArea>
    </format>
    <format dxfId="1179">
      <pivotArea dataOnly="0" labelOnly="1" outline="0" fieldPosition="0">
        <references count="19">
          <reference field="0" count="0" selected="0"/>
          <reference field="2" count="0" selected="0"/>
          <reference field="3" count="0" selected="0"/>
          <reference field="7" count="0" selected="0"/>
          <reference field="8" count="0" selected="0"/>
          <reference field="9" count="0" selected="0"/>
          <reference field="10" count="0" selected="0"/>
          <reference field="11" count="0" selected="0"/>
          <reference field="12" count="0" selected="0"/>
          <reference field="13" count="0"/>
          <reference field="23" count="0" selected="0"/>
          <reference field="24" count="0" selected="0"/>
          <reference field="25" count="0" selected="0"/>
          <reference field="26" count="0" selected="0"/>
          <reference field="27" count="0" selected="0"/>
          <reference field="28" count="0" selected="0"/>
          <reference field="29" count="0" selected="0"/>
          <reference field="39" count="0" selected="0"/>
          <reference field="40" count="0" selected="0"/>
        </references>
      </pivotArea>
    </format>
    <format dxfId="1178">
      <pivotArea field="7" type="button" dataOnly="0" labelOnly="1" outline="0" axis="axisRow" fieldPosition="5"/>
    </format>
    <format dxfId="1177">
      <pivotArea field="8" type="button" dataOnly="0" labelOnly="1" outline="0" axis="axisRow" fieldPosition="6"/>
    </format>
    <format dxfId="1176">
      <pivotArea field="9" type="button" dataOnly="0" labelOnly="1" outline="0" axis="axisRow" fieldPosition="7"/>
    </format>
    <format dxfId="1175">
      <pivotArea field="23" type="button" dataOnly="0" labelOnly="1" outline="0" axis="axisRow" fieldPosition="11"/>
    </format>
    <format dxfId="1174">
      <pivotArea field="24" type="button" dataOnly="0" labelOnly="1" outline="0" axis="axisRow" fieldPosition="12"/>
    </format>
    <format dxfId="1173">
      <pivotArea field="25" type="button" dataOnly="0" labelOnly="1" outline="0" axis="axisRow" fieldPosition="13"/>
    </format>
    <format dxfId="1172">
      <pivotArea field="26" type="button" dataOnly="0" labelOnly="1" outline="0" axis="axisRow" fieldPosition="14"/>
    </format>
    <format dxfId="1171">
      <pivotArea field="27" type="button" dataOnly="0" labelOnly="1" outline="0" axis="axisRow" fieldPosition="15"/>
    </format>
    <format dxfId="1170">
      <pivotArea field="28" type="button" dataOnly="0" labelOnly="1" outline="0" axis="axisRow" fieldPosition="16"/>
    </format>
    <format dxfId="1169">
      <pivotArea field="29" type="button" dataOnly="0" labelOnly="1" outline="0" axis="axisRow" fieldPosition="17"/>
    </format>
    <format dxfId="1168">
      <pivotArea field="13" type="button" dataOnly="0" labelOnly="1" outline="0" axis="axisRow" fieldPosition="18"/>
    </format>
    <format dxfId="1167">
      <pivotArea field="7" type="button" dataOnly="0" labelOnly="1" outline="0" axis="axisRow" fieldPosition="5"/>
    </format>
    <format dxfId="1166">
      <pivotArea field="8" type="button" dataOnly="0" labelOnly="1" outline="0" axis="axisRow" fieldPosition="6"/>
    </format>
    <format dxfId="1165">
      <pivotArea field="9" type="button" dataOnly="0" labelOnly="1" outline="0" axis="axisRow" fieldPosition="7"/>
    </format>
    <format dxfId="1164">
      <pivotArea field="10" type="button" dataOnly="0" labelOnly="1" outline="0" axis="axisRow" fieldPosition="8"/>
    </format>
    <format dxfId="1163">
      <pivotArea field="11" type="button" dataOnly="0" labelOnly="1" outline="0" axis="axisRow" fieldPosition="9"/>
    </format>
    <format dxfId="1162">
      <pivotArea field="12" type="button" dataOnly="0" labelOnly="1" outline="0" axis="axisRow" fieldPosition="10"/>
    </format>
    <format dxfId="1161">
      <pivotArea field="23" type="button" dataOnly="0" labelOnly="1" outline="0" axis="axisRow" fieldPosition="11"/>
    </format>
    <format dxfId="1160">
      <pivotArea field="24" type="button" dataOnly="0" labelOnly="1" outline="0" axis="axisRow" fieldPosition="12"/>
    </format>
    <format dxfId="1159">
      <pivotArea field="25" type="button" dataOnly="0" labelOnly="1" outline="0" axis="axisRow" fieldPosition="13"/>
    </format>
    <format dxfId="1158">
      <pivotArea field="26" type="button" dataOnly="0" labelOnly="1" outline="0" axis="axisRow" fieldPosition="14"/>
    </format>
    <format dxfId="1157">
      <pivotArea field="27" type="button" dataOnly="0" labelOnly="1" outline="0" axis="axisRow" fieldPosition="15"/>
    </format>
    <format dxfId="1156">
      <pivotArea field="28" type="button" dataOnly="0" labelOnly="1" outline="0" axis="axisRow" fieldPosition="16"/>
    </format>
    <format dxfId="1155">
      <pivotArea field="29" type="button" dataOnly="0" labelOnly="1" outline="0" axis="axisRow" fieldPosition="17"/>
    </format>
    <format dxfId="1154">
      <pivotArea field="13" type="button" dataOnly="0" labelOnly="1" outline="0" axis="axisRow" fieldPosition="18"/>
    </format>
    <format dxfId="1153">
      <pivotArea field="13" type="button" dataOnly="0" labelOnly="1" outline="0" axis="axisRow" fieldPosition="18"/>
    </format>
  </formats>
  <pivotTableStyleInfo name="Business Central Pivot Table Style (Template)" showRowHeaders="1" showColHeaders="1" showRowStripes="0" showColStripes="0" showLastColumn="1"/>
  <filters count="1">
    <filter fld="40" type="captionEqual" evalOrder="-1" id="1" stringValue1="Show">
      <autoFilter ref="A1">
        <filterColumn colId="0">
          <filters>
            <filter val="Show"/>
          </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7B2D7D-9667-4FF5-B65D-900BC06880EA}" name="PivotTable3" cacheId="40"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location ref="B6:X7" firstHeaderRow="1" firstDataRow="1" firstDataCol="23"/>
  <pivotFields count="42">
    <pivotField name="$EntryNo$" axis="axisRow" compact="0" outline="0" subtotalTop="0" showAll="0" defaultSubtotal="0">
      <items count="1">
        <item x="0"/>
      </items>
    </pivotField>
    <pivotField name="$Type$" axis="axisRow" compact="0" outline="0" showAll="0" defaultSubtotal="0">
      <items count="1">
        <item x="0"/>
      </items>
    </pivotField>
    <pivotField name="$No$" axis="axisRow" compact="0" outline="0" showAll="0" defaultSubtotal="0">
      <items count="1">
        <item x="0"/>
      </items>
    </pivotField>
    <pivotField name="$Description$" axis="axisRow" compact="0" outline="0" showAll="0" defaultSubtotal="0">
      <items count="1">
        <item x="0"/>
      </items>
    </pivotField>
    <pivotField name="$LevelLabel$" axis="axisRow" compact="0" outline="0" subtotalTop="0" showAll="0" defaultSubtotal="0">
      <items count="1">
        <item x="0"/>
      </items>
    </pivotField>
    <pivotField name="$HasWarningLabel$" compact="0" outline="0" showAll="0" defaultSubtotal="0">
      <items count="1">
        <item x="0"/>
      </items>
    </pivotField>
    <pivotField compact="0" outline="0" showAll="0" defaultSubtotal="0"/>
    <pivotField name="$QtyPerParent$" axis="axisRow" compact="0" outline="0" showAll="0" defaultSubtotal="0">
      <items count="1">
        <item x="0"/>
      </items>
    </pivotField>
    <pivotField name="$QtyPerTopItem$" axis="axisRow" compact="0" outline="0" showAll="0" defaultSubtotal="0">
      <items count="1">
        <item x="0"/>
      </items>
    </pivotField>
    <pivotField name="$QtyPerBOMLine$" axis="axisRow" compact="0" outline="0" showAll="0" defaultSubtotal="0">
      <items count="1">
        <item x="0"/>
      </items>
    </pivotField>
    <pivotField name="$UnitOfMeasureCode$" axis="axisRow" compact="0" outline="0" showAll="0" defaultSubtotal="0">
      <items count="1">
        <item x="0"/>
      </items>
    </pivotField>
    <pivotField name="$BOMUnitOfMeasureCode$" axis="axisRow" compact="0" outline="0" showAll="0" defaultSubtotal="0">
      <items count="1">
        <item x="0"/>
      </items>
    </pivotField>
    <pivotField name="$ReplenishmentSystem$" axis="axisRow" compact="0" outline="0" showAll="0" defaultSubtotal="0">
      <items count="1">
        <item x="0"/>
      </items>
    </pivotField>
    <pivotField name="$UnitCost$"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ProductionBOMNo$" compact="0" outline="0" showAll="0" defaultSubtotal="0">
      <items count="1">
        <item x="0"/>
      </items>
    </pivotField>
    <pivotField name="$RoutingNo$" compact="0" outline="0" showAll="0" defaultSubtotal="0">
      <items count="1">
        <item x="0"/>
      </items>
    </pivotField>
    <pivotField compact="0" outline="0" showAll="0" defaultSubtotal="0"/>
    <pivotField name="$RolledUpMaterialCost$" axis="axisRow" compact="0" outline="0" showAll="0" defaultSubtotal="0">
      <items count="1">
        <item x="0"/>
      </items>
    </pivotField>
    <pivotField name="$RolledUpMatNonInvtCost$" axis="axisRow" compact="0" outline="0" showAll="0" defaultSubtotal="0">
      <items count="1">
        <item x="0"/>
      </items>
    </pivotField>
    <pivotField name="$RolledUpCapacityCost$" axis="axisRow" compact="0" outline="0" showAll="0" defaultSubtotal="0">
      <items count="1">
        <item x="0"/>
      </items>
    </pivotField>
    <pivotField name="$RolledUpSubcontractedCost$" axis="axisRow" compact="0" outline="0" showAll="0" defaultSubtotal="0">
      <items count="1">
        <item x="0"/>
      </items>
    </pivotField>
    <pivotField name="$RolledUpMfgOvhdCost$" axis="axisRow" compact="0" outline="0" showAll="0" defaultSubtotal="0">
      <items count="1">
        <item x="0"/>
      </items>
    </pivotField>
    <pivotField name="$RolledUpCapacityOvhdCost$" axis="axisRow" compact="0" outline="0" showAll="0" defaultSubtotal="0">
      <items count="1">
        <item x="0"/>
      </items>
    </pivotField>
    <pivotField name="$RolledUpScrapCost$"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TotalCost$" axis="axisRow" compact="0" outline="0" showAll="0" defaultSubtotal="0">
      <items count="1">
        <item x="0"/>
      </items>
    </pivotField>
    <pivotField axis="axisRow" compact="0" outline="0" subtotalTop="0" showAll="0" defaultSubtotal="0">
      <items count="1">
        <item x="0"/>
      </items>
    </pivotField>
    <pivotField name="$LastUnitCostCalcDate$" axis="axisRow" compact="0" outline="0" subtotalTop="0" showAll="0" defaultSubtotal="0">
      <items count="1">
        <item x="0"/>
      </items>
    </pivotField>
    <pivotField compact="0" outline="0" subtotalTop="0" showAll="0" defaultSubtotal="0"/>
    <pivotField axis="axisRow" compact="0" outline="0" subtotalTop="0" showAll="0" defaultSubtotal="0">
      <items count="1">
        <item x="0"/>
      </items>
    </pivotField>
  </pivotFields>
  <rowFields count="23">
    <field x="0"/>
    <field x="41"/>
    <field x="38"/>
    <field x="4"/>
    <field x="1"/>
    <field x="2"/>
    <field x="3"/>
    <field x="39"/>
    <field x="7"/>
    <field x="8"/>
    <field x="9"/>
    <field x="10"/>
    <field x="11"/>
    <field x="12"/>
    <field x="23"/>
    <field x="24"/>
    <field x="25"/>
    <field x="26"/>
    <field x="27"/>
    <field x="28"/>
    <field x="29"/>
    <field x="13"/>
    <field x="37"/>
  </rowFields>
  <rowItems count="1">
    <i>
      <x/>
      <x/>
      <x/>
      <x/>
      <x/>
      <x/>
      <x/>
      <x/>
      <x/>
      <x/>
      <x/>
      <x/>
      <x/>
      <x/>
      <x/>
      <x/>
      <x/>
      <x/>
      <x/>
      <x/>
      <x/>
      <x/>
      <x/>
    </i>
  </rowItems>
  <colItems count="1">
    <i/>
  </colItems>
  <formats count="104">
    <format dxfId="1152">
      <pivotArea type="all" dataOnly="0" outline="0" fieldPosition="0"/>
    </format>
    <format dxfId="1151">
      <pivotArea outline="0" collapsedLevelsAreSubtotals="1" fieldPosition="0"/>
    </format>
    <format dxfId="1150">
      <pivotArea field="1" type="button" dataOnly="0" labelOnly="1" outline="0" axis="axisRow" fieldPosition="4"/>
    </format>
    <format dxfId="1149">
      <pivotArea field="2" type="button" dataOnly="0" labelOnly="1" outline="0" axis="axisRow" fieldPosition="5"/>
    </format>
    <format dxfId="1148">
      <pivotArea field="3" type="button" dataOnly="0" labelOnly="1" outline="0" axis="axisRow" fieldPosition="6"/>
    </format>
    <format dxfId="1147">
      <pivotArea field="20" type="button" dataOnly="0" labelOnly="1" outline="0"/>
    </format>
    <format dxfId="1146">
      <pivotArea field="21" type="button" dataOnly="0" labelOnly="1" outline="0"/>
    </format>
    <format dxfId="1145">
      <pivotArea dataOnly="0" labelOnly="1" outline="0" fieldPosition="0">
        <references count="1">
          <reference field="1" count="0"/>
        </references>
      </pivotArea>
    </format>
    <format dxfId="1144">
      <pivotArea dataOnly="0" labelOnly="1" grandRow="1" outline="0" fieldPosition="0"/>
    </format>
    <format dxfId="1143">
      <pivotArea dataOnly="0" labelOnly="1" outline="0" fieldPosition="0">
        <references count="2">
          <reference field="1" count="0" selected="0"/>
          <reference field="2" count="0"/>
        </references>
      </pivotArea>
    </format>
    <format dxfId="1142">
      <pivotArea dataOnly="0" labelOnly="1" outline="0" fieldPosition="0">
        <references count="3">
          <reference field="1" count="0" selected="0"/>
          <reference field="2" count="0" selected="0"/>
          <reference field="3" count="0"/>
        </references>
      </pivotArea>
    </format>
    <format dxfId="1141">
      <pivotArea field="0" type="button" dataOnly="0" labelOnly="1" outline="0" axis="axisRow" fieldPosition="0"/>
    </format>
    <format dxfId="1140">
      <pivotArea field="2" type="button" dataOnly="0" labelOnly="1" outline="0" axis="axisRow" fieldPosition="5"/>
    </format>
    <format dxfId="1139">
      <pivotArea field="3" type="button" dataOnly="0" labelOnly="1" outline="0" axis="axisRow" fieldPosition="6"/>
    </format>
    <format dxfId="1138">
      <pivotArea field="20" type="button" dataOnly="0" labelOnly="1" outline="0"/>
    </format>
    <format dxfId="1137">
      <pivotArea field="21" type="button" dataOnly="0" labelOnly="1" outline="0"/>
    </format>
    <format dxfId="1136">
      <pivotArea field="1" type="button" dataOnly="0" labelOnly="1" outline="0" axis="axisRow" fieldPosition="4"/>
    </format>
    <format dxfId="1135">
      <pivotArea field="4" type="button" dataOnly="0" labelOnly="1" outline="0" axis="axisRow" fieldPosition="3"/>
    </format>
    <format dxfId="1134">
      <pivotArea field="5" type="button" dataOnly="0" labelOnly="1" outline="0"/>
    </format>
    <format dxfId="1133">
      <pivotArea field="12" type="button" dataOnly="0" labelOnly="1" outline="0" axis="axisRow" fieldPosition="13"/>
    </format>
    <format dxfId="1132">
      <pivotArea field="10" type="button" dataOnly="0" labelOnly="1" outline="0" axis="axisRow" fieldPosition="11"/>
    </format>
    <format dxfId="1131">
      <pivotArea field="11" type="button" dataOnly="0" labelOnly="1" outline="0" axis="axisRow" fieldPosition="12"/>
    </format>
    <format dxfId="1130">
      <pivotArea field="10" type="button" dataOnly="0" labelOnly="1" outline="0" axis="axisRow" fieldPosition="11"/>
    </format>
    <format dxfId="1129">
      <pivotArea field="11" type="button" dataOnly="0" labelOnly="1" outline="0" axis="axisRow" fieldPosition="12"/>
    </format>
    <format dxfId="1128">
      <pivotArea field="4" type="button" dataOnly="0" labelOnly="1" outline="0" axis="axisRow" fieldPosition="3"/>
    </format>
    <format dxfId="1127">
      <pivotArea field="1" type="button" dataOnly="0" labelOnly="1" outline="0" axis="axisRow" fieldPosition="4"/>
    </format>
    <format dxfId="1126">
      <pivotArea field="2" type="button" dataOnly="0" labelOnly="1" outline="0" axis="axisRow" fieldPosition="5"/>
    </format>
    <format dxfId="1125">
      <pivotArea field="3" type="button" dataOnly="0" labelOnly="1" outline="0" axis="axisRow" fieldPosition="6"/>
    </format>
    <format dxfId="1124">
      <pivotArea field="12" type="button" dataOnly="0" labelOnly="1" outline="0" axis="axisRow" fieldPosition="13"/>
    </format>
    <format dxfId="1123">
      <pivotArea field="10" type="button" dataOnly="0" labelOnly="1" outline="0" axis="axisRow" fieldPosition="11"/>
    </format>
    <format dxfId="1122">
      <pivotArea field="11" type="button" dataOnly="0" labelOnly="1" outline="0" axis="axisRow" fieldPosition="12"/>
    </format>
    <format dxfId="1121">
      <pivotArea outline="0" collapsedLevelsAreSubtotals="1" fieldPosition="0"/>
    </format>
    <format dxfId="1120">
      <pivotArea dataOnly="0" labelOnly="1" outline="0" fieldPosition="0">
        <references count="8">
          <reference field="0" count="0" selected="0"/>
          <reference field="1" count="0" selected="0"/>
          <reference field="2" count="0" selected="0"/>
          <reference field="3" count="0" selected="0"/>
          <reference field="4" count="0" selected="0"/>
          <reference field="12" count="0"/>
          <reference field="38" count="0" selected="0"/>
          <reference field="41" count="0" selected="0"/>
        </references>
      </pivotArea>
    </format>
    <format dxfId="1119">
      <pivotArea dataOnly="0" labelOnly="1" outline="0" fieldPosition="0">
        <references count="9">
          <reference field="0" count="0" selected="0"/>
          <reference field="1" count="0" selected="0"/>
          <reference field="2" count="0" selected="0"/>
          <reference field="3" count="0" selected="0"/>
          <reference field="4" count="0" selected="0"/>
          <reference field="10" count="0"/>
          <reference field="12" count="0" selected="0"/>
          <reference field="38" count="0" selected="0"/>
          <reference field="41" count="0" selected="0"/>
        </references>
      </pivotArea>
    </format>
    <format dxfId="1118">
      <pivotArea dataOnly="0" labelOnly="1" outline="0" fieldPosition="0">
        <references count="10">
          <reference field="0" count="0" selected="0"/>
          <reference field="1" count="0" selected="0"/>
          <reference field="2" count="0" selected="0"/>
          <reference field="3" count="0" selected="0"/>
          <reference field="4" count="0" selected="0"/>
          <reference field="10" count="0" selected="0"/>
          <reference field="11" count="0"/>
          <reference field="12" count="0" selected="0"/>
          <reference field="38" count="0" selected="0"/>
          <reference field="41" count="0" selected="0"/>
        </references>
      </pivotArea>
    </format>
    <format dxfId="1117">
      <pivotArea field="39" type="button" dataOnly="0" labelOnly="1" outline="0" axis="axisRow" fieldPosition="7"/>
    </format>
    <format dxfId="1116">
      <pivotArea field="39" type="button" dataOnly="0" labelOnly="1" outline="0" axis="axisRow" fieldPosition="7"/>
    </format>
    <format dxfId="1115">
      <pivotArea field="12" type="button" dataOnly="0" labelOnly="1" outline="0" axis="axisRow" fieldPosition="13"/>
    </format>
    <format dxfId="1114">
      <pivotArea dataOnly="0" labelOnly="1" outline="0" fieldPosition="0">
        <references count="9">
          <reference field="0" count="0" selected="0"/>
          <reference field="1" count="0" selected="0"/>
          <reference field="2" count="0" selected="0"/>
          <reference field="3" count="0" selected="0"/>
          <reference field="4" count="0" selected="0"/>
          <reference field="12" count="0"/>
          <reference field="38" count="0" selected="0"/>
          <reference field="39" count="0" selected="0"/>
          <reference field="41" count="0" selected="0"/>
        </references>
      </pivotArea>
    </format>
    <format dxfId="1113">
      <pivotArea field="39" type="button" dataOnly="0" labelOnly="1" outline="0" axis="axisRow" fieldPosition="7"/>
    </format>
    <format dxfId="1112">
      <pivotArea dataOnly="0" labelOnly="1" outline="0" fieldPosition="0">
        <references count="8">
          <reference field="0" count="0" selected="0"/>
          <reference field="1" count="0" selected="0"/>
          <reference field="2" count="0" selected="0"/>
          <reference field="3" count="0" selected="0"/>
          <reference field="4" count="0" selected="0"/>
          <reference field="38" count="0" selected="0"/>
          <reference field="39" count="0"/>
          <reference field="41" count="0" selected="0"/>
        </references>
      </pivotArea>
    </format>
    <format dxfId="1111">
      <pivotArea dataOnly="0" labelOnly="1" outline="0" fieldPosition="0">
        <references count="4">
          <reference field="0" count="0" selected="0"/>
          <reference field="4" count="0"/>
          <reference field="38" count="0" selected="0"/>
          <reference field="41" count="0" selected="0"/>
        </references>
      </pivotArea>
    </format>
    <format dxfId="1110">
      <pivotArea dataOnly="0" labelOnly="1" outline="0" fieldPosition="0">
        <references count="5">
          <reference field="0" count="0" selected="0"/>
          <reference field="1" count="0"/>
          <reference field="4" count="0" selected="0"/>
          <reference field="38" count="0" selected="0"/>
          <reference field="41" count="0" selected="0"/>
        </references>
      </pivotArea>
    </format>
    <format dxfId="1109">
      <pivotArea dataOnly="0" labelOnly="1" outline="0" fieldPosition="0">
        <references count="6">
          <reference field="0" count="0" selected="0"/>
          <reference field="1" count="0" selected="0"/>
          <reference field="2" count="0"/>
          <reference field="4" count="0" selected="0"/>
          <reference field="38" count="0" selected="0"/>
          <reference field="41" count="0" selected="0"/>
        </references>
      </pivotArea>
    </format>
    <format dxfId="1108">
      <pivotArea dataOnly="0" labelOnly="1" outline="0" fieldPosition="0">
        <references count="7">
          <reference field="0" count="0" selected="0"/>
          <reference field="1" count="0" selected="0"/>
          <reference field="2" count="0" selected="0"/>
          <reference field="3" count="0"/>
          <reference field="4" count="0" selected="0"/>
          <reference field="38" count="0" selected="0"/>
          <reference field="41" count="0" selected="0"/>
        </references>
      </pivotArea>
    </format>
    <format dxfId="1107">
      <pivotArea dataOnly="0" labelOnly="1" outline="0" fieldPosition="0">
        <references count="8">
          <reference field="0" count="0" selected="0"/>
          <reference field="1" count="0" selected="0"/>
          <reference field="2" count="0" selected="0"/>
          <reference field="3" count="0" selected="0"/>
          <reference field="4" count="0" selected="0"/>
          <reference field="38" count="0" selected="0"/>
          <reference field="39" count="0"/>
          <reference field="41" count="0" selected="0"/>
        </references>
      </pivotArea>
    </format>
    <format dxfId="1106">
      <pivotArea dataOnly="0" labelOnly="1" outline="0" fieldPosition="0">
        <references count="9">
          <reference field="0" count="0" selected="0"/>
          <reference field="1" count="0" selected="0"/>
          <reference field="2" count="0" selected="0"/>
          <reference field="3" count="0" selected="0"/>
          <reference field="4" count="0" selected="0"/>
          <reference field="7" count="0"/>
          <reference field="38" count="0" selected="0"/>
          <reference field="39" count="0" selected="0"/>
          <reference field="41" count="0" selected="0"/>
        </references>
      </pivotArea>
    </format>
    <format dxfId="1105">
      <pivotArea dataOnly="0" labelOnly="1" outline="0" fieldPosition="0">
        <references count="10">
          <reference field="0" count="0" selected="0"/>
          <reference field="1" count="0" selected="0"/>
          <reference field="2" count="0" selected="0"/>
          <reference field="3" count="0" selected="0"/>
          <reference field="4" count="0" selected="0"/>
          <reference field="7" count="0" selected="0"/>
          <reference field="8" count="0"/>
          <reference field="38" count="0" selected="0"/>
          <reference field="39" count="0" selected="0"/>
          <reference field="41" count="0" selected="0"/>
        </references>
      </pivotArea>
    </format>
    <format dxfId="1104">
      <pivotArea dataOnly="0" labelOnly="1" outline="0" fieldPosition="0">
        <references count="11">
          <reference field="0" count="0" selected="0"/>
          <reference field="1" count="0" selected="0"/>
          <reference field="2" count="0" selected="0"/>
          <reference field="3" count="0" selected="0"/>
          <reference field="4" count="0" selected="0"/>
          <reference field="7" count="0" selected="0"/>
          <reference field="8" count="0" selected="0"/>
          <reference field="9" count="0"/>
          <reference field="38" count="0" selected="0"/>
          <reference field="39" count="0" selected="0"/>
          <reference field="41" count="0" selected="0"/>
        </references>
      </pivotArea>
    </format>
    <format dxfId="1103">
      <pivotArea dataOnly="0" labelOnly="1" outline="0" fieldPosition="0">
        <references count="12">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reference field="38" count="0" selected="0"/>
          <reference field="39" count="0" selected="0"/>
          <reference field="41" count="0" selected="0"/>
        </references>
      </pivotArea>
    </format>
    <format dxfId="1102">
      <pivotArea dataOnly="0" labelOnly="1" outline="0" fieldPosition="0">
        <references count="13">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reference field="38" count="0" selected="0"/>
          <reference field="39" count="0" selected="0"/>
          <reference field="41" count="0" selected="0"/>
        </references>
      </pivotArea>
    </format>
    <format dxfId="1101">
      <pivotArea dataOnly="0" labelOnly="1" outline="0" fieldPosition="0">
        <references count="14">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reference field="38" count="0" selected="0"/>
          <reference field="39" count="0" selected="0"/>
          <reference field="41" count="0" selected="0"/>
        </references>
      </pivotArea>
    </format>
    <format dxfId="1100">
      <pivotArea dataOnly="0" labelOnly="1" outline="0" fieldPosition="0">
        <references count="15">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23" count="0"/>
          <reference field="38" count="0" selected="0"/>
          <reference field="39" count="0" selected="0"/>
          <reference field="41" count="0" selected="0"/>
        </references>
      </pivotArea>
    </format>
    <format dxfId="1099">
      <pivotArea dataOnly="0" labelOnly="1" outline="0" fieldPosition="0">
        <references count="16">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reference field="38" count="0" selected="0"/>
          <reference field="39" count="0" selected="0"/>
          <reference field="41" count="0" selected="0"/>
        </references>
      </pivotArea>
    </format>
    <format dxfId="1098">
      <pivotArea dataOnly="0" labelOnly="1" outline="0" fieldPosition="0">
        <references count="17">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selected="0"/>
          <reference field="25" count="0"/>
          <reference field="38" count="0" selected="0"/>
          <reference field="39" count="0" selected="0"/>
          <reference field="41" count="0" selected="0"/>
        </references>
      </pivotArea>
    </format>
    <format dxfId="1097">
      <pivotArea dataOnly="0" labelOnly="1" outline="0" fieldPosition="0">
        <references count="18">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selected="0"/>
          <reference field="25" count="0" selected="0"/>
          <reference field="26" count="0"/>
          <reference field="38" count="0" selected="0"/>
          <reference field="39" count="0" selected="0"/>
          <reference field="41" count="0" selected="0"/>
        </references>
      </pivotArea>
    </format>
    <format dxfId="1096">
      <pivotArea dataOnly="0" labelOnly="1" outline="0" fieldPosition="0">
        <references count="19">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selected="0"/>
          <reference field="25" count="0" selected="0"/>
          <reference field="26" count="0" selected="0"/>
          <reference field="27" count="0"/>
          <reference field="38" count="0" selected="0"/>
          <reference field="39" count="0" selected="0"/>
          <reference field="41" count="0" selected="0"/>
        </references>
      </pivotArea>
    </format>
    <format dxfId="1095">
      <pivotArea dataOnly="0" labelOnly="1" outline="0" fieldPosition="0">
        <references count="20">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selected="0"/>
          <reference field="25" count="0" selected="0"/>
          <reference field="26" count="0" selected="0"/>
          <reference field="27" count="0" selected="0"/>
          <reference field="28" count="0"/>
          <reference field="38" count="0" selected="0"/>
          <reference field="39" count="0" selected="0"/>
          <reference field="41" count="0" selected="0"/>
        </references>
      </pivotArea>
    </format>
    <format dxfId="1094">
      <pivotArea dataOnly="0" labelOnly="1" outline="0" fieldPosition="0">
        <references count="21">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selected="0"/>
          <reference field="25" count="0" selected="0"/>
          <reference field="26" count="0" selected="0"/>
          <reference field="27" count="0" selected="0"/>
          <reference field="28" count="0" selected="0"/>
          <reference field="29" count="0"/>
          <reference field="38" count="0" selected="0"/>
          <reference field="39" count="0" selected="0"/>
          <reference field="41" count="0" selected="0"/>
        </references>
      </pivotArea>
    </format>
    <format dxfId="1093">
      <pivotArea dataOnly="0" labelOnly="1" outline="0" fieldPosition="0">
        <references count="22">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13" count="0"/>
          <reference field="23" count="0" selected="0"/>
          <reference field="24" count="0" selected="0"/>
          <reference field="25" count="0" selected="0"/>
          <reference field="26" count="0" selected="0"/>
          <reference field="27" count="0" selected="0"/>
          <reference field="28" count="0" selected="0"/>
          <reference field="29" count="0" selected="0"/>
          <reference field="38" count="0" selected="0"/>
          <reference field="39" count="0" selected="0"/>
          <reference field="41" count="0" selected="0"/>
        </references>
      </pivotArea>
    </format>
    <format dxfId="1092">
      <pivotArea dataOnly="0" labelOnly="1" outline="0" fieldPosition="0">
        <references count="23">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13" count="0" selected="0"/>
          <reference field="23" count="0" selected="0"/>
          <reference field="24" count="0" selected="0"/>
          <reference field="25" count="0" selected="0"/>
          <reference field="26" count="0" selected="0"/>
          <reference field="27" count="0" selected="0"/>
          <reference field="28" count="0" selected="0"/>
          <reference field="29" count="0" selected="0"/>
          <reference field="37" count="0"/>
          <reference field="38" count="0" selected="0"/>
          <reference field="39" count="0" selected="0"/>
          <reference field="41" count="0" selected="0"/>
        </references>
      </pivotArea>
    </format>
    <format dxfId="1091">
      <pivotArea field="7" type="button" dataOnly="0" labelOnly="1" outline="0" axis="axisRow" fieldPosition="8"/>
    </format>
    <format dxfId="1090">
      <pivotArea field="8" type="button" dataOnly="0" labelOnly="1" outline="0" axis="axisRow" fieldPosition="9"/>
    </format>
    <format dxfId="1089">
      <pivotArea field="9" type="button" dataOnly="0" labelOnly="1" outline="0" axis="axisRow" fieldPosition="10"/>
    </format>
    <format dxfId="1088">
      <pivotArea field="10" type="button" dataOnly="0" labelOnly="1" outline="0" axis="axisRow" fieldPosition="11"/>
    </format>
    <format dxfId="1087">
      <pivotArea field="11" type="button" dataOnly="0" labelOnly="1" outline="0" axis="axisRow" fieldPosition="12"/>
    </format>
    <format dxfId="1086">
      <pivotArea field="12" type="button" dataOnly="0" labelOnly="1" outline="0" axis="axisRow" fieldPosition="13"/>
    </format>
    <format dxfId="1085">
      <pivotArea field="23" type="button" dataOnly="0" labelOnly="1" outline="0" axis="axisRow" fieldPosition="14"/>
    </format>
    <format dxfId="1084">
      <pivotArea field="24" type="button" dataOnly="0" labelOnly="1" outline="0" axis="axisRow" fieldPosition="15"/>
    </format>
    <format dxfId="1083">
      <pivotArea field="25" type="button" dataOnly="0" labelOnly="1" outline="0" axis="axisRow" fieldPosition="16"/>
    </format>
    <format dxfId="1082">
      <pivotArea field="26" type="button" dataOnly="0" labelOnly="1" outline="0" axis="axisRow" fieldPosition="17"/>
    </format>
    <format dxfId="1081">
      <pivotArea field="27" type="button" dataOnly="0" labelOnly="1" outline="0" axis="axisRow" fieldPosition="18"/>
    </format>
    <format dxfId="1080">
      <pivotArea field="28" type="button" dataOnly="0" labelOnly="1" outline="0" axis="axisRow" fieldPosition="19"/>
    </format>
    <format dxfId="1079">
      <pivotArea field="29" type="button" dataOnly="0" labelOnly="1" outline="0" axis="axisRow" fieldPosition="20"/>
    </format>
    <format dxfId="1078">
      <pivotArea field="13" type="button" dataOnly="0" labelOnly="1" outline="0" axis="axisRow" fieldPosition="21"/>
    </format>
    <format dxfId="1077">
      <pivotArea field="37" type="button" dataOnly="0" labelOnly="1" outline="0" axis="axisRow" fieldPosition="22"/>
    </format>
    <format dxfId="1076">
      <pivotArea field="7" type="button" dataOnly="0" labelOnly="1" outline="0" axis="axisRow" fieldPosition="8"/>
    </format>
    <format dxfId="1075">
      <pivotArea field="8" type="button" dataOnly="0" labelOnly="1" outline="0" axis="axisRow" fieldPosition="9"/>
    </format>
    <format dxfId="1074">
      <pivotArea field="9" type="button" dataOnly="0" labelOnly="1" outline="0" axis="axisRow" fieldPosition="10"/>
    </format>
    <format dxfId="1073">
      <pivotArea field="10" type="button" dataOnly="0" labelOnly="1" outline="0" axis="axisRow" fieldPosition="11"/>
    </format>
    <format dxfId="1072">
      <pivotArea field="11" type="button" dataOnly="0" labelOnly="1" outline="0" axis="axisRow" fieldPosition="12"/>
    </format>
    <format dxfId="1071">
      <pivotArea field="12" type="button" dataOnly="0" labelOnly="1" outline="0" axis="axisRow" fieldPosition="13"/>
    </format>
    <format dxfId="1070">
      <pivotArea field="23" type="button" dataOnly="0" labelOnly="1" outline="0" axis="axisRow" fieldPosition="14"/>
    </format>
    <format dxfId="1069">
      <pivotArea field="24" type="button" dataOnly="0" labelOnly="1" outline="0" axis="axisRow" fieldPosition="15"/>
    </format>
    <format dxfId="1068">
      <pivotArea field="25" type="button" dataOnly="0" labelOnly="1" outline="0" axis="axisRow" fieldPosition="16"/>
    </format>
    <format dxfId="1067">
      <pivotArea field="26" type="button" dataOnly="0" labelOnly="1" outline="0" axis="axisRow" fieldPosition="17"/>
    </format>
    <format dxfId="1066">
      <pivotArea field="27" type="button" dataOnly="0" labelOnly="1" outline="0" axis="axisRow" fieldPosition="18"/>
    </format>
    <format dxfId="1065">
      <pivotArea field="28" type="button" dataOnly="0" labelOnly="1" outline="0" axis="axisRow" fieldPosition="19"/>
    </format>
    <format dxfId="1064">
      <pivotArea field="29" type="button" dataOnly="0" labelOnly="1" outline="0" axis="axisRow" fieldPosition="20"/>
    </format>
    <format dxfId="1063">
      <pivotArea field="13" type="button" dataOnly="0" labelOnly="1" outline="0" axis="axisRow" fieldPosition="21"/>
    </format>
    <format dxfId="1062">
      <pivotArea field="37" type="button" dataOnly="0" labelOnly="1" outline="0" axis="axisRow" fieldPosition="22"/>
    </format>
    <format dxfId="1061">
      <pivotArea field="7" type="button" dataOnly="0" labelOnly="1" outline="0" axis="axisRow" fieldPosition="8"/>
    </format>
    <format dxfId="1060">
      <pivotArea field="8" type="button" dataOnly="0" labelOnly="1" outline="0" axis="axisRow" fieldPosition="9"/>
    </format>
    <format dxfId="1059">
      <pivotArea field="9" type="button" dataOnly="0" labelOnly="1" outline="0" axis="axisRow" fieldPosition="10"/>
    </format>
    <format dxfId="1058">
      <pivotArea field="23" type="button" dataOnly="0" labelOnly="1" outline="0" axis="axisRow" fieldPosition="14"/>
    </format>
    <format dxfId="1057">
      <pivotArea field="24" type="button" dataOnly="0" labelOnly="1" outline="0" axis="axisRow" fieldPosition="15"/>
    </format>
    <format dxfId="1056">
      <pivotArea field="25" type="button" dataOnly="0" labelOnly="1" outline="0" axis="axisRow" fieldPosition="16"/>
    </format>
    <format dxfId="1055">
      <pivotArea field="26" type="button" dataOnly="0" labelOnly="1" outline="0" axis="axisRow" fieldPosition="17"/>
    </format>
    <format dxfId="1054">
      <pivotArea field="27" type="button" dataOnly="0" labelOnly="1" outline="0" axis="axisRow" fieldPosition="18"/>
    </format>
    <format dxfId="1053">
      <pivotArea field="28" type="button" dataOnly="0" labelOnly="1" outline="0" axis="axisRow" fieldPosition="19"/>
    </format>
    <format dxfId="1052">
      <pivotArea field="29" type="button" dataOnly="0" labelOnly="1" outline="0" axis="axisRow" fieldPosition="20"/>
    </format>
    <format dxfId="1051">
      <pivotArea field="13" type="button" dataOnly="0" labelOnly="1" outline="0" axis="axisRow" fieldPosition="21"/>
    </format>
    <format dxfId="1050">
      <pivotArea field="37" type="button" dataOnly="0" labelOnly="1" outline="0" axis="axisRow" fieldPosition="22"/>
    </format>
    <format dxfId="1049">
      <pivotArea field="37" type="button" dataOnly="0" labelOnly="1" outline="0" axis="axisRow" fieldPosition="22"/>
    </format>
  </formats>
  <pivotTableStyleInfo name="Business Central Pivot Table Style (Template)" showRowHeaders="1" showColHeaders="1" showRowStripes="0" showColStripes="0" showLastColumn="1"/>
  <filters count="1">
    <filter fld="41" type="captionEqual" evalOrder="-1" id="1" stringValue1="Show">
      <autoFilter ref="A1">
        <filterColumn colId="0">
          <filters>
            <filter val="Show"/>
          </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56DD05-FF5F-45A1-9E11-64DA695A6DB2}" name="PivotTable3" cacheId="40"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location ref="B6:W7" firstHeaderRow="1" firstDataRow="1" firstDataCol="22"/>
  <pivotFields count="42">
    <pivotField name="$EntryNo$" axis="axisRow" compact="0" outline="0" subtotalTop="0" showAll="0" defaultSubtotal="0">
      <items count="1">
        <item x="0"/>
      </items>
    </pivotField>
    <pivotField name="$Type$" axis="axisRow" compact="0" outline="0" showAll="0" defaultSubtotal="0">
      <items count="1">
        <item x="0"/>
      </items>
    </pivotField>
    <pivotField name="$No$" axis="axisRow" compact="0" outline="0" showAll="0" defaultSubtotal="0">
      <items count="1">
        <item x="0"/>
      </items>
    </pivotField>
    <pivotField name="$Description$" axis="axisRow" compact="0" outline="0" showAll="0" defaultSubtotal="0">
      <items count="1">
        <item x="0"/>
      </items>
    </pivotField>
    <pivotField name="$LevelLabel$" axis="axisRow" compact="0" outline="0" subtotalTop="0" showAll="0" defaultSubtotal="0">
      <items count="1">
        <item x="0"/>
      </items>
    </pivotField>
    <pivotField name="$HasWarningLabel$" compact="0" outline="0" showAll="0" defaultSubtotal="0">
      <items count="1">
        <item x="0"/>
      </items>
    </pivotField>
    <pivotField compact="0" outline="0" showAll="0" defaultSubtotal="0"/>
    <pivotField name="$QtyPerParent$" axis="axisRow" compact="0" outline="0" showAll="0" defaultSubtotal="0">
      <items count="1">
        <item x="0"/>
      </items>
    </pivotField>
    <pivotField name="$QtyPerTopItem$" axis="axisRow" compact="0" outline="0" showAll="0" defaultSubtotal="0">
      <items count="1">
        <item x="0"/>
      </items>
    </pivotField>
    <pivotField name="$QtyPerBOMLine$" axis="axisRow" compact="0" outline="0" showAll="0" defaultSubtotal="0">
      <items count="1">
        <item x="0"/>
      </items>
    </pivotField>
    <pivotField name="$UnitOfMeasureCode$" axis="axisRow" compact="0" outline="0" showAll="0" defaultSubtotal="0">
      <items count="1">
        <item x="0"/>
      </items>
    </pivotField>
    <pivotField name="$BOMUnitOfMeasureCode$" axis="axisRow" compact="0" outline="0" showAll="0" defaultSubtotal="0">
      <items count="1">
        <item x="0"/>
      </items>
    </pivotField>
    <pivotField name="$ReplenishmentSystem$" axis="axisRow" compact="0" outline="0" showAll="0" defaultSubtotal="0">
      <items count="1">
        <item x="0"/>
      </items>
    </pivotField>
    <pivotField name="$UnitCost$"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ProductionBOMNo$" compact="0" outline="0" showAll="0" defaultSubtotal="0">
      <items count="1">
        <item x="0"/>
      </items>
    </pivotField>
    <pivotField name="$RoutingNo$" compact="0" outline="0" showAll="0" defaultSubtotal="0">
      <items count="1">
        <item x="0"/>
      </items>
    </pivotField>
    <pivotField compact="0" outline="0" showAll="0" defaultSubtotal="0"/>
    <pivotField name="$RolledUpMaterialCost$" axis="axisRow" compact="0" outline="0" showAll="0" defaultSubtotal="0">
      <items count="1">
        <item x="0"/>
      </items>
    </pivotField>
    <pivotField name="$RolledUpMatNonInvtCost$" axis="axisRow" compact="0" outline="0" showAll="0" defaultSubtotal="0">
      <items count="1">
        <item x="0"/>
      </items>
    </pivotField>
    <pivotField name="$RolledUpCapacityCost$" axis="axisRow" compact="0" outline="0" showAll="0" defaultSubtotal="0">
      <items count="1">
        <item x="0"/>
      </items>
    </pivotField>
    <pivotField name="$RolledUpSubcontractedCost$" axis="axisRow" compact="0" outline="0" showAll="0" defaultSubtotal="0">
      <items count="1">
        <item x="0"/>
      </items>
    </pivotField>
    <pivotField name="$RolledUpMfgOvhdCost$" axis="axisRow" compact="0" outline="0" showAll="0" defaultSubtotal="0">
      <items count="1">
        <item x="0"/>
      </items>
    </pivotField>
    <pivotField name="$RolledUpCapacityOvhdCost$" axis="axisRow" compact="0" outline="0" showAll="0" defaultSubtotal="0">
      <items count="1">
        <item x="0"/>
      </items>
    </pivotField>
    <pivotField name="$RolledUpScrapCost$"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TotalCost$" axis="axisRow" compact="0" outline="0" showAll="0" defaultSubtotal="0">
      <items count="1">
        <item x="0"/>
      </items>
    </pivotField>
    <pivotField axis="axisRow" compact="0" outline="0" subtotalTop="0" showAll="0" defaultSubtotal="0">
      <items count="1">
        <item x="0"/>
      </items>
    </pivotField>
    <pivotField name="$LastUnitCostCalcDate$" axis="axisRow" compact="0" outline="0" subtotalTop="0" showAll="0" defaultSubtotal="0">
      <items count="1">
        <item x="0"/>
      </items>
    </pivotField>
    <pivotField compact="0" outline="0" subtotalTop="0" showAll="0" defaultSubtotal="0"/>
    <pivotField compact="0" outline="0" subtotalTop="0" showAll="0" defaultSubtotal="0"/>
  </pivotFields>
  <rowFields count="22">
    <field x="0"/>
    <field x="38"/>
    <field x="4"/>
    <field x="1"/>
    <field x="2"/>
    <field x="3"/>
    <field x="39"/>
    <field x="7"/>
    <field x="8"/>
    <field x="9"/>
    <field x="10"/>
    <field x="11"/>
    <field x="12"/>
    <field x="23"/>
    <field x="24"/>
    <field x="25"/>
    <field x="26"/>
    <field x="27"/>
    <field x="28"/>
    <field x="29"/>
    <field x="13"/>
    <field x="37"/>
  </rowFields>
  <rowItems count="1">
    <i>
      <x/>
      <x/>
      <x/>
      <x/>
      <x/>
      <x/>
      <x/>
      <x/>
      <x/>
      <x/>
      <x/>
      <x/>
      <x/>
      <x/>
      <x/>
      <x/>
      <x/>
      <x/>
      <x/>
      <x/>
      <x/>
      <x/>
    </i>
  </rowItems>
  <colItems count="1">
    <i/>
  </colItems>
  <formats count="89">
    <format dxfId="1048">
      <pivotArea type="all" dataOnly="0" outline="0" fieldPosition="0"/>
    </format>
    <format dxfId="1047">
      <pivotArea outline="0" collapsedLevelsAreSubtotals="1" fieldPosition="0"/>
    </format>
    <format dxfId="1046">
      <pivotArea field="1" type="button" dataOnly="0" labelOnly="1" outline="0" axis="axisRow" fieldPosition="3"/>
    </format>
    <format dxfId="1045">
      <pivotArea field="2" type="button" dataOnly="0" labelOnly="1" outline="0" axis="axisRow" fieldPosition="4"/>
    </format>
    <format dxfId="1044">
      <pivotArea field="3" type="button" dataOnly="0" labelOnly="1" outline="0" axis="axisRow" fieldPosition="5"/>
    </format>
    <format dxfId="1043">
      <pivotArea field="20" type="button" dataOnly="0" labelOnly="1" outline="0"/>
    </format>
    <format dxfId="1042">
      <pivotArea field="21" type="button" dataOnly="0" labelOnly="1" outline="0"/>
    </format>
    <format dxfId="1041">
      <pivotArea dataOnly="0" labelOnly="1" outline="0" fieldPosition="0">
        <references count="1">
          <reference field="1" count="0"/>
        </references>
      </pivotArea>
    </format>
    <format dxfId="1040">
      <pivotArea dataOnly="0" labelOnly="1" grandRow="1" outline="0" fieldPosition="0"/>
    </format>
    <format dxfId="1039">
      <pivotArea dataOnly="0" labelOnly="1" outline="0" fieldPosition="0">
        <references count="2">
          <reference field="1" count="0" selected="0"/>
          <reference field="2" count="0"/>
        </references>
      </pivotArea>
    </format>
    <format dxfId="1038">
      <pivotArea dataOnly="0" labelOnly="1" outline="0" fieldPosition="0">
        <references count="3">
          <reference field="1" count="0" selected="0"/>
          <reference field="2" count="0" selected="0"/>
          <reference field="3" count="0"/>
        </references>
      </pivotArea>
    </format>
    <format dxfId="1037">
      <pivotArea field="0" type="button" dataOnly="0" labelOnly="1" outline="0" axis="axisRow" fieldPosition="0"/>
    </format>
    <format dxfId="1036">
      <pivotArea field="2" type="button" dataOnly="0" labelOnly="1" outline="0" axis="axisRow" fieldPosition="4"/>
    </format>
    <format dxfId="1035">
      <pivotArea field="3" type="button" dataOnly="0" labelOnly="1" outline="0" axis="axisRow" fieldPosition="5"/>
    </format>
    <format dxfId="1034">
      <pivotArea field="20" type="button" dataOnly="0" labelOnly="1" outline="0"/>
    </format>
    <format dxfId="1033">
      <pivotArea field="21" type="button" dataOnly="0" labelOnly="1" outline="0"/>
    </format>
    <format dxfId="1032">
      <pivotArea field="1" type="button" dataOnly="0" labelOnly="1" outline="0" axis="axisRow" fieldPosition="3"/>
    </format>
    <format dxfId="1031">
      <pivotArea field="4" type="button" dataOnly="0" labelOnly="1" outline="0" axis="axisRow" fieldPosition="2"/>
    </format>
    <format dxfId="1030">
      <pivotArea field="5" type="button" dataOnly="0" labelOnly="1" outline="0"/>
    </format>
    <format dxfId="1029">
      <pivotArea field="12" type="button" dataOnly="0" labelOnly="1" outline="0" axis="axisRow" fieldPosition="12"/>
    </format>
    <format dxfId="1028">
      <pivotArea field="10" type="button" dataOnly="0" labelOnly="1" outline="0" axis="axisRow" fieldPosition="10"/>
    </format>
    <format dxfId="1027">
      <pivotArea field="11" type="button" dataOnly="0" labelOnly="1" outline="0" axis="axisRow" fieldPosition="11"/>
    </format>
    <format dxfId="1026">
      <pivotArea field="10" type="button" dataOnly="0" labelOnly="1" outline="0" axis="axisRow" fieldPosition="10"/>
    </format>
    <format dxfId="1025">
      <pivotArea field="11" type="button" dataOnly="0" labelOnly="1" outline="0" axis="axisRow" fieldPosition="11"/>
    </format>
    <format dxfId="1024">
      <pivotArea field="4" type="button" dataOnly="0" labelOnly="1" outline="0" axis="axisRow" fieldPosition="2"/>
    </format>
    <format dxfId="1023">
      <pivotArea field="1" type="button" dataOnly="0" labelOnly="1" outline="0" axis="axisRow" fieldPosition="3"/>
    </format>
    <format dxfId="1022">
      <pivotArea field="2" type="button" dataOnly="0" labelOnly="1" outline="0" axis="axisRow" fieldPosition="4"/>
    </format>
    <format dxfId="1021">
      <pivotArea field="3" type="button" dataOnly="0" labelOnly="1" outline="0" axis="axisRow" fieldPosition="5"/>
    </format>
    <format dxfId="1020">
      <pivotArea field="12" type="button" dataOnly="0" labelOnly="1" outline="0" axis="axisRow" fieldPosition="12"/>
    </format>
    <format dxfId="1019">
      <pivotArea field="10" type="button" dataOnly="0" labelOnly="1" outline="0" axis="axisRow" fieldPosition="10"/>
    </format>
    <format dxfId="1018">
      <pivotArea field="11" type="button" dataOnly="0" labelOnly="1" outline="0" axis="axisRow" fieldPosition="11"/>
    </format>
    <format dxfId="1017">
      <pivotArea field="39" type="button" dataOnly="0" labelOnly="1" outline="0" axis="axisRow" fieldPosition="6"/>
    </format>
    <format dxfId="1016">
      <pivotArea outline="0" collapsedLevelsAreSubtotals="1" fieldPosition="0"/>
    </format>
    <format dxfId="1015">
      <pivotArea dataOnly="0" labelOnly="1" outline="0" fieldPosition="0">
        <references count="9">
          <reference field="0" count="0" selected="0"/>
          <reference field="1" count="0" selected="0"/>
          <reference field="2" count="0" selected="0"/>
          <reference field="3" count="0" selected="0"/>
          <reference field="4" count="0" selected="0"/>
          <reference field="10" count="0"/>
          <reference field="12" count="0" selected="0"/>
          <reference field="38" count="0" selected="0"/>
          <reference field="39" count="0" selected="0"/>
        </references>
      </pivotArea>
    </format>
    <format dxfId="1014">
      <pivotArea dataOnly="0" labelOnly="1" outline="0" fieldPosition="0">
        <references count="10">
          <reference field="0" count="0" selected="0"/>
          <reference field="1" count="0" selected="0"/>
          <reference field="2" count="0" selected="0"/>
          <reference field="3" count="0" selected="0"/>
          <reference field="4" count="0" selected="0"/>
          <reference field="10" count="0" selected="0"/>
          <reference field="11" count="0"/>
          <reference field="12" count="0" selected="0"/>
          <reference field="38" count="0" selected="0"/>
          <reference field="39" count="0" selected="0"/>
        </references>
      </pivotArea>
    </format>
    <format dxfId="1013">
      <pivotArea field="39" type="button" dataOnly="0" labelOnly="1" outline="0" axis="axisRow" fieldPosition="6"/>
    </format>
    <format dxfId="1012">
      <pivotArea field="12" type="button" dataOnly="0" labelOnly="1" outline="0" axis="axisRow" fieldPosition="12"/>
    </format>
    <format dxfId="1011">
      <pivotArea dataOnly="0" labelOnly="1" outline="0" fieldPosition="0">
        <references count="8">
          <reference field="0" count="0" selected="0"/>
          <reference field="1" count="0" selected="0"/>
          <reference field="2" count="0" selected="0"/>
          <reference field="3" count="0" selected="0"/>
          <reference field="4" count="0" selected="0"/>
          <reference field="12" count="0"/>
          <reference field="38" count="0" selected="0"/>
          <reference field="39" count="0" selected="0"/>
        </references>
      </pivotArea>
    </format>
    <format dxfId="1010">
      <pivotArea field="39" type="button" dataOnly="0" labelOnly="1" outline="0" axis="axisRow" fieldPosition="6"/>
    </format>
    <format dxfId="1009">
      <pivotArea dataOnly="0" labelOnly="1" outline="0" fieldPosition="0">
        <references count="7">
          <reference field="0" count="0" selected="0"/>
          <reference field="1" count="0" selected="0"/>
          <reference field="2" count="0" selected="0"/>
          <reference field="3" count="0" selected="0"/>
          <reference field="4" count="0" selected="0"/>
          <reference field="38" count="0" selected="0"/>
          <reference field="39" count="0"/>
        </references>
      </pivotArea>
    </format>
    <format dxfId="1008">
      <pivotArea field="7" type="button" dataOnly="0" labelOnly="1" outline="0" axis="axisRow" fieldPosition="7"/>
    </format>
    <format dxfId="1007">
      <pivotArea field="8" type="button" dataOnly="0" labelOnly="1" outline="0" axis="axisRow" fieldPosition="8"/>
    </format>
    <format dxfId="1006">
      <pivotArea field="9" type="button" dataOnly="0" labelOnly="1" outline="0" axis="axisRow" fieldPosition="9"/>
    </format>
    <format dxfId="1005">
      <pivotArea field="10" type="button" dataOnly="0" labelOnly="1" outline="0" axis="axisRow" fieldPosition="10"/>
    </format>
    <format dxfId="1004">
      <pivotArea field="11" type="button" dataOnly="0" labelOnly="1" outline="0" axis="axisRow" fieldPosition="11"/>
    </format>
    <format dxfId="1003">
      <pivotArea field="12" type="button" dataOnly="0" labelOnly="1" outline="0" axis="axisRow" fieldPosition="12"/>
    </format>
    <format dxfId="1002">
      <pivotArea field="23" type="button" dataOnly="0" labelOnly="1" outline="0" axis="axisRow" fieldPosition="13"/>
    </format>
    <format dxfId="1001">
      <pivotArea field="24" type="button" dataOnly="0" labelOnly="1" outline="0" axis="axisRow" fieldPosition="14"/>
    </format>
    <format dxfId="1000">
      <pivotArea field="25" type="button" dataOnly="0" labelOnly="1" outline="0" axis="axisRow" fieldPosition="15"/>
    </format>
    <format dxfId="999">
      <pivotArea field="26" type="button" dataOnly="0" labelOnly="1" outline="0" axis="axisRow" fieldPosition="16"/>
    </format>
    <format dxfId="998">
      <pivotArea field="27" type="button" dataOnly="0" labelOnly="1" outline="0" axis="axisRow" fieldPosition="17"/>
    </format>
    <format dxfId="997">
      <pivotArea field="28" type="button" dataOnly="0" labelOnly="1" outline="0" axis="axisRow" fieldPosition="18"/>
    </format>
    <format dxfId="996">
      <pivotArea field="29" type="button" dataOnly="0" labelOnly="1" outline="0" axis="axisRow" fieldPosition="19"/>
    </format>
    <format dxfId="995">
      <pivotArea field="13" type="button" dataOnly="0" labelOnly="1" outline="0" axis="axisRow" fieldPosition="20"/>
    </format>
    <format dxfId="994">
      <pivotArea field="37" type="button" dataOnly="0" labelOnly="1" outline="0" axis="axisRow" fieldPosition="21"/>
    </format>
    <format dxfId="993">
      <pivotArea field="7" type="button" dataOnly="0" labelOnly="1" outline="0" axis="axisRow" fieldPosition="7"/>
    </format>
    <format dxfId="992">
      <pivotArea field="8" type="button" dataOnly="0" labelOnly="1" outline="0" axis="axisRow" fieldPosition="8"/>
    </format>
    <format dxfId="991">
      <pivotArea field="9" type="button" dataOnly="0" labelOnly="1" outline="0" axis="axisRow" fieldPosition="9"/>
    </format>
    <format dxfId="990">
      <pivotArea field="10" type="button" dataOnly="0" labelOnly="1" outline="0" axis="axisRow" fieldPosition="10"/>
    </format>
    <format dxfId="989">
      <pivotArea field="11" type="button" dataOnly="0" labelOnly="1" outline="0" axis="axisRow" fieldPosition="11"/>
    </format>
    <format dxfId="988">
      <pivotArea field="12" type="button" dataOnly="0" labelOnly="1" outline="0" axis="axisRow" fieldPosition="12"/>
    </format>
    <format dxfId="987">
      <pivotArea field="23" type="button" dataOnly="0" labelOnly="1" outline="0" axis="axisRow" fieldPosition="13"/>
    </format>
    <format dxfId="986">
      <pivotArea field="24" type="button" dataOnly="0" labelOnly="1" outline="0" axis="axisRow" fieldPosition="14"/>
    </format>
    <format dxfId="985">
      <pivotArea field="25" type="button" dataOnly="0" labelOnly="1" outline="0" axis="axisRow" fieldPosition="15"/>
    </format>
    <format dxfId="984">
      <pivotArea field="26" type="button" dataOnly="0" labelOnly="1" outline="0" axis="axisRow" fieldPosition="16"/>
    </format>
    <format dxfId="983">
      <pivotArea field="27" type="button" dataOnly="0" labelOnly="1" outline="0" axis="axisRow" fieldPosition="17"/>
    </format>
    <format dxfId="982">
      <pivotArea field="28" type="button" dataOnly="0" labelOnly="1" outline="0" axis="axisRow" fieldPosition="18"/>
    </format>
    <format dxfId="981">
      <pivotArea field="29" type="button" dataOnly="0" labelOnly="1" outline="0" axis="axisRow" fieldPosition="19"/>
    </format>
    <format dxfId="980">
      <pivotArea dataOnly="0" labelOnly="1" outline="0" fieldPosition="0">
        <references count="3">
          <reference field="0" count="0" selected="0"/>
          <reference field="4" count="0"/>
          <reference field="38" count="0" selected="0"/>
        </references>
      </pivotArea>
    </format>
    <format dxfId="979">
      <pivotArea dataOnly="0" labelOnly="1" outline="0" fieldPosition="0">
        <references count="4">
          <reference field="0" count="0" selected="0"/>
          <reference field="1" count="0"/>
          <reference field="4" count="0" selected="0"/>
          <reference field="38" count="0" selected="0"/>
        </references>
      </pivotArea>
    </format>
    <format dxfId="978">
      <pivotArea dataOnly="0" labelOnly="1" outline="0" fieldPosition="0">
        <references count="5">
          <reference field="0" count="0" selected="0"/>
          <reference field="1" count="0" selected="0"/>
          <reference field="2" count="0"/>
          <reference field="4" count="0" selected="0"/>
          <reference field="38" count="0" selected="0"/>
        </references>
      </pivotArea>
    </format>
    <format dxfId="977">
      <pivotArea dataOnly="0" labelOnly="1" outline="0" fieldPosition="0">
        <references count="6">
          <reference field="0" count="0" selected="0"/>
          <reference field="1" count="0" selected="0"/>
          <reference field="2" count="0" selected="0"/>
          <reference field="3" count="0"/>
          <reference field="4" count="0" selected="0"/>
          <reference field="38" count="0" selected="0"/>
        </references>
      </pivotArea>
    </format>
    <format dxfId="976">
      <pivotArea dataOnly="0" labelOnly="1" outline="0" fieldPosition="0">
        <references count="7">
          <reference field="0" count="0" selected="0"/>
          <reference field="1" count="0" selected="0"/>
          <reference field="2" count="0" selected="0"/>
          <reference field="3" count="0" selected="0"/>
          <reference field="4" count="0" selected="0"/>
          <reference field="38" count="0" selected="0"/>
          <reference field="39" count="0"/>
        </references>
      </pivotArea>
    </format>
    <format dxfId="975">
      <pivotArea dataOnly="0" labelOnly="1" outline="0" fieldPosition="0">
        <references count="8">
          <reference field="0" count="0" selected="0"/>
          <reference field="1" count="0" selected="0"/>
          <reference field="2" count="0" selected="0"/>
          <reference field="3" count="0" selected="0"/>
          <reference field="4" count="0" selected="0"/>
          <reference field="7" count="0"/>
          <reference field="38" count="0" selected="0"/>
          <reference field="39" count="0" selected="0"/>
        </references>
      </pivotArea>
    </format>
    <format dxfId="974">
      <pivotArea dataOnly="0" labelOnly="1" outline="0" fieldPosition="0">
        <references count="9">
          <reference field="0" count="0" selected="0"/>
          <reference field="1" count="0" selected="0"/>
          <reference field="2" count="0" selected="0"/>
          <reference field="3" count="0" selected="0"/>
          <reference field="4" count="0" selected="0"/>
          <reference field="7" count="0" selected="0"/>
          <reference field="8" count="0"/>
          <reference field="38" count="0" selected="0"/>
          <reference field="39" count="0" selected="0"/>
        </references>
      </pivotArea>
    </format>
    <format dxfId="973">
      <pivotArea dataOnly="0" labelOnly="1" outline="0" fieldPosition="0">
        <references count="10">
          <reference field="0" count="0" selected="0"/>
          <reference field="1" count="0" selected="0"/>
          <reference field="2" count="0" selected="0"/>
          <reference field="3" count="0" selected="0"/>
          <reference field="4" count="0" selected="0"/>
          <reference field="7" count="0" selected="0"/>
          <reference field="8" count="0" selected="0"/>
          <reference field="9" count="0"/>
          <reference field="38" count="0" selected="0"/>
          <reference field="39" count="0" selected="0"/>
        </references>
      </pivotArea>
    </format>
    <format dxfId="972">
      <pivotArea dataOnly="0" labelOnly="1" outline="0" fieldPosition="0">
        <references count="11">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reference field="38" count="0" selected="0"/>
          <reference field="39" count="0" selected="0"/>
        </references>
      </pivotArea>
    </format>
    <format dxfId="971">
      <pivotArea dataOnly="0" labelOnly="1" outline="0" fieldPosition="0">
        <references count="12">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reference field="38" count="0" selected="0"/>
          <reference field="39" count="0" selected="0"/>
        </references>
      </pivotArea>
    </format>
    <format dxfId="970">
      <pivotArea dataOnly="0" labelOnly="1" outline="0" fieldPosition="0">
        <references count="13">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reference field="38" count="0" selected="0"/>
          <reference field="39" count="0" selected="0"/>
        </references>
      </pivotArea>
    </format>
    <format dxfId="969">
      <pivotArea dataOnly="0" labelOnly="1" outline="0" fieldPosition="0">
        <references count="14">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23" count="0"/>
          <reference field="38" count="0" selected="0"/>
          <reference field="39" count="0" selected="0"/>
        </references>
      </pivotArea>
    </format>
    <format dxfId="968">
      <pivotArea dataOnly="0" labelOnly="1" outline="0" fieldPosition="0">
        <references count="15">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reference field="38" count="0" selected="0"/>
          <reference field="39" count="0" selected="0"/>
        </references>
      </pivotArea>
    </format>
    <format dxfId="967">
      <pivotArea dataOnly="0" labelOnly="1" outline="0" fieldPosition="0">
        <references count="16">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selected="0"/>
          <reference field="25" count="0"/>
          <reference field="38" count="0" selected="0"/>
          <reference field="39" count="0" selected="0"/>
        </references>
      </pivotArea>
    </format>
    <format dxfId="966">
      <pivotArea dataOnly="0" labelOnly="1" outline="0" fieldPosition="0">
        <references count="17">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selected="0"/>
          <reference field="25" count="0" selected="0"/>
          <reference field="26" count="0"/>
          <reference field="38" count="0" selected="0"/>
          <reference field="39" count="0" selected="0"/>
        </references>
      </pivotArea>
    </format>
    <format dxfId="965">
      <pivotArea dataOnly="0" labelOnly="1" outline="0" fieldPosition="0">
        <references count="18">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selected="0"/>
          <reference field="25" count="0" selected="0"/>
          <reference field="26" count="0" selected="0"/>
          <reference field="27" count="0"/>
          <reference field="38" count="0" selected="0"/>
          <reference field="39" count="0" selected="0"/>
        </references>
      </pivotArea>
    </format>
    <format dxfId="964">
      <pivotArea dataOnly="0" labelOnly="1" outline="0" fieldPosition="0">
        <references count="19">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selected="0"/>
          <reference field="25" count="0" selected="0"/>
          <reference field="26" count="0" selected="0"/>
          <reference field="27" count="0" selected="0"/>
          <reference field="28" count="0"/>
          <reference field="38" count="0" selected="0"/>
          <reference field="39" count="0" selected="0"/>
        </references>
      </pivotArea>
    </format>
    <format dxfId="963">
      <pivotArea dataOnly="0" labelOnly="1" outline="0" fieldPosition="0">
        <references count="20">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selected="0"/>
          <reference field="25" count="0" selected="0"/>
          <reference field="26" count="0" selected="0"/>
          <reference field="27" count="0" selected="0"/>
          <reference field="28" count="0" selected="0"/>
          <reference field="29" count="0"/>
          <reference field="38" count="0" selected="0"/>
          <reference field="39" count="0" selected="0"/>
        </references>
      </pivotArea>
    </format>
    <format dxfId="962">
      <pivotArea dataOnly="0" labelOnly="1" outline="0" fieldPosition="0">
        <references count="21">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13" count="0"/>
          <reference field="23" count="0" selected="0"/>
          <reference field="24" count="0" selected="0"/>
          <reference field="25" count="0" selected="0"/>
          <reference field="26" count="0" selected="0"/>
          <reference field="27" count="0" selected="0"/>
          <reference field="28" count="0" selected="0"/>
          <reference field="29" count="0" selected="0"/>
          <reference field="38" count="0" selected="0"/>
          <reference field="39" count="0" selected="0"/>
        </references>
      </pivotArea>
    </format>
    <format dxfId="961">
      <pivotArea dataOnly="0" labelOnly="1" outline="0" fieldPosition="0">
        <references count="22">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13" count="0" selected="0"/>
          <reference field="23" count="0" selected="0"/>
          <reference field="24" count="0" selected="0"/>
          <reference field="25" count="0" selected="0"/>
          <reference field="26" count="0" selected="0"/>
          <reference field="27" count="0" selected="0"/>
          <reference field="28" count="0" selected="0"/>
          <reference field="29" count="0" selected="0"/>
          <reference field="37" count="0"/>
          <reference field="38" count="0" selected="0"/>
          <reference field="39" count="0" selected="0"/>
        </references>
      </pivotArea>
    </format>
    <format dxfId="960">
      <pivotArea field="37" type="button" dataOnly="0" labelOnly="1" outline="0" axis="axisRow" fieldPosition="21"/>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C5B7EF-CC51-4EC3-9161-0911D41C375F}" name="PivotTable1" cacheId="3"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location ref="B1:AD2" firstHeaderRow="1" firstDataRow="1" firstDataCol="29"/>
  <pivotFields count="40">
    <pivotField name="$EntryNo$" axis="axisRow" compact="0" outline="0" subtotalTop="0" showAll="0" defaultSubtotal="0">
      <items count="1">
        <item x="0"/>
      </items>
    </pivotField>
    <pivotField name="$Type$" axis="axisRow" compact="0" outline="0" showAll="0" defaultSubtotal="0">
      <items count="1">
        <item x="0"/>
      </items>
    </pivotField>
    <pivotField name="$No$" axis="axisRow" compact="0" outline="0" showAll="0" defaultSubtotal="0">
      <items count="1">
        <item x="0"/>
      </items>
    </pivotField>
    <pivotField name="$Description$" axis="axisRow" compact="0" outline="0" showAll="0" defaultSubtotal="0">
      <items count="1">
        <item x="0"/>
      </items>
    </pivotField>
    <pivotField name="$LevelLabel$" axis="axisRow" compact="0" outline="0" subtotalTop="0" showAll="0" defaultSubtotal="0">
      <items count="1">
        <item x="0"/>
      </items>
    </pivotField>
    <pivotField name="$HasWarningLabel$" compact="0" outline="0" showAll="0" defaultSubtotal="0">
      <items count="1">
        <item x="0"/>
      </items>
    </pivotField>
    <pivotField name="$VariantCode$" compact="0" outline="0" showAll="0" defaultSubtotal="0">
      <items count="1">
        <item x="0"/>
      </items>
    </pivotField>
    <pivotField name="$QtyPerParent$" axis="axisRow" compact="0" outline="0" showAll="0" defaultSubtotal="0">
      <items count="1">
        <item x="0"/>
      </items>
    </pivotField>
    <pivotField name="$QtyPerTopItem$" axis="axisRow" compact="0" outline="0" showAll="0" defaultSubtotal="0">
      <items count="1">
        <item x="0"/>
      </items>
    </pivotField>
    <pivotField name="$QtyPerBOMLine$" axis="axisRow" compact="0" outline="0" showAll="0" defaultSubtotal="0">
      <items count="1">
        <item x="0"/>
      </items>
    </pivotField>
    <pivotField name="$UnitOfMeasureCode$" axis="axisRow" compact="0" outline="0" showAll="0" defaultSubtotal="0">
      <items count="1">
        <item x="0"/>
      </items>
    </pivotField>
    <pivotField name="$BOMUnitOfMeasureCode$" axis="axisRow" compact="0" outline="0" showAll="0" defaultSubtotal="0">
      <items count="1">
        <item x="0"/>
      </items>
    </pivotField>
    <pivotField name="$ReplenishmentSystem$" axis="axisRow" compact="0" outline="0" showAll="0" defaultSubtotal="0">
      <items count="1">
        <item x="0"/>
      </items>
    </pivotField>
    <pivotField name="$UnitCost$"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ProductionBOMNo$" compact="0" outline="0" showAll="0" defaultSubtotal="0">
      <items count="1">
        <item x="0"/>
      </items>
    </pivotField>
    <pivotField name="$RoutingNo$" compact="0" outline="0" showAll="0" defaultSubtotal="0">
      <items count="1">
        <item x="0"/>
      </items>
    </pivotField>
    <pivotField compact="0" outline="0" showAll="0" defaultSubtotal="0"/>
    <pivotField name="$RolledUpMaterialCost$" axis="axisRow" compact="0" outline="0" showAll="0" defaultSubtotal="0">
      <items count="1">
        <item x="0"/>
      </items>
    </pivotField>
    <pivotField name="$RolledUpMatNonInvtCost$" axis="axisRow" compact="0" outline="0" showAll="0" defaultSubtotal="0">
      <items count="1">
        <item x="0"/>
      </items>
    </pivotField>
    <pivotField name="$RolledUpCapacityCost$" axis="axisRow" compact="0" outline="0" showAll="0" defaultSubtotal="0">
      <items count="1">
        <item x="0"/>
      </items>
    </pivotField>
    <pivotField name="$RolledUpSubcontractedCost$" axis="axisRow" compact="0" outline="0" showAll="0" defaultSubtotal="0">
      <items count="1">
        <item x="0"/>
      </items>
    </pivotField>
    <pivotField name="$RolledUpMfgOvhdCost$" axis="axisRow" compact="0" outline="0" showAll="0" defaultSubtotal="0">
      <items count="1">
        <item x="0"/>
      </items>
    </pivotField>
    <pivotField name="$RolledUpCapacityOvhdCost$" axis="axisRow" compact="0" outline="0" showAll="0" defaultSubtotal="0">
      <items count="1">
        <item x="0"/>
      </items>
    </pivotField>
    <pivotField name="$RolledUpScrapCost$" axis="axisRow" compact="0" outline="0" showAll="0" defaultSubtotal="0">
      <items count="1">
        <item x="0"/>
      </items>
    </pivotField>
    <pivotField name="$SingleLevelMaterialCost$" axis="axisRow" compact="0" outline="0" showAll="0" defaultSubtotal="0">
      <items count="1">
        <item x="0"/>
      </items>
    </pivotField>
    <pivotField name="$SingleLvlMatNonInvtCost$" axis="axisRow" compact="0" outline="0" showAll="0" defaultSubtotal="0">
      <items count="1">
        <item x="0"/>
      </items>
    </pivotField>
    <pivotField name="$SingleLevelCapacityCost$" axis="axisRow" compact="0" outline="0" showAll="0" defaultSubtotal="0">
      <items count="1">
        <item x="0"/>
      </items>
    </pivotField>
    <pivotField name="$SingleLevelSubcontrdCost$" axis="axisRow" compact="0" outline="0" showAll="0" defaultSubtotal="0">
      <items count="1">
        <item x="0"/>
      </items>
    </pivotField>
    <pivotField name="$SingleLevelCapOvhdCost$" axis="axisRow" compact="0" outline="0" showAll="0" defaultSubtotal="0">
      <items count="1">
        <item x="0"/>
      </items>
    </pivotField>
    <pivotField name="$SingleLevelMfgOvhdCost$" axis="axisRow" compact="0" outline="0" showAll="0" defaultSubtotal="0">
      <items count="1">
        <item x="0"/>
      </items>
    </pivotField>
    <pivotField name="$SingleLevelScrapCost$" axis="axisRow" compact="0" outline="0" showAll="0" defaultSubtotal="0">
      <items count="1">
        <item x="0"/>
      </items>
    </pivotField>
    <pivotField name="$TotalCost$" axis="axisRow" compact="0" outline="0" showAll="0" defaultSubtotal="0">
      <items count="1">
        <item x="0"/>
      </items>
    </pivotField>
    <pivotField axis="axisRow" compact="0" outline="0" subtotalTop="0" showAll="0" defaultSubtotal="0">
      <items count="1">
        <item x="0"/>
      </items>
    </pivotField>
    <pivotField name="$LastUnitCostCalcDate$" axis="axisRow" compact="0" outline="0" subtotalTop="0" showAll="0" defaultSubtotal="0">
      <items count="1">
        <item x="0"/>
      </items>
    </pivotField>
  </pivotFields>
  <rowFields count="29">
    <field x="0"/>
    <field x="38"/>
    <field x="4"/>
    <field x="1"/>
    <field x="2"/>
    <field x="3"/>
    <field x="39"/>
    <field x="7"/>
    <field x="8"/>
    <field x="9"/>
    <field x="10"/>
    <field x="11"/>
    <field x="12"/>
    <field x="23"/>
    <field x="24"/>
    <field x="25"/>
    <field x="26"/>
    <field x="27"/>
    <field x="28"/>
    <field x="29"/>
    <field x="30"/>
    <field x="31"/>
    <field x="32"/>
    <field x="33"/>
    <field x="34"/>
    <field x="35"/>
    <field x="36"/>
    <field x="13"/>
    <field x="37"/>
  </rowFields>
  <rowItems count="1">
    <i>
      <x/>
      <x/>
      <x/>
      <x/>
      <x/>
      <x/>
      <x/>
      <x/>
      <x/>
      <x/>
      <x/>
      <x/>
      <x/>
      <x/>
      <x/>
      <x/>
      <x/>
      <x/>
      <x/>
      <x/>
      <x/>
      <x/>
      <x/>
      <x/>
      <x/>
      <x/>
      <x/>
      <x/>
      <x/>
    </i>
  </rowItems>
  <colItems count="1">
    <i/>
  </colItems>
  <formats count="174">
    <format dxfId="959">
      <pivotArea type="all" dataOnly="0" outline="0" fieldPosition="0"/>
    </format>
    <format dxfId="958">
      <pivotArea outline="0" collapsedLevelsAreSubtotals="1" fieldPosition="0"/>
    </format>
    <format dxfId="957">
      <pivotArea field="1" type="button" dataOnly="0" labelOnly="1" outline="0" axis="axisRow" fieldPosition="3"/>
    </format>
    <format dxfId="956">
      <pivotArea field="2" type="button" dataOnly="0" labelOnly="1" outline="0" axis="axisRow" fieldPosition="4"/>
    </format>
    <format dxfId="955">
      <pivotArea field="3" type="button" dataOnly="0" labelOnly="1" outline="0" axis="axisRow" fieldPosition="5"/>
    </format>
    <format dxfId="954">
      <pivotArea field="5" type="button" dataOnly="0" labelOnly="1" outline="0"/>
    </format>
    <format dxfId="953">
      <pivotArea field="6" type="button" dataOnly="0" labelOnly="1" outline="0"/>
    </format>
    <format dxfId="952">
      <pivotArea field="10" type="button" dataOnly="0" labelOnly="1" outline="0" axis="axisRow" fieldPosition="10"/>
    </format>
    <format dxfId="951">
      <pivotArea field="11" type="button" dataOnly="0" labelOnly="1" outline="0" axis="axisRow" fieldPosition="11"/>
    </format>
    <format dxfId="950">
      <pivotArea field="12" type="button" dataOnly="0" labelOnly="1" outline="0" axis="axisRow" fieldPosition="12"/>
    </format>
    <format dxfId="949">
      <pivotArea field="20" type="button" dataOnly="0" labelOnly="1" outline="0"/>
    </format>
    <format dxfId="948">
      <pivotArea field="21" type="button" dataOnly="0" labelOnly="1" outline="0"/>
    </format>
    <format dxfId="947">
      <pivotArea dataOnly="0" labelOnly="1" outline="0" fieldPosition="0">
        <references count="1">
          <reference field="1" count="0"/>
        </references>
      </pivotArea>
    </format>
    <format dxfId="946">
      <pivotArea dataOnly="0" labelOnly="1" grandRow="1" outline="0" fieldPosition="0"/>
    </format>
    <format dxfId="945">
      <pivotArea dataOnly="0" labelOnly="1" outline="0" fieldPosition="0">
        <references count="2">
          <reference field="1" count="0" selected="0"/>
          <reference field="2" count="0"/>
        </references>
      </pivotArea>
    </format>
    <format dxfId="944">
      <pivotArea dataOnly="0" labelOnly="1" outline="0" fieldPosition="0">
        <references count="3">
          <reference field="1" count="0" selected="0"/>
          <reference field="2" count="0" selected="0"/>
          <reference field="3" count="0"/>
        </references>
      </pivotArea>
    </format>
    <format dxfId="943">
      <pivotArea type="all" dataOnly="0" outline="0" fieldPosition="0"/>
    </format>
    <format dxfId="942">
      <pivotArea outline="0" collapsedLevelsAreSubtotals="1" fieldPosition="0"/>
    </format>
    <format dxfId="941">
      <pivotArea field="1" type="button" dataOnly="0" labelOnly="1" outline="0" axis="axisRow" fieldPosition="3"/>
    </format>
    <format dxfId="940">
      <pivotArea field="2" type="button" dataOnly="0" labelOnly="1" outline="0" axis="axisRow" fieldPosition="4"/>
    </format>
    <format dxfId="939">
      <pivotArea field="3" type="button" dataOnly="0" labelOnly="1" outline="0" axis="axisRow" fieldPosition="5"/>
    </format>
    <format dxfId="938">
      <pivotArea field="5" type="button" dataOnly="0" labelOnly="1" outline="0"/>
    </format>
    <format dxfId="937">
      <pivotArea field="6" type="button" dataOnly="0" labelOnly="1" outline="0"/>
    </format>
    <format dxfId="936">
      <pivotArea field="10" type="button" dataOnly="0" labelOnly="1" outline="0" axis="axisRow" fieldPosition="10"/>
    </format>
    <format dxfId="935">
      <pivotArea field="11" type="button" dataOnly="0" labelOnly="1" outline="0" axis="axisRow" fieldPosition="11"/>
    </format>
    <format dxfId="934">
      <pivotArea field="12" type="button" dataOnly="0" labelOnly="1" outline="0" axis="axisRow" fieldPosition="12"/>
    </format>
    <format dxfId="933">
      <pivotArea field="20" type="button" dataOnly="0" labelOnly="1" outline="0"/>
    </format>
    <format dxfId="932">
      <pivotArea field="21" type="button" dataOnly="0" labelOnly="1" outline="0"/>
    </format>
    <format dxfId="931">
      <pivotArea dataOnly="0" labelOnly="1" outline="0" fieldPosition="0">
        <references count="1">
          <reference field="1" count="0"/>
        </references>
      </pivotArea>
    </format>
    <format dxfId="930">
      <pivotArea dataOnly="0" labelOnly="1" grandRow="1" outline="0" fieldPosition="0"/>
    </format>
    <format dxfId="929">
      <pivotArea dataOnly="0" labelOnly="1" outline="0" fieldPosition="0">
        <references count="2">
          <reference field="1" count="0" selected="0"/>
          <reference field="2" count="0"/>
        </references>
      </pivotArea>
    </format>
    <format dxfId="928">
      <pivotArea dataOnly="0" labelOnly="1" outline="0" fieldPosition="0">
        <references count="3">
          <reference field="1" count="0" selected="0"/>
          <reference field="2" count="0" selected="0"/>
          <reference field="3" count="0"/>
        </references>
      </pivotArea>
    </format>
    <format dxfId="927">
      <pivotArea type="all" dataOnly="0" outline="0" fieldPosition="0"/>
    </format>
    <format dxfId="926">
      <pivotArea outline="0" collapsedLevelsAreSubtotals="1" fieldPosition="0"/>
    </format>
    <format dxfId="925">
      <pivotArea field="1" type="button" dataOnly="0" labelOnly="1" outline="0" axis="axisRow" fieldPosition="3"/>
    </format>
    <format dxfId="924">
      <pivotArea field="2" type="button" dataOnly="0" labelOnly="1" outline="0" axis="axisRow" fieldPosition="4"/>
    </format>
    <format dxfId="923">
      <pivotArea field="3" type="button" dataOnly="0" labelOnly="1" outline="0" axis="axisRow" fieldPosition="5"/>
    </format>
    <format dxfId="922">
      <pivotArea field="5" type="button" dataOnly="0" labelOnly="1" outline="0"/>
    </format>
    <format dxfId="921">
      <pivotArea field="6" type="button" dataOnly="0" labelOnly="1" outline="0"/>
    </format>
    <format dxfId="920">
      <pivotArea field="10" type="button" dataOnly="0" labelOnly="1" outline="0" axis="axisRow" fieldPosition="10"/>
    </format>
    <format dxfId="919">
      <pivotArea field="11" type="button" dataOnly="0" labelOnly="1" outline="0" axis="axisRow" fieldPosition="11"/>
    </format>
    <format dxfId="918">
      <pivotArea field="12" type="button" dataOnly="0" labelOnly="1" outline="0" axis="axisRow" fieldPosition="12"/>
    </format>
    <format dxfId="917">
      <pivotArea field="20" type="button" dataOnly="0" labelOnly="1" outline="0"/>
    </format>
    <format dxfId="916">
      <pivotArea field="21" type="button" dataOnly="0" labelOnly="1" outline="0"/>
    </format>
    <format dxfId="915">
      <pivotArea dataOnly="0" labelOnly="1" outline="0" fieldPosition="0">
        <references count="1">
          <reference field="1" count="0"/>
        </references>
      </pivotArea>
    </format>
    <format dxfId="914">
      <pivotArea dataOnly="0" labelOnly="1" grandRow="1" outline="0" fieldPosition="0"/>
    </format>
    <format dxfId="913">
      <pivotArea dataOnly="0" labelOnly="1" outline="0" fieldPosition="0">
        <references count="2">
          <reference field="1" count="0" selected="0"/>
          <reference field="2" count="0"/>
        </references>
      </pivotArea>
    </format>
    <format dxfId="912">
      <pivotArea dataOnly="0" labelOnly="1" outline="0" fieldPosition="0">
        <references count="3">
          <reference field="1" count="0" selected="0"/>
          <reference field="2" count="0" selected="0"/>
          <reference field="3" count="0"/>
        </references>
      </pivotArea>
    </format>
    <format dxfId="911">
      <pivotArea type="all" dataOnly="0" outline="0" fieldPosition="0"/>
    </format>
    <format dxfId="910">
      <pivotArea outline="0" collapsedLevelsAreSubtotals="1" fieldPosition="0"/>
    </format>
    <format dxfId="909">
      <pivotArea field="1" type="button" dataOnly="0" labelOnly="1" outline="0" axis="axisRow" fieldPosition="3"/>
    </format>
    <format dxfId="908">
      <pivotArea field="2" type="button" dataOnly="0" labelOnly="1" outline="0" axis="axisRow" fieldPosition="4"/>
    </format>
    <format dxfId="907">
      <pivotArea field="3" type="button" dataOnly="0" labelOnly="1" outline="0" axis="axisRow" fieldPosition="5"/>
    </format>
    <format dxfId="906">
      <pivotArea field="5" type="button" dataOnly="0" labelOnly="1" outline="0"/>
    </format>
    <format dxfId="905">
      <pivotArea field="6" type="button" dataOnly="0" labelOnly="1" outline="0"/>
    </format>
    <format dxfId="904">
      <pivotArea field="10" type="button" dataOnly="0" labelOnly="1" outline="0" axis="axisRow" fieldPosition="10"/>
    </format>
    <format dxfId="903">
      <pivotArea field="11" type="button" dataOnly="0" labelOnly="1" outline="0" axis="axisRow" fieldPosition="11"/>
    </format>
    <format dxfId="902">
      <pivotArea field="12" type="button" dataOnly="0" labelOnly="1" outline="0" axis="axisRow" fieldPosition="12"/>
    </format>
    <format dxfId="901">
      <pivotArea field="20" type="button" dataOnly="0" labelOnly="1" outline="0"/>
    </format>
    <format dxfId="900">
      <pivotArea field="21" type="button" dataOnly="0" labelOnly="1" outline="0"/>
    </format>
    <format dxfId="899">
      <pivotArea dataOnly="0" labelOnly="1" outline="0" fieldPosition="0">
        <references count="1">
          <reference field="1" count="0"/>
        </references>
      </pivotArea>
    </format>
    <format dxfId="898">
      <pivotArea dataOnly="0" labelOnly="1" grandRow="1" outline="0" fieldPosition="0"/>
    </format>
    <format dxfId="897">
      <pivotArea dataOnly="0" labelOnly="1" outline="0" fieldPosition="0">
        <references count="2">
          <reference field="1" count="0" selected="0"/>
          <reference field="2" count="0"/>
        </references>
      </pivotArea>
    </format>
    <format dxfId="896">
      <pivotArea dataOnly="0" labelOnly="1" outline="0" fieldPosition="0">
        <references count="3">
          <reference field="1" count="0" selected="0"/>
          <reference field="2" count="0" selected="0"/>
          <reference field="3" count="0"/>
        </references>
      </pivotArea>
    </format>
    <format dxfId="895">
      <pivotArea field="1" type="button" dataOnly="0" labelOnly="1" outline="0" axis="axisRow" fieldPosition="3"/>
    </format>
    <format dxfId="894">
      <pivotArea field="2" type="button" dataOnly="0" labelOnly="1" outline="0" axis="axisRow" fieldPosition="4"/>
    </format>
    <format dxfId="893">
      <pivotArea field="3" type="button" dataOnly="0" labelOnly="1" outline="0" axis="axisRow" fieldPosition="5"/>
    </format>
    <format dxfId="892">
      <pivotArea field="5" type="button" dataOnly="0" labelOnly="1" outline="0"/>
    </format>
    <format dxfId="891">
      <pivotArea field="6" type="button" dataOnly="0" labelOnly="1" outline="0"/>
    </format>
    <format dxfId="890">
      <pivotArea field="10" type="button" dataOnly="0" labelOnly="1" outline="0" axis="axisRow" fieldPosition="10"/>
    </format>
    <format dxfId="889">
      <pivotArea field="11" type="button" dataOnly="0" labelOnly="1" outline="0" axis="axisRow" fieldPosition="11"/>
    </format>
    <format dxfId="888">
      <pivotArea field="12" type="button" dataOnly="0" labelOnly="1" outline="0" axis="axisRow" fieldPosition="12"/>
    </format>
    <format dxfId="887">
      <pivotArea field="20" type="button" dataOnly="0" labelOnly="1" outline="0"/>
    </format>
    <format dxfId="886">
      <pivotArea field="21" type="button" dataOnly="0" labelOnly="1" outline="0"/>
    </format>
    <format dxfId="885">
      <pivotArea field="0" type="button" dataOnly="0" labelOnly="1" outline="0" axis="axisRow" fieldPosition="0"/>
    </format>
    <format dxfId="884">
      <pivotArea field="4" type="button" dataOnly="0" labelOnly="1" outline="0" axis="axisRow" fieldPosition="2"/>
    </format>
    <format dxfId="883">
      <pivotArea field="39" type="button" dataOnly="0" labelOnly="1" outline="0" axis="axisRow" fieldPosition="6"/>
    </format>
    <format dxfId="882">
      <pivotArea field="39" type="button" dataOnly="0" labelOnly="1" outline="0" axis="axisRow" fieldPosition="6"/>
    </format>
    <format dxfId="881">
      <pivotArea dataOnly="0" labelOnly="1" outline="0" fieldPosition="0">
        <references count="7">
          <reference field="0" count="0" selected="0"/>
          <reference field="1" count="0" selected="0"/>
          <reference field="2" count="0" selected="0"/>
          <reference field="3" count="0" selected="0"/>
          <reference field="4" count="0" selected="0"/>
          <reference field="38" count="0" selected="0"/>
          <reference field="39" count="0"/>
        </references>
      </pivotArea>
    </format>
    <format dxfId="880">
      <pivotArea field="23" type="button" dataOnly="0" labelOnly="1" outline="0" axis="axisRow" fieldPosition="13"/>
    </format>
    <format dxfId="879">
      <pivotArea field="24" type="button" dataOnly="0" labelOnly="1" outline="0" axis="axisRow" fieldPosition="14"/>
    </format>
    <format dxfId="878">
      <pivotArea field="25" type="button" dataOnly="0" labelOnly="1" outline="0" axis="axisRow" fieldPosition="15"/>
    </format>
    <format dxfId="877">
      <pivotArea field="26" type="button" dataOnly="0" labelOnly="1" outline="0" axis="axisRow" fieldPosition="16"/>
    </format>
    <format dxfId="876">
      <pivotArea field="27" type="button" dataOnly="0" labelOnly="1" outline="0" axis="axisRow" fieldPosition="17"/>
    </format>
    <format dxfId="875">
      <pivotArea field="28" type="button" dataOnly="0" labelOnly="1" outline="0" axis="axisRow" fieldPosition="18"/>
    </format>
    <format dxfId="874">
      <pivotArea field="29" type="button" dataOnly="0" labelOnly="1" outline="0" axis="axisRow" fieldPosition="19"/>
    </format>
    <format dxfId="873">
      <pivotArea field="30" type="button" dataOnly="0" labelOnly="1" outline="0" axis="axisRow" fieldPosition="20"/>
    </format>
    <format dxfId="872">
      <pivotArea field="31" type="button" dataOnly="0" labelOnly="1" outline="0" axis="axisRow" fieldPosition="21"/>
    </format>
    <format dxfId="871">
      <pivotArea field="32" type="button" dataOnly="0" labelOnly="1" outline="0" axis="axisRow" fieldPosition="22"/>
    </format>
    <format dxfId="870">
      <pivotArea field="33" type="button" dataOnly="0" labelOnly="1" outline="0" axis="axisRow" fieldPosition="23"/>
    </format>
    <format dxfId="869">
      <pivotArea field="34" type="button" dataOnly="0" labelOnly="1" outline="0" axis="axisRow" fieldPosition="24"/>
    </format>
    <format dxfId="868">
      <pivotArea field="35" type="button" dataOnly="0" labelOnly="1" outline="0" axis="axisRow" fieldPosition="25"/>
    </format>
    <format dxfId="867">
      <pivotArea field="36" type="button" dataOnly="0" labelOnly="1" outline="0" axis="axisRow" fieldPosition="26"/>
    </format>
    <format dxfId="866">
      <pivotArea field="13" type="button" dataOnly="0" labelOnly="1" outline="0" axis="axisRow" fieldPosition="27"/>
    </format>
    <format dxfId="865">
      <pivotArea field="37" type="button" dataOnly="0" labelOnly="1" outline="0" axis="axisRow" fieldPosition="28"/>
    </format>
    <format dxfId="864">
      <pivotArea field="7" type="button" dataOnly="0" labelOnly="1" outline="0" axis="axisRow" fieldPosition="7"/>
    </format>
    <format dxfId="863">
      <pivotArea field="8" type="button" dataOnly="0" labelOnly="1" outline="0" axis="axisRow" fieldPosition="8"/>
    </format>
    <format dxfId="862">
      <pivotArea field="9" type="button" dataOnly="0" labelOnly="1" outline="0" axis="axisRow" fieldPosition="9"/>
    </format>
    <format dxfId="861">
      <pivotArea field="7" type="button" dataOnly="0" labelOnly="1" outline="0" axis="axisRow" fieldPosition="7"/>
    </format>
    <format dxfId="860">
      <pivotArea field="8" type="button" dataOnly="0" labelOnly="1" outline="0" axis="axisRow" fieldPosition="8"/>
    </format>
    <format dxfId="859">
      <pivotArea field="9" type="button" dataOnly="0" labelOnly="1" outline="0" axis="axisRow" fieldPosition="9"/>
    </format>
    <format dxfId="858">
      <pivotArea dataOnly="0" labelOnly="1" outline="0" fieldPosition="0">
        <references count="8">
          <reference field="0" count="0" selected="0"/>
          <reference field="1" count="0" selected="0"/>
          <reference field="2" count="0" selected="0"/>
          <reference field="3" count="0" selected="0"/>
          <reference field="4" count="0" selected="0"/>
          <reference field="7" count="0"/>
          <reference field="38" count="0" selected="0"/>
          <reference field="39" count="0" selected="0"/>
        </references>
      </pivotArea>
    </format>
    <format dxfId="857">
      <pivotArea dataOnly="0" labelOnly="1" outline="0" fieldPosition="0">
        <references count="9">
          <reference field="0" count="0" selected="0"/>
          <reference field="1" count="0" selected="0"/>
          <reference field="2" count="0" selected="0"/>
          <reference field="3" count="0" selected="0"/>
          <reference field="4" count="0" selected="0"/>
          <reference field="7" count="0" selected="0"/>
          <reference field="8" count="0"/>
          <reference field="38" count="0" selected="0"/>
          <reference field="39" count="0" selected="0"/>
        </references>
      </pivotArea>
    </format>
    <format dxfId="856">
      <pivotArea dataOnly="0" labelOnly="1" outline="0" fieldPosition="0">
        <references count="10">
          <reference field="0" count="0" selected="0"/>
          <reference field="1" count="0" selected="0"/>
          <reference field="2" count="0" selected="0"/>
          <reference field="3" count="0" selected="0"/>
          <reference field="4" count="0" selected="0"/>
          <reference field="7" count="0" selected="0"/>
          <reference field="8" count="0" selected="0"/>
          <reference field="9" count="0"/>
          <reference field="38" count="0" selected="0"/>
          <reference field="39" count="0" selected="0"/>
        </references>
      </pivotArea>
    </format>
    <format dxfId="855">
      <pivotArea field="23" type="button" dataOnly="0" labelOnly="1" outline="0" axis="axisRow" fieldPosition="13"/>
    </format>
    <format dxfId="854">
      <pivotArea field="24" type="button" dataOnly="0" labelOnly="1" outline="0" axis="axisRow" fieldPosition="14"/>
    </format>
    <format dxfId="853">
      <pivotArea field="25" type="button" dataOnly="0" labelOnly="1" outline="0" axis="axisRow" fieldPosition="15"/>
    </format>
    <format dxfId="852">
      <pivotArea field="26" type="button" dataOnly="0" labelOnly="1" outline="0" axis="axisRow" fieldPosition="16"/>
    </format>
    <format dxfId="851">
      <pivotArea field="27" type="button" dataOnly="0" labelOnly="1" outline="0" axis="axisRow" fieldPosition="17"/>
    </format>
    <format dxfId="850">
      <pivotArea field="28" type="button" dataOnly="0" labelOnly="1" outline="0" axis="axisRow" fieldPosition="18"/>
    </format>
    <format dxfId="849">
      <pivotArea field="29" type="button" dataOnly="0" labelOnly="1" outline="0" axis="axisRow" fieldPosition="19"/>
    </format>
    <format dxfId="848">
      <pivotArea field="30" type="button" dataOnly="0" labelOnly="1" outline="0" axis="axisRow" fieldPosition="20"/>
    </format>
    <format dxfId="847">
      <pivotArea field="31" type="button" dataOnly="0" labelOnly="1" outline="0" axis="axisRow" fieldPosition="21"/>
    </format>
    <format dxfId="846">
      <pivotArea field="32" type="button" dataOnly="0" labelOnly="1" outline="0" axis="axisRow" fieldPosition="22"/>
    </format>
    <format dxfId="845">
      <pivotArea field="33" type="button" dataOnly="0" labelOnly="1" outline="0" axis="axisRow" fieldPosition="23"/>
    </format>
    <format dxfId="844">
      <pivotArea field="34" type="button" dataOnly="0" labelOnly="1" outline="0" axis="axisRow" fieldPosition="24"/>
    </format>
    <format dxfId="843">
      <pivotArea field="35" type="button" dataOnly="0" labelOnly="1" outline="0" axis="axisRow" fieldPosition="25"/>
    </format>
    <format dxfId="842">
      <pivotArea field="36" type="button" dataOnly="0" labelOnly="1" outline="0" axis="axisRow" fieldPosition="26"/>
    </format>
    <format dxfId="841">
      <pivotArea field="13" type="button" dataOnly="0" labelOnly="1" outline="0" axis="axisRow" fieldPosition="27"/>
    </format>
    <format dxfId="840">
      <pivotArea field="37" type="button" dataOnly="0" labelOnly="1" outline="0" axis="axisRow" fieldPosition="28"/>
    </format>
    <format dxfId="839">
      <pivotArea field="4" type="button" dataOnly="0" labelOnly="1" outline="0" axis="axisRow" fieldPosition="2"/>
    </format>
    <format dxfId="838">
      <pivotArea field="1" type="button" dataOnly="0" labelOnly="1" outline="0" axis="axisRow" fieldPosition="3"/>
    </format>
    <format dxfId="837">
      <pivotArea field="2" type="button" dataOnly="0" labelOnly="1" outline="0" axis="axisRow" fieldPosition="4"/>
    </format>
    <format dxfId="836">
      <pivotArea field="3" type="button" dataOnly="0" labelOnly="1" outline="0" axis="axisRow" fieldPosition="5"/>
    </format>
    <format dxfId="835">
      <pivotArea field="39" type="button" dataOnly="0" labelOnly="1" outline="0" axis="axisRow" fieldPosition="6"/>
    </format>
    <format dxfId="834">
      <pivotArea field="7" type="button" dataOnly="0" labelOnly="1" outline="0" axis="axisRow" fieldPosition="7"/>
    </format>
    <format dxfId="833">
      <pivotArea field="8" type="button" dataOnly="0" labelOnly="1" outline="0" axis="axisRow" fieldPosition="8"/>
    </format>
    <format dxfId="832">
      <pivotArea field="9" type="button" dataOnly="0" labelOnly="1" outline="0" axis="axisRow" fieldPosition="9"/>
    </format>
    <format dxfId="831">
      <pivotArea field="10" type="button" dataOnly="0" labelOnly="1" outline="0" axis="axisRow" fieldPosition="10"/>
    </format>
    <format dxfId="830">
      <pivotArea field="11" type="button" dataOnly="0" labelOnly="1" outline="0" axis="axisRow" fieldPosition="11"/>
    </format>
    <format dxfId="829">
      <pivotArea field="12" type="button" dataOnly="0" labelOnly="1" outline="0" axis="axisRow" fieldPosition="12"/>
    </format>
    <format dxfId="828">
      <pivotArea field="23" type="button" dataOnly="0" labelOnly="1" outline="0" axis="axisRow" fieldPosition="13"/>
    </format>
    <format dxfId="827">
      <pivotArea field="24" type="button" dataOnly="0" labelOnly="1" outline="0" axis="axisRow" fieldPosition="14"/>
    </format>
    <format dxfId="826">
      <pivotArea field="25" type="button" dataOnly="0" labelOnly="1" outline="0" axis="axisRow" fieldPosition="15"/>
    </format>
    <format dxfId="825">
      <pivotArea field="26" type="button" dataOnly="0" labelOnly="1" outline="0" axis="axisRow" fieldPosition="16"/>
    </format>
    <format dxfId="824">
      <pivotArea field="27" type="button" dataOnly="0" labelOnly="1" outline="0" axis="axisRow" fieldPosition="17"/>
    </format>
    <format dxfId="823">
      <pivotArea field="28" type="button" dataOnly="0" labelOnly="1" outline="0" axis="axisRow" fieldPosition="18"/>
    </format>
    <format dxfId="822">
      <pivotArea field="29" type="button" dataOnly="0" labelOnly="1" outline="0" axis="axisRow" fieldPosition="19"/>
    </format>
    <format dxfId="821">
      <pivotArea field="30" type="button" dataOnly="0" labelOnly="1" outline="0" axis="axisRow" fieldPosition="20"/>
    </format>
    <format dxfId="820">
      <pivotArea field="31" type="button" dataOnly="0" labelOnly="1" outline="0" axis="axisRow" fieldPosition="21"/>
    </format>
    <format dxfId="819">
      <pivotArea field="32" type="button" dataOnly="0" labelOnly="1" outline="0" axis="axisRow" fieldPosition="22"/>
    </format>
    <format dxfId="818">
      <pivotArea field="33" type="button" dataOnly="0" labelOnly="1" outline="0" axis="axisRow" fieldPosition="23"/>
    </format>
    <format dxfId="817">
      <pivotArea field="34" type="button" dataOnly="0" labelOnly="1" outline="0" axis="axisRow" fieldPosition="24"/>
    </format>
    <format dxfId="816">
      <pivotArea field="35" type="button" dataOnly="0" labelOnly="1" outline="0" axis="axisRow" fieldPosition="25"/>
    </format>
    <format dxfId="815">
      <pivotArea field="36" type="button" dataOnly="0" labelOnly="1" outline="0" axis="axisRow" fieldPosition="26"/>
    </format>
    <format dxfId="814">
      <pivotArea field="13" type="button" dataOnly="0" labelOnly="1" outline="0" axis="axisRow" fieldPosition="27"/>
    </format>
    <format dxfId="813">
      <pivotArea field="37" type="button" dataOnly="0" labelOnly="1" outline="0" axis="axisRow" fieldPosition="28"/>
    </format>
    <format dxfId="812">
      <pivotArea dataOnly="0" labelOnly="1" outline="0" fieldPosition="0">
        <references count="3">
          <reference field="0" count="0" selected="0"/>
          <reference field="4" count="0"/>
          <reference field="38" count="0" selected="0"/>
        </references>
      </pivotArea>
    </format>
    <format dxfId="811">
      <pivotArea dataOnly="0" labelOnly="1" outline="0" fieldPosition="0">
        <references count="4">
          <reference field="0" count="0" selected="0"/>
          <reference field="1" count="0"/>
          <reference field="4" count="0" selected="0"/>
          <reference field="38" count="0" selected="0"/>
        </references>
      </pivotArea>
    </format>
    <format dxfId="810">
      <pivotArea dataOnly="0" labelOnly="1" outline="0" fieldPosition="0">
        <references count="5">
          <reference field="0" count="0" selected="0"/>
          <reference field="1" count="0" selected="0"/>
          <reference field="2" count="0"/>
          <reference field="4" count="0" selected="0"/>
          <reference field="38" count="0" selected="0"/>
        </references>
      </pivotArea>
    </format>
    <format dxfId="809">
      <pivotArea dataOnly="0" labelOnly="1" outline="0" fieldPosition="0">
        <references count="6">
          <reference field="0" count="0" selected="0"/>
          <reference field="1" count="0" selected="0"/>
          <reference field="2" count="0" selected="0"/>
          <reference field="3" count="0"/>
          <reference field="4" count="0" selected="0"/>
          <reference field="38" count="0" selected="0"/>
        </references>
      </pivotArea>
    </format>
    <format dxfId="808">
      <pivotArea dataOnly="0" labelOnly="1" outline="0" fieldPosition="0">
        <references count="7">
          <reference field="0" count="0" selected="0"/>
          <reference field="1" count="0" selected="0"/>
          <reference field="2" count="0" selected="0"/>
          <reference field="3" count="0" selected="0"/>
          <reference field="4" count="0" selected="0"/>
          <reference field="38" count="0" selected="0"/>
          <reference field="39" count="0"/>
        </references>
      </pivotArea>
    </format>
    <format dxfId="807">
      <pivotArea dataOnly="0" labelOnly="1" outline="0" fieldPosition="0">
        <references count="8">
          <reference field="0" count="0" selected="0"/>
          <reference field="1" count="0" selected="0"/>
          <reference field="2" count="0" selected="0"/>
          <reference field="3" count="0" selected="0"/>
          <reference field="4" count="0" selected="0"/>
          <reference field="7" count="0"/>
          <reference field="38" count="0" selected="0"/>
          <reference field="39" count="0" selected="0"/>
        </references>
      </pivotArea>
    </format>
    <format dxfId="806">
      <pivotArea dataOnly="0" labelOnly="1" outline="0" fieldPosition="0">
        <references count="9">
          <reference field="0" count="0" selected="0"/>
          <reference field="1" count="0" selected="0"/>
          <reference field="2" count="0" selected="0"/>
          <reference field="3" count="0" selected="0"/>
          <reference field="4" count="0" selected="0"/>
          <reference field="7" count="0" selected="0"/>
          <reference field="8" count="0"/>
          <reference field="38" count="0" selected="0"/>
          <reference field="39" count="0" selected="0"/>
        </references>
      </pivotArea>
    </format>
    <format dxfId="805">
      <pivotArea dataOnly="0" labelOnly="1" outline="0" fieldPosition="0">
        <references count="10">
          <reference field="0" count="0" selected="0"/>
          <reference field="1" count="0" selected="0"/>
          <reference field="2" count="0" selected="0"/>
          <reference field="3" count="0" selected="0"/>
          <reference field="4" count="0" selected="0"/>
          <reference field="7" count="0" selected="0"/>
          <reference field="8" count="0" selected="0"/>
          <reference field="9" count="0"/>
          <reference field="38" count="0" selected="0"/>
          <reference field="39" count="0" selected="0"/>
        </references>
      </pivotArea>
    </format>
    <format dxfId="804">
      <pivotArea dataOnly="0" labelOnly="1" outline="0" fieldPosition="0">
        <references count="11">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reference field="38" count="0" selected="0"/>
          <reference field="39" count="0" selected="0"/>
        </references>
      </pivotArea>
    </format>
    <format dxfId="803">
      <pivotArea dataOnly="0" labelOnly="1" outline="0" fieldPosition="0">
        <references count="12">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reference field="38" count="0" selected="0"/>
          <reference field="39" count="0" selected="0"/>
        </references>
      </pivotArea>
    </format>
    <format dxfId="802">
      <pivotArea dataOnly="0" labelOnly="1" outline="0" fieldPosition="0">
        <references count="13">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reference field="38" count="0" selected="0"/>
          <reference field="39" count="0" selected="0"/>
        </references>
      </pivotArea>
    </format>
    <format dxfId="801">
      <pivotArea dataOnly="0" labelOnly="1" outline="0" fieldPosition="0">
        <references count="14">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23" count="0"/>
          <reference field="38" count="0" selected="0"/>
          <reference field="39" count="0" selected="0"/>
        </references>
      </pivotArea>
    </format>
    <format dxfId="800">
      <pivotArea dataOnly="0" labelOnly="1" outline="0" fieldPosition="0">
        <references count="15">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reference field="38" count="0" selected="0"/>
          <reference field="39" count="0" selected="0"/>
        </references>
      </pivotArea>
    </format>
    <format dxfId="799">
      <pivotArea dataOnly="0" labelOnly="1" outline="0" fieldPosition="0">
        <references count="16">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selected="0"/>
          <reference field="25" count="0"/>
          <reference field="38" count="0" selected="0"/>
          <reference field="39" count="0" selected="0"/>
        </references>
      </pivotArea>
    </format>
    <format dxfId="798">
      <pivotArea dataOnly="0" labelOnly="1" outline="0" fieldPosition="0">
        <references count="17">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selected="0"/>
          <reference field="25" count="0" selected="0"/>
          <reference field="26" count="0"/>
          <reference field="38" count="0" selected="0"/>
          <reference field="39" count="0" selected="0"/>
        </references>
      </pivotArea>
    </format>
    <format dxfId="797">
      <pivotArea dataOnly="0" labelOnly="1" outline="0" fieldPosition="0">
        <references count="18">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selected="0"/>
          <reference field="25" count="0" selected="0"/>
          <reference field="26" count="0" selected="0"/>
          <reference field="27" count="0"/>
          <reference field="38" count="0" selected="0"/>
          <reference field="39" count="0" selected="0"/>
        </references>
      </pivotArea>
    </format>
    <format dxfId="796">
      <pivotArea dataOnly="0" labelOnly="1" outline="0" fieldPosition="0">
        <references count="19">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selected="0"/>
          <reference field="25" count="0" selected="0"/>
          <reference field="26" count="0" selected="0"/>
          <reference field="27" count="0" selected="0"/>
          <reference field="28" count="0"/>
          <reference field="38" count="0" selected="0"/>
          <reference field="39" count="0" selected="0"/>
        </references>
      </pivotArea>
    </format>
    <format dxfId="795">
      <pivotArea dataOnly="0" labelOnly="1" outline="0" fieldPosition="0">
        <references count="20">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selected="0"/>
          <reference field="25" count="0" selected="0"/>
          <reference field="26" count="0" selected="0"/>
          <reference field="27" count="0" selected="0"/>
          <reference field="28" count="0" selected="0"/>
          <reference field="29" count="0"/>
          <reference field="38" count="0" selected="0"/>
          <reference field="39" count="0" selected="0"/>
        </references>
      </pivotArea>
    </format>
    <format dxfId="794">
      <pivotArea dataOnly="0" labelOnly="1" outline="0" fieldPosition="0">
        <references count="21">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selected="0"/>
          <reference field="25" count="0" selected="0"/>
          <reference field="26" count="0" selected="0"/>
          <reference field="27" count="0" selected="0"/>
          <reference field="28" count="0" selected="0"/>
          <reference field="29" count="0" selected="0"/>
          <reference field="30" count="0"/>
          <reference field="38" count="0" selected="0"/>
          <reference field="39" count="0" selected="0"/>
        </references>
      </pivotArea>
    </format>
    <format dxfId="793">
      <pivotArea dataOnly="0" labelOnly="1" outline="0" fieldPosition="0">
        <references count="22">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selected="0"/>
          <reference field="25" count="0" selected="0"/>
          <reference field="26" count="0" selected="0"/>
          <reference field="27" count="0" selected="0"/>
          <reference field="28" count="0" selected="0"/>
          <reference field="29" count="0" selected="0"/>
          <reference field="30" count="0" selected="0"/>
          <reference field="31" count="0"/>
          <reference field="38" count="0" selected="0"/>
          <reference field="39" count="0" selected="0"/>
        </references>
      </pivotArea>
    </format>
    <format dxfId="792">
      <pivotArea dataOnly="0" labelOnly="1" outline="0" fieldPosition="0">
        <references count="23">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selected="0"/>
          <reference field="25" count="0" selected="0"/>
          <reference field="26" count="0" selected="0"/>
          <reference field="27" count="0" selected="0"/>
          <reference field="28" count="0" selected="0"/>
          <reference field="29" count="0" selected="0"/>
          <reference field="30" count="0" selected="0"/>
          <reference field="31" count="0" selected="0"/>
          <reference field="32" count="0"/>
          <reference field="38" count="0" selected="0"/>
          <reference field="39" count="0" selected="0"/>
        </references>
      </pivotArea>
    </format>
    <format dxfId="791">
      <pivotArea dataOnly="0" labelOnly="1" outline="0" fieldPosition="0">
        <references count="24">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selected="0"/>
          <reference field="25" count="0" selected="0"/>
          <reference field="26" count="0" selected="0"/>
          <reference field="27" count="0" selected="0"/>
          <reference field="28" count="0" selected="0"/>
          <reference field="29" count="0" selected="0"/>
          <reference field="30" count="0" selected="0"/>
          <reference field="31" count="0" selected="0"/>
          <reference field="32" count="0" selected="0"/>
          <reference field="33" count="0"/>
          <reference field="38" count="0" selected="0"/>
          <reference field="39" count="0" selected="0"/>
        </references>
      </pivotArea>
    </format>
    <format dxfId="790">
      <pivotArea dataOnly="0" labelOnly="1" outline="0" fieldPosition="0">
        <references count="25">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selected="0"/>
          <reference field="25" count="0" selected="0"/>
          <reference field="26" count="0" selected="0"/>
          <reference field="27" count="0" selected="0"/>
          <reference field="28" count="0" selected="0"/>
          <reference field="29" count="0" selected="0"/>
          <reference field="30" count="0" selected="0"/>
          <reference field="31" count="0" selected="0"/>
          <reference field="32" count="0" selected="0"/>
          <reference field="33" count="0" selected="0"/>
          <reference field="34" count="0"/>
          <reference field="38" count="0" selected="0"/>
          <reference field="39" count="0" selected="0"/>
        </references>
      </pivotArea>
    </format>
    <format dxfId="789">
      <pivotArea dataOnly="0" labelOnly="1" outline="0" fieldPosition="0">
        <references count="26">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selected="0"/>
          <reference field="25" count="0" selected="0"/>
          <reference field="26" count="0" selected="0"/>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reference field="38" count="0" selected="0"/>
          <reference field="39" count="0" selected="0"/>
        </references>
      </pivotArea>
    </format>
    <format dxfId="788">
      <pivotArea dataOnly="0" labelOnly="1" outline="0" fieldPosition="0">
        <references count="27">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23" count="0" selected="0"/>
          <reference field="24" count="0" selected="0"/>
          <reference field="25" count="0" selected="0"/>
          <reference field="26" count="0" selected="0"/>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reference field="38" count="0" selected="0"/>
          <reference field="39" count="0" selected="0"/>
        </references>
      </pivotArea>
    </format>
    <format dxfId="787">
      <pivotArea dataOnly="0" labelOnly="1" outline="0" fieldPosition="0">
        <references count="28">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13" count="0"/>
          <reference field="23" count="0" selected="0"/>
          <reference field="24" count="0" selected="0"/>
          <reference field="25" count="0" selected="0"/>
          <reference field="26" count="0" selected="0"/>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8" count="0" selected="0"/>
          <reference field="39" count="0" selected="0"/>
        </references>
      </pivotArea>
    </format>
    <format dxfId="786">
      <pivotArea dataOnly="0" labelOnly="1" outline="0" fieldPosition="0">
        <references count="29">
          <reference field="0" count="0" selected="0"/>
          <reference field="1" count="0" selected="0"/>
          <reference field="2" count="0" selected="0"/>
          <reference field="3" count="0" selected="0"/>
          <reference field="4" count="0" selected="0"/>
          <reference field="7" count="0" selected="0"/>
          <reference field="8" count="0" selected="0"/>
          <reference field="9" count="0" selected="0"/>
          <reference field="10" count="0" selected="0"/>
          <reference field="11" count="0" selected="0"/>
          <reference field="12" count="0" selected="0"/>
          <reference field="13" count="0" selected="0"/>
          <reference field="23" count="0" selected="0"/>
          <reference field="24" count="0" selected="0"/>
          <reference field="25" count="0" selected="0"/>
          <reference field="26" count="0" selected="0"/>
          <reference field="27" count="0" selected="0"/>
          <reference field="28" count="0" selected="0"/>
          <reference field="29" count="0" selected="0"/>
          <reference field="30" count="0" selected="0"/>
          <reference field="31" count="0" selected="0"/>
          <reference field="32" count="0" selected="0"/>
          <reference field="33" count="0" selected="0"/>
          <reference field="34" count="0" selected="0"/>
          <reference field="35" count="0" selected="0"/>
          <reference field="36" count="0" selected="0"/>
          <reference field="37" count="0"/>
          <reference field="38" count="0" selected="0"/>
          <reference field="39" count="0" selected="0"/>
        </references>
      </pivotArea>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refreshOnLoad="1" connectionId="2" xr16:uid="{B5FCE92B-C109-4C82-9075-062462D18279}" autoFormatId="16" applyNumberFormats="0" applyBorderFormats="0" applyFontFormats="0" applyPatternFormats="0" applyAlignmentFormats="0" applyWidthHeightFormats="0">
  <queryTableRefresh nextId="54">
    <queryTableFields count="42">
      <queryTableField id="40" name="EntryNo" tableColumnId="37"/>
      <queryTableField id="1" name="Type" tableColumnId="1"/>
      <queryTableField id="2" name="No" tableColumnId="2"/>
      <queryTableField id="3" name="Description" tableColumnId="3"/>
      <queryTableField id="45" name="Level" tableColumnId="38"/>
      <queryTableField id="4" name="HasWarning" tableColumnId="4"/>
      <queryTableField id="5" name="VariantCode" tableColumnId="5"/>
      <queryTableField id="6" name="QtyPerParent" tableColumnId="6"/>
      <queryTableField id="7" name="QtyPerTopItem" tableColumnId="7"/>
      <queryTableField id="8" name="QtyPerBOMLine" tableColumnId="8"/>
      <queryTableField id="9" name="UnitOfMeasureCode" tableColumnId="9"/>
      <queryTableField id="10" name="BOMUnitOfMeasureCode" tableColumnId="10"/>
      <queryTableField id="11" name="ReplenishmentSystem" tableColumnId="11"/>
      <queryTableField id="12" name="UnitCost" tableColumnId="12"/>
      <queryTableField id="13" name="ScrapPercentage" tableColumnId="13"/>
      <queryTableField id="14" name="ScrapQtyPerParent" tableColumnId="14"/>
      <queryTableField id="15" name="ScrapQtyPerTopItem" tableColumnId="15"/>
      <queryTableField id="16" name="IndirectCostPercentage" tableColumnId="16"/>
      <queryTableField id="17" name="OverheadRate" tableColumnId="17"/>
      <queryTableField id="18" name="LotSize" tableColumnId="18"/>
      <queryTableField id="19" name="ProductionBOMNo" tableColumnId="19"/>
      <queryTableField id="20" name="RoutingNo" tableColumnId="20"/>
      <queryTableField id="21" name="ResourceUsageType" tableColumnId="21"/>
      <queryTableField id="22" name="RolledUpMaterialCost" tableColumnId="22"/>
      <queryTableField id="23" name="RolledUpMatNonInvtCost" tableColumnId="23"/>
      <queryTableField id="24" name="RolledUpCapacityCost" tableColumnId="24"/>
      <queryTableField id="25" name="RolledUpSubcontractedCost" tableColumnId="25"/>
      <queryTableField id="26" name="RolledUpMfgOvhdCost" tableColumnId="26"/>
      <queryTableField id="27" name="RolledUpCapacityOvhdCost" tableColumnId="27"/>
      <queryTableField id="28" name="RolledUpScrapCost" tableColumnId="28"/>
      <queryTableField id="29" name="SingleLevelMaterialCost" tableColumnId="29"/>
      <queryTableField id="30" name="SingleLvlMatNonInvtCost" tableColumnId="30"/>
      <queryTableField id="31" name="SingleLevelCapacityCost" tableColumnId="31"/>
      <queryTableField id="32" name="SingleLevelSubcontrdCost" tableColumnId="32"/>
      <queryTableField id="33" name="SingleLevelCapOvhdCost" tableColumnId="33"/>
      <queryTableField id="34" name="SingleLevelMfgOvhdCost" tableColumnId="34"/>
      <queryTableField id="35" name="SingleLevelScrapCost" tableColumnId="35"/>
      <queryTableField id="36" name="TotalCost" tableColumnId="36"/>
      <queryTableField id="50" name="IsLeaf" tableColumnId="42"/>
      <queryTableField id="52" name="LastUnitCostCalcDate" tableColumnId="41"/>
      <queryTableField id="47" name="Level0" tableColumnId="40"/>
      <queryTableField id="44" name="Level1" tableColumnId="3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952326EC-0D67-40C9-AA24-520B0C9125F2}" sourceName="Type">
  <pivotTables>
    <pivotTable tabId="6" name="PivotTable1"/>
  </pivotTables>
  <data>
    <tabular pivotCacheId="810100057" showMissing="0">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 xr10:uid="{D0FB7F77-CCDF-4052-8AF4-7E4C0072FF59}" sourceName="No">
  <pivotTables>
    <pivotTable tabId="6" name="PivotTable1"/>
  </pivotTables>
  <data>
    <tabular pivotCacheId="810100057" showMissing="0">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lenishmentSystem" xr10:uid="{82627D49-3449-4A88-8AC9-C5715377635C}" sourceName="ReplenishmentSystem">
  <pivotTables>
    <pivotTable tabId="6" name="PivotTable1"/>
  </pivotTables>
  <data>
    <tabular pivotCacheId="810100057" showMissing="0">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ionBOMNo" xr10:uid="{411A4877-5336-4562-8590-AAC542F76007}" sourceName="ProductionBOMNo">
  <pivotTables>
    <pivotTable tabId="6" name="PivotTable1"/>
  </pivotTables>
  <data>
    <tabular pivotCacheId="810100057" showMissing="0">
      <items count="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tingNo" xr10:uid="{64C265F7-5272-4085-A74A-2A7DFE4F679D}" sourceName="RoutingNo">
  <pivotTables>
    <pivotTable tabId="6" name="PivotTable1"/>
  </pivotTables>
  <data>
    <tabular pivotCacheId="810100057" showMissing="0">
      <items count="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 xr10:uid="{3DA1BB5F-9892-4386-9A39-914323850780}" sourceName="Level">
  <pivotTables>
    <pivotTable tabId="6" name="PivotTable1"/>
  </pivotTables>
  <data>
    <tabular pivotCacheId="810100057" sortOrder="descending" showMissing="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7CA9C04F-AA89-40F4-B3C4-B2994B6FC6B1}" cache="Slicer_Type" caption="$Type$" rowHeight="273050"/>
  <slicer name="$No$" xr10:uid="{ABE55C70-AF92-4E5F-B076-8BFA67334A7C}" cache="Slicer_No" caption="$No$" rowHeight="273050"/>
  <slicer name="$ReplenishmentSystem$" xr10:uid="{C6F45339-498B-4986-96D3-3386771D55BB}" cache="Slicer_ReplenishmentSystem" caption="$ReplenishmentSystem$" rowHeight="273050"/>
  <slicer name="$ProductionBOMNo$" xr10:uid="{0EDF9869-53DC-4BD4-8CE2-3D9B5BEA8EE1}" cache="Slicer_ProductionBOMNo" caption="$ProductionBOMNo$" rowHeight="273050"/>
  <slicer name="$RoutingNo$" xr10:uid="{2DE0B9E1-256E-45B4-A696-8CB1798BFB7F}" cache="Slicer_RoutingNo" caption="$RoutingNo$" rowHeight="273050"/>
  <slicer name="$LevelLabel$" xr10:uid="{768D37BA-8717-49CB-9508-53A33480D7E3}" cache="Slicer_Level" caption="$LevelLabel$" rowHeight="262466"/>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D726F2-778D-4B1C-A5EA-875FED73D050}" name="Data" displayName="Data" ref="A1:AN2" totalsRowShown="0" headerRowDxfId="785">
  <autoFilter ref="A1:AN2" xr:uid="{41D726F2-778D-4B1C-A5EA-875FED73D050}"/>
  <tableColumns count="40">
    <tableColumn id="38" xr3:uid="{1E30F7BF-293F-4960-A4F7-E34775273EEA}" name="EntryNo"/>
    <tableColumn id="1" xr3:uid="{21867904-D69E-41E3-B5BE-D9B124B8D7E4}" name="Type"/>
    <tableColumn id="2" xr3:uid="{21867904-D69E-41E3-B5BE-D9B124B8D7E4}" name="No"/>
    <tableColumn id="3" xr3:uid="{21867904-D69E-41E3-B5BE-D9B124B8D7E4}" name="Description"/>
    <tableColumn id="37" xr3:uid="{E1A0C188-FFB8-42B6-AC9C-DF76E7095702}" name="Level"/>
    <tableColumn id="4" xr3:uid="{21867904-D69E-41E3-B5BE-D9B124B8D7E4}" name="HasWarning"/>
    <tableColumn id="5" xr3:uid="{21867904-D69E-41E3-B5BE-D9B124B8D7E4}" name="VariantCode"/>
    <tableColumn id="6" xr3:uid="{21867904-D69E-41E3-B5BE-D9B124B8D7E4}" name="QtyPerParent"/>
    <tableColumn id="7" xr3:uid="{21867904-D69E-41E3-B5BE-D9B124B8D7E4}" name="QtyPerTopItem"/>
    <tableColumn id="8" xr3:uid="{21867904-D69E-41E3-B5BE-D9B124B8D7E4}" name="QtyPerBOMLine"/>
    <tableColumn id="9" xr3:uid="{21867904-D69E-41E3-B5BE-D9B124B8D7E4}" name="UnitOfMeasureCode"/>
    <tableColumn id="10" xr3:uid="{21867904-D69E-41E3-B5BE-D9B124B8D7E4}" name="BOMUnitOfMeasureCode"/>
    <tableColumn id="11" xr3:uid="{21867904-D69E-41E3-B5BE-D9B124B8D7E4}" name="ReplenishmentSystem"/>
    <tableColumn id="12" xr3:uid="{21867904-D69E-41E3-B5BE-D9B124B8D7E4}" name="UnitCost"/>
    <tableColumn id="13" xr3:uid="{21867904-D69E-41E3-B5BE-D9B124B8D7E4}" name="ScrapPercentage"/>
    <tableColumn id="14" xr3:uid="{21867904-D69E-41E3-B5BE-D9B124B8D7E4}" name="ScrapQtyPerParent"/>
    <tableColumn id="15" xr3:uid="{21867904-D69E-41E3-B5BE-D9B124B8D7E4}" name="ScrapQtyPerTopItem"/>
    <tableColumn id="16" xr3:uid="{21867904-D69E-41E3-B5BE-D9B124B8D7E4}" name="IndirectCostPercentage"/>
    <tableColumn id="17" xr3:uid="{21867904-D69E-41E3-B5BE-D9B124B8D7E4}" name="OverheadRate"/>
    <tableColumn id="18" xr3:uid="{21867904-D69E-41E3-B5BE-D9B124B8D7E4}" name="LotSize"/>
    <tableColumn id="19" xr3:uid="{21867904-D69E-41E3-B5BE-D9B124B8D7E4}" name="ProductionBOMNo"/>
    <tableColumn id="20" xr3:uid="{21867904-D69E-41E3-B5BE-D9B124B8D7E4}" name="RoutingNo"/>
    <tableColumn id="21" xr3:uid="{21867904-D69E-41E3-B5BE-D9B124B8D7E4}" name="ResourceUsageType"/>
    <tableColumn id="22" xr3:uid="{21867904-D69E-41E3-B5BE-D9B124B8D7E4}" name="RolledUpMaterialCost"/>
    <tableColumn id="23" xr3:uid="{21867904-D69E-41E3-B5BE-D9B124B8D7E4}" name="RolledUpMatNonInvtCost"/>
    <tableColumn id="24" xr3:uid="{21867904-D69E-41E3-B5BE-D9B124B8D7E4}" name="RolledUpCapacityCost"/>
    <tableColumn id="25" xr3:uid="{21867904-D69E-41E3-B5BE-D9B124B8D7E4}" name="RolledUpSubcontractedCost"/>
    <tableColumn id="26" xr3:uid="{21867904-D69E-41E3-B5BE-D9B124B8D7E4}" name="RolledUpMfgOvhdCost"/>
    <tableColumn id="27" xr3:uid="{21867904-D69E-41E3-B5BE-D9B124B8D7E4}" name="RolledUpCapacityOvhdCost"/>
    <tableColumn id="28" xr3:uid="{21867904-D69E-41E3-B5BE-D9B124B8D7E4}" name="RolledUpScrapCost"/>
    <tableColumn id="29" xr3:uid="{21867904-D69E-41E3-B5BE-D9B124B8D7E4}" name="SingleLevelMaterialCost"/>
    <tableColumn id="30" xr3:uid="{21867904-D69E-41E3-B5BE-D9B124B8D7E4}" name="SingleLvlMatNonInvtCost"/>
    <tableColumn id="31" xr3:uid="{21867904-D69E-41E3-B5BE-D9B124B8D7E4}" name="SingleLevelCapacityCost"/>
    <tableColumn id="32" xr3:uid="{21867904-D69E-41E3-B5BE-D9B124B8D7E4}" name="SingleLevelSubcontrdCost"/>
    <tableColumn id="33" xr3:uid="{21867904-D69E-41E3-B5BE-D9B124B8D7E4}" name="SingleLevelCapOvhdCost"/>
    <tableColumn id="34" xr3:uid="{21867904-D69E-41E3-B5BE-D9B124B8D7E4}" name="SingleLevelMfgOvhdCost"/>
    <tableColumn id="35" xr3:uid="{21867904-D69E-41E3-B5BE-D9B124B8D7E4}" name="SingleLevelScrapCost"/>
    <tableColumn id="36" xr3:uid="{21867904-D69E-41E3-B5BE-D9B124B8D7E4}" name="TotalCost"/>
    <tableColumn id="39" xr3:uid="{C6889312-A7B9-4090-86AE-7D51360543EC}" name="IsLeaf"/>
    <tableColumn id="40" xr3:uid="{041274D6-4DC2-4D99-A076-9A203EB08E27}" name="LastUnitCostCalcDate"/>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11CF61-B374-4F0B-84B3-23694D65F56E}" name="TranslationData" displayName="TranslationData" ref="A1:C2" totalsRowShown="0">
  <autoFilter ref="A1:C2" xr:uid="{DC11CF61-B374-4F0B-84B3-23694D65F56E}"/>
  <tableColumns count="3">
    <tableColumn id="1" xr3:uid="{8F1461C4-E348-4166-87E9-8D4925AB342B}" name="CaptionKey"/>
    <tableColumn id="2" xr3:uid="{B1350A6A-8E59-4E2C-AACD-14E037DDCF40}" name="Language"/>
    <tableColumn id="3" xr3:uid="{8218ECD7-CE7E-4E5C-ACDE-0ADC9D0CE65E}" name="Value"/>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2A179-C226-4470-BF2E-AC1BEBC8C0D4}" name="CaptionData" displayName="CaptionData" ref="A1:B2" totalsRowShown="0">
  <autoFilter ref="A1:B2" xr:uid="{EF02A179-C226-4470-BF2E-AC1BEBC8C0D4}"/>
  <tableColumns count="2">
    <tableColumn id="1" xr3:uid="{9C04E6DA-1D54-48CA-A030-6BAD61CB0617}" name="Caption"/>
    <tableColumn id="2" xr3:uid="{89582DF0-EB9B-41CD-8C22-DFBA8F8BD440}" name="Value"/>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94A03B2-B51E-4A99-984B-051AF49FAD8B}" name="ProductionCostShares_Query" displayName="ProductionCostShares_Query" ref="A1:AP2" tableType="queryTable" totalsRowShown="0">
  <autoFilter ref="A1:AP2" xr:uid="{594A03B2-B51E-4A99-984B-051AF49FAD8B}"/>
  <tableColumns count="42">
    <tableColumn id="37" xr3:uid="{1F16909F-0C53-4105-8581-0B4929285841}" uniqueName="37" name="EntryNo" queryTableFieldId="40"/>
    <tableColumn id="1" xr3:uid="{ABEC4C57-9742-48F9-B282-EB3706276106}" uniqueName="1" name="Type" queryTableFieldId="1" dataDxfId="784"/>
    <tableColumn id="2" xr3:uid="{B95E4806-1D6F-4A6C-A291-2EABEED8D626}" uniqueName="2" name="No" queryTableFieldId="2" dataDxfId="783"/>
    <tableColumn id="3" xr3:uid="{FF53702A-A3DB-43DF-9FFA-F923D27CF56B}" uniqueName="3" name="Description" queryTableFieldId="3" dataDxfId="782"/>
    <tableColumn id="38" xr3:uid="{21E1F6B1-FC50-4DBB-B905-CF1C60677D6F}" uniqueName="38" name="Level" queryTableFieldId="45" dataDxfId="781"/>
    <tableColumn id="4" xr3:uid="{34A8263D-EAEF-453E-83EB-4273986AE0FE}" uniqueName="4" name="HasWarning" queryTableFieldId="4"/>
    <tableColumn id="5" xr3:uid="{63F058BE-70EF-46DD-9778-B9A7D01C4FAB}" uniqueName="5" name="VariantCode" queryTableFieldId="5" dataDxfId="780"/>
    <tableColumn id="6" xr3:uid="{3604F679-BA0C-4041-B1F4-034AE302277B}" uniqueName="6" name="QtyPerParent" queryTableFieldId="6"/>
    <tableColumn id="7" xr3:uid="{DB96C80C-D0C2-4C36-8AD9-B372249A0B02}" uniqueName="7" name="QtyPerTopItem" queryTableFieldId="7"/>
    <tableColumn id="8" xr3:uid="{5D492090-EC8F-4EAC-973A-BBEAA2A5CA79}" uniqueName="8" name="QtyPerBOMLine" queryTableFieldId="8"/>
    <tableColumn id="9" xr3:uid="{BD4416F5-88A2-4362-A1AE-D8D992073FB4}" uniqueName="9" name="UnitOfMeasureCode" queryTableFieldId="9" dataDxfId="779"/>
    <tableColumn id="10" xr3:uid="{910DFB5B-2787-4782-B1B0-33B3503FCDB1}" uniqueName="10" name="BOMUnitOfMeasureCode" queryTableFieldId="10" dataDxfId="778"/>
    <tableColumn id="11" xr3:uid="{1525FFC2-AFB6-4F58-9E2D-92C51A672F42}" uniqueName="11" name="ReplenishmentSystem" queryTableFieldId="11" dataDxfId="777"/>
    <tableColumn id="12" xr3:uid="{99614326-271E-47A4-9A8A-ED543A132380}" uniqueName="12" name="UnitCost" queryTableFieldId="12"/>
    <tableColumn id="13" xr3:uid="{DDB6FB5E-8277-4EBD-8F7E-24E234F30B19}" uniqueName="13" name="ScrapPercentage" queryTableFieldId="13"/>
    <tableColumn id="14" xr3:uid="{4B8A1B10-FD88-419B-A140-12180571DA49}" uniqueName="14" name="ScrapQtyPerParent" queryTableFieldId="14"/>
    <tableColumn id="15" xr3:uid="{9C44FDCB-DDD5-4752-BEF0-DED15756C439}" uniqueName="15" name="ScrapQtyPerTopItem" queryTableFieldId="15"/>
    <tableColumn id="16" xr3:uid="{A8D6064C-11FF-48EC-8A43-A0F692E96577}" uniqueName="16" name="IndirectCostPercentage" queryTableFieldId="16"/>
    <tableColumn id="17" xr3:uid="{07A23562-D071-4B49-A484-822D74EF78E3}" uniqueName="17" name="OverheadRate" queryTableFieldId="17"/>
    <tableColumn id="18" xr3:uid="{5FA284F4-5DFA-40EC-9722-7BB2EA5B6C36}" uniqueName="18" name="LotSize" queryTableFieldId="18"/>
    <tableColumn id="19" xr3:uid="{6FDC85BA-9572-4B9D-8CD0-23305E194B61}" uniqueName="19" name="ProductionBOMNo" queryTableFieldId="19" dataDxfId="776"/>
    <tableColumn id="20" xr3:uid="{DE75B6E2-C602-4A41-B3AC-7965926EDD48}" uniqueName="20" name="RoutingNo" queryTableFieldId="20" dataDxfId="775"/>
    <tableColumn id="21" xr3:uid="{CA14DD7F-1908-443D-B9E2-15D480DE82C5}" uniqueName="21" name="ResourceUsageType" queryTableFieldId="21" dataDxfId="774"/>
    <tableColumn id="22" xr3:uid="{6DDD8BB9-2EC4-4605-97E6-864DFA855F6F}" uniqueName="22" name="RolledUpMaterialCost" queryTableFieldId="22"/>
    <tableColumn id="23" xr3:uid="{36A51BEE-048E-4422-BE2A-86389BAECC46}" uniqueName="23" name="RolledUpMatNonInvtCost" queryTableFieldId="23"/>
    <tableColumn id="24" xr3:uid="{6DA263C4-14AF-47E1-9512-0791D8929076}" uniqueName="24" name="RolledUpCapacityCost" queryTableFieldId="24"/>
    <tableColumn id="25" xr3:uid="{9058A4F4-D56B-4113-85BE-D65D2BB84C36}" uniqueName="25" name="RolledUpSubcontractedCost" queryTableFieldId="25"/>
    <tableColumn id="26" xr3:uid="{C5595E59-6B5E-4A14-A737-8CEB7B02EEDF}" uniqueName="26" name="RolledUpMfgOvhdCost" queryTableFieldId="26"/>
    <tableColumn id="27" xr3:uid="{DCC96506-25C2-4714-A625-2BB811F08172}" uniqueName="27" name="RolledUpCapacityOvhdCost" queryTableFieldId="27"/>
    <tableColumn id="28" xr3:uid="{7F662A0D-52D8-41B3-9F59-D5A8C28D3A1E}" uniqueName="28" name="RolledUpScrapCost" queryTableFieldId="28"/>
    <tableColumn id="29" xr3:uid="{D3523B32-D076-4319-911E-1F3879B8CE35}" uniqueName="29" name="SingleLevelMaterialCost" queryTableFieldId="29"/>
    <tableColumn id="30" xr3:uid="{F3D40ACC-CCFA-43C5-9330-9EB68CB15E8B}" uniqueName="30" name="SingleLvlMatNonInvtCost" queryTableFieldId="30"/>
    <tableColumn id="31" xr3:uid="{FB1172FB-02C6-451F-8751-A387C888D62F}" uniqueName="31" name="SingleLevelCapacityCost" queryTableFieldId="31"/>
    <tableColumn id="32" xr3:uid="{09424C7E-CD46-4266-A795-15D796142423}" uniqueName="32" name="SingleLevelSubcontrdCost" queryTableFieldId="32"/>
    <tableColumn id="33" xr3:uid="{234D4DD1-9AFD-4048-85FF-167B5D8A9441}" uniqueName="33" name="SingleLevelCapOvhdCost" queryTableFieldId="33"/>
    <tableColumn id="34" xr3:uid="{ACCD4B80-DDEE-4B2D-9958-530A8FC1BD47}" uniqueName="34" name="SingleLevelMfgOvhdCost" queryTableFieldId="34"/>
    <tableColumn id="35" xr3:uid="{CE8B4A7F-6FC4-4D4E-9A34-9DBC084A24BE}" uniqueName="35" name="SingleLevelScrapCost" queryTableFieldId="35"/>
    <tableColumn id="36" xr3:uid="{C58D984E-B24E-44E3-8764-D02861CA08DB}" uniqueName="36" name="TotalCost" queryTableFieldId="36"/>
    <tableColumn id="42" xr3:uid="{4B143FCB-2019-4046-8FCD-BB57971F545D}" uniqueName="42" name="IsLeaf" queryTableFieldId="50"/>
    <tableColumn id="41" xr3:uid="{528D8C63-8C4A-4903-AFCE-01FA5B67AC23}" uniqueName="41" name="LastUnitCostCalcDate" queryTableFieldId="52" dataDxfId="728"/>
    <tableColumn id="40" xr3:uid="{37CEF7AC-6DED-4389-8744-2B560A639826}" uniqueName="40" name="Level0" queryTableFieldId="47"/>
    <tableColumn id="39" xr3:uid="{60BB4557-D923-4B77-949F-39734546B3B7}" uniqueName="39" name="Level1" queryTableFieldId="4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EB915-8B19-4838-BDED-CECBACACF4F9}" name="ReportMetadataValues" displayName="ReportMetadataValues" ref="A1:B10" totalsRowShown="0" headerRowDxfId="773">
  <autoFilter ref="A1:B10" xr:uid="{134EB915-8B19-4838-BDED-CECBACACF4F9}"/>
  <tableColumns count="2">
    <tableColumn id="1" xr3:uid="{5CBC1C08-5A8D-42BB-92CA-C3F1D0EF0A4D}" name="Report Property"/>
    <tableColumn id="2" xr3:uid="{920E2177-8B70-4968-B161-4C2CF0A824C6}" name="Report Property Valu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FF5EE2-2A86-40DE-9DFD-1E96553323F6}" name="ReportRequestValues" displayName="ReportRequestValues" ref="D1:E11" totalsRowShown="0" headerRowDxfId="772">
  <autoFilter ref="D1:E11" xr:uid="{1DFF5EE2-2A86-40DE-9DFD-1E96553323F6}"/>
  <tableColumns count="2">
    <tableColumn id="1" xr3:uid="{E6EF2D44-8AB2-42E8-A7E3-9B148922AA59}" name="Request Property"/>
    <tableColumn id="2" xr3:uid="{FA31CE16-2D0E-4E4D-BC19-2B03E00E4B08}" name="Request Property Valu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3A40BA-47FA-41F3-82A4-C5BD4909C0B4}" name="ReportRequestPageValues" displayName="ReportRequestPageValues" ref="G1:H2" totalsRowShown="0" headerRowDxfId="771">
  <autoFilter ref="G1:H2" xr:uid="{8D3A40BA-47FA-41F3-82A4-C5BD4909C0B4}"/>
  <tableColumns count="2">
    <tableColumn id="1" xr3:uid="{023648B2-C225-4580-B767-C48467418032}" name="Request Page Option"/>
    <tableColumn id="2" xr3:uid="{BBB51944-3368-483F-9ECA-E66C489A7E1A}" name="Request Page Option Value"/>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69260C-C433-478B-84A3-3CB73C333872}" name="ReportFilterValues" displayName="ReportFilterValues" ref="J1:K2" totalsRowShown="0" headerRowDxfId="770">
  <autoFilter ref="J1:K2" xr:uid="{D269260C-C433-478B-84A3-3CB73C333872}"/>
  <tableColumns count="2">
    <tableColumn id="1" xr3:uid="{D710F0AA-F8F4-4DB2-BC43-E65C2054A321}" name="Filter"/>
    <tableColumn id="2" xr3:uid="{F291234F-EE76-4AF1-A03D-6D3FB6737920}" name="Filter Value"/>
  </tableColumns>
  <tableStyleInfo name="TableStyleMedium9" showFirstColumn="0" showLastColumn="0" showRowStripes="1" showColumnStripes="0"/>
</table>
</file>

<file path=xl/theme/theme1.xml><?xml version="1.0" encoding="utf-8"?>
<a:theme xmlns:a="http://schemas.openxmlformats.org/drawingml/2006/main" name="Theme1">
  <a:themeElements>
    <a:clrScheme name="Business Central Reports Theme Colors">
      <a:dk1>
        <a:srgbClr val="212121"/>
      </a:dk1>
      <a:lt1>
        <a:sysClr val="window" lastClr="FFFFFF"/>
      </a:lt1>
      <a:dk2>
        <a:srgbClr val="00838F"/>
      </a:dk2>
      <a:lt2>
        <a:srgbClr val="F6F7F8"/>
      </a:lt2>
      <a:accent1>
        <a:srgbClr val="D3D6DA"/>
      </a:accent1>
      <a:accent2>
        <a:srgbClr val="D9F0F2"/>
      </a:accent2>
      <a:accent3>
        <a:srgbClr val="A5A5A5"/>
      </a:accent3>
      <a:accent4>
        <a:srgbClr val="FFC000"/>
      </a:accent4>
      <a:accent5>
        <a:srgbClr val="66D4DB"/>
      </a:accent5>
      <a:accent6>
        <a:srgbClr val="00B7C3"/>
      </a:accent6>
      <a:hlink>
        <a:srgbClr val="00838F"/>
      </a:hlink>
      <a:folHlink>
        <a:srgbClr val="C00000"/>
      </a:folHlink>
    </a:clrScheme>
    <a:fontScheme name="Business Central Reports Theme Font">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B9A92-E2DD-45AE-BB59-ED4FE029A3FD}">
  <sheetPr>
    <pageSetUpPr fitToPage="1"/>
  </sheetPr>
  <dimension ref="A2:T7"/>
  <sheetViews>
    <sheetView showGridLines="0" tabSelected="1" workbookViewId="0"/>
  </sheetViews>
  <sheetFormatPr defaultColWidth="8.625" defaultRowHeight="20.100000000000001" customHeight="1" x14ac:dyDescent="0.35"/>
  <cols>
    <col min="1" max="1" width="9.125" style="10" customWidth="1"/>
    <col min="2" max="2" width="11.875" hidden="1" customWidth="1"/>
    <col min="3" max="3" width="6.5" hidden="1" customWidth="1"/>
    <col min="4" max="4" width="6.75" customWidth="1"/>
    <col min="5" max="5" width="30.5" bestFit="1" customWidth="1"/>
    <col min="6" max="6" width="11.875" style="17" customWidth="1"/>
    <col min="7" max="7" width="7.125" customWidth="1"/>
    <col min="8" max="8" width="7.875" customWidth="1"/>
    <col min="9" max="9" width="8.5" customWidth="1"/>
    <col min="10" max="10" width="13.125" customWidth="1"/>
    <col min="11" max="11" width="13.375" customWidth="1"/>
    <col min="12" max="12" width="13.625" customWidth="1"/>
    <col min="13" max="13" width="11.625" customWidth="1"/>
    <col min="14" max="14" width="16.875" customWidth="1"/>
    <col min="15" max="15" width="11.375" customWidth="1"/>
    <col min="16" max="16" width="13.375" customWidth="1"/>
    <col min="17" max="17" width="13.125" customWidth="1"/>
    <col min="18" max="18" width="14" customWidth="1"/>
    <col min="19" max="19" width="12.625" customWidth="1"/>
    <col min="20" max="20" width="19.625" customWidth="1"/>
    <col min="21" max="21" width="8.625" customWidth="1"/>
    <col min="22" max="22" width="8.75" customWidth="1"/>
  </cols>
  <sheetData>
    <row r="2" spans="2:20" ht="20.100000000000001" customHeight="1" thickBot="1" x14ac:dyDescent="0.4">
      <c r="D2" s="7" t="s">
        <v>130</v>
      </c>
      <c r="T2" s="8" t="str" cm="1">
        <f t="array" ref="T2">ReportRequest.CompanyName</f>
        <v>Company name Value</v>
      </c>
    </row>
    <row r="3" spans="2:20" ht="20.100000000000001" customHeight="1" thickTop="1" x14ac:dyDescent="0.35"/>
    <row r="4" spans="2:20" ht="20.100000000000001" customHeight="1" x14ac:dyDescent="0.35">
      <c r="S4" s="4" t="e" cm="1">
        <f t="array" ref="S4">Caption.DataRetrieved</f>
        <v>#NAME?</v>
      </c>
      <c r="T4" s="29" t="e" cm="1">
        <f t="array" ref="T4">ReportRequest.DateLocal</f>
        <v>#NAME?</v>
      </c>
    </row>
    <row r="6" spans="2:20" ht="39.950000000000003" customHeight="1" x14ac:dyDescent="0.35">
      <c r="B6" s="26" t="s">
        <v>100</v>
      </c>
      <c r="C6" s="11" t="s">
        <v>107</v>
      </c>
      <c r="D6" s="33" t="s">
        <v>95</v>
      </c>
      <c r="E6" s="33" t="s">
        <v>96</v>
      </c>
      <c r="F6" s="28" t="s">
        <v>134</v>
      </c>
      <c r="G6" s="28" t="s">
        <v>115</v>
      </c>
      <c r="H6" s="28" t="s">
        <v>116</v>
      </c>
      <c r="I6" s="28" t="s">
        <v>117</v>
      </c>
      <c r="J6" s="28" t="s">
        <v>113</v>
      </c>
      <c r="K6" s="27" t="s">
        <v>114</v>
      </c>
      <c r="L6" s="27" t="s">
        <v>101</v>
      </c>
      <c r="M6" s="28" t="s">
        <v>108</v>
      </c>
      <c r="N6" s="28" t="s">
        <v>125</v>
      </c>
      <c r="O6" s="28" t="s">
        <v>109</v>
      </c>
      <c r="P6" s="28" t="s">
        <v>110</v>
      </c>
      <c r="Q6" s="28" t="s">
        <v>111</v>
      </c>
      <c r="R6" s="28" t="s">
        <v>112</v>
      </c>
      <c r="S6" s="28" t="s">
        <v>126</v>
      </c>
      <c r="T6" s="25" t="s">
        <v>97</v>
      </c>
    </row>
    <row r="7" spans="2:20" ht="20.100000000000001" customHeight="1" x14ac:dyDescent="0.35">
      <c r="B7" s="6" t="s">
        <v>99</v>
      </c>
      <c r="C7" s="6" t="s">
        <v>103</v>
      </c>
      <c r="D7" s="15"/>
      <c r="E7" s="15"/>
      <c r="F7" s="18">
        <v>1</v>
      </c>
      <c r="G7" s="15">
        <v>0</v>
      </c>
      <c r="H7" s="15">
        <v>0</v>
      </c>
      <c r="I7" s="15">
        <v>0</v>
      </c>
      <c r="J7" s="15"/>
      <c r="K7" s="15"/>
      <c r="L7" s="15"/>
      <c r="M7" s="15">
        <v>0</v>
      </c>
      <c r="N7" s="15">
        <v>0</v>
      </c>
      <c r="O7" s="15">
        <v>0</v>
      </c>
      <c r="P7" s="15">
        <v>0</v>
      </c>
      <c r="Q7" s="15">
        <v>0</v>
      </c>
      <c r="R7" s="15">
        <v>0</v>
      </c>
      <c r="S7" s="15">
        <v>0</v>
      </c>
      <c r="T7" s="15">
        <v>0</v>
      </c>
    </row>
  </sheetData>
  <conditionalFormatting sqref="D2:E4">
    <cfRule type="expression" dxfId="769" priority="9">
      <formula>$H2="Prod. Order"</formula>
    </cfRule>
  </conditionalFormatting>
  <conditionalFormatting sqref="D5:E5">
    <cfRule type="expression" dxfId="768" priority="1">
      <formula>$G5="Prod. Order"</formula>
    </cfRule>
    <cfRule type="expression" dxfId="767" priority="2">
      <formula>$I5="Prod. Order"</formula>
    </cfRule>
  </conditionalFormatting>
  <printOptions horizontalCentered="1"/>
  <pageMargins left="0.23622047244094491" right="0.23622047244094491" top="0.74803149606299213" bottom="0.74803149606299213" header="0.31496062992125984" footer="0.31496062992125984"/>
  <pageSetup paperSize="9" scale="73"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87D9E-7652-4399-8565-23AD209AE81D}">
  <sheetPr>
    <pageSetUpPr fitToPage="1"/>
  </sheetPr>
  <dimension ref="A2:X7"/>
  <sheetViews>
    <sheetView showGridLines="0" workbookViewId="0"/>
  </sheetViews>
  <sheetFormatPr defaultColWidth="8.625" defaultRowHeight="20.100000000000001" customHeight="1" x14ac:dyDescent="0.35"/>
  <cols>
    <col min="1" max="1" width="9.125" style="10" customWidth="1"/>
    <col min="2" max="2" width="11.875" hidden="1" customWidth="1"/>
    <col min="3" max="4" width="8.125" hidden="1" customWidth="1"/>
    <col min="5" max="5" width="8.125" customWidth="1"/>
    <col min="6" max="6" width="13.125" bestFit="1" customWidth="1"/>
    <col min="7" max="7" width="6.75" customWidth="1"/>
    <col min="8" max="8" width="30.5" bestFit="1" customWidth="1"/>
    <col min="9" max="9" width="11.875" style="17" customWidth="1"/>
    <col min="10" max="10" width="7.125" customWidth="1"/>
    <col min="11" max="11" width="7.875" customWidth="1"/>
    <col min="12" max="12" width="8.5" customWidth="1"/>
    <col min="13" max="13" width="13.125" customWidth="1"/>
    <col min="14" max="14" width="13.375" customWidth="1"/>
    <col min="15" max="15" width="13.625" customWidth="1"/>
    <col min="16" max="16" width="11.625" customWidth="1"/>
    <col min="17" max="17" width="16.875" customWidth="1"/>
    <col min="18" max="18" width="11.375" customWidth="1"/>
    <col min="19" max="19" width="13.375" customWidth="1"/>
    <col min="20" max="20" width="13.125" customWidth="1"/>
    <col min="21" max="21" width="14" customWidth="1"/>
    <col min="22" max="22" width="10.125" customWidth="1"/>
    <col min="23" max="23" width="12.625" customWidth="1"/>
    <col min="24" max="24" width="19.625" customWidth="1"/>
  </cols>
  <sheetData>
    <row r="2" spans="2:24" ht="20.100000000000001" customHeight="1" thickBot="1" x14ac:dyDescent="0.4">
      <c r="E2" s="7" t="s">
        <v>135</v>
      </c>
      <c r="X2" s="8" t="str" cm="1">
        <f t="array" ref="X2">ReportRequest.CompanyName</f>
        <v>Company name Value</v>
      </c>
    </row>
    <row r="3" spans="2:24" ht="20.100000000000001" customHeight="1" thickTop="1" x14ac:dyDescent="0.35"/>
    <row r="4" spans="2:24" ht="20.100000000000001" customHeight="1" x14ac:dyDescent="0.35">
      <c r="W4" s="4" t="e" cm="1">
        <f t="array" ref="W4">Caption.DataRetrieved</f>
        <v>#NAME?</v>
      </c>
      <c r="X4" s="29" t="e" cm="1">
        <f t="array" ref="X4">ReportRequest.DateLocal</f>
        <v>#NAME?</v>
      </c>
    </row>
    <row r="6" spans="2:24" ht="39.950000000000003" customHeight="1" x14ac:dyDescent="0.35">
      <c r="B6" s="26" t="s">
        <v>100</v>
      </c>
      <c r="C6" s="11" t="s">
        <v>104</v>
      </c>
      <c r="D6" s="11" t="s">
        <v>132</v>
      </c>
      <c r="E6" s="33" t="s">
        <v>106</v>
      </c>
      <c r="F6" s="33" t="s">
        <v>94</v>
      </c>
      <c r="G6" s="33" t="s">
        <v>95</v>
      </c>
      <c r="H6" s="33" t="s">
        <v>96</v>
      </c>
      <c r="I6" s="28" t="s">
        <v>134</v>
      </c>
      <c r="J6" s="28" t="s">
        <v>115</v>
      </c>
      <c r="K6" s="28" t="s">
        <v>116</v>
      </c>
      <c r="L6" s="28" t="s">
        <v>117</v>
      </c>
      <c r="M6" s="27" t="s">
        <v>113</v>
      </c>
      <c r="N6" s="27" t="s">
        <v>114</v>
      </c>
      <c r="O6" s="27" t="s">
        <v>101</v>
      </c>
      <c r="P6" s="27" t="s">
        <v>108</v>
      </c>
      <c r="Q6" s="27" t="s">
        <v>125</v>
      </c>
      <c r="R6" s="27" t="s">
        <v>109</v>
      </c>
      <c r="S6" s="27" t="s">
        <v>110</v>
      </c>
      <c r="T6" s="27" t="s">
        <v>111</v>
      </c>
      <c r="U6" s="27" t="s">
        <v>112</v>
      </c>
      <c r="V6" s="27" t="s">
        <v>126</v>
      </c>
      <c r="W6" s="26" t="s">
        <v>97</v>
      </c>
      <c r="X6" s="25" t="s">
        <v>127</v>
      </c>
    </row>
    <row r="7" spans="2:24" ht="20.100000000000001" customHeight="1" x14ac:dyDescent="0.35">
      <c r="B7" s="6" t="s">
        <v>99</v>
      </c>
      <c r="C7" s="6" t="s">
        <v>103</v>
      </c>
      <c r="D7" s="6" t="s">
        <v>99</v>
      </c>
      <c r="E7" s="15" t="s">
        <v>99</v>
      </c>
      <c r="F7" s="15"/>
      <c r="G7" s="15"/>
      <c r="H7" s="15"/>
      <c r="I7" s="18">
        <v>1</v>
      </c>
      <c r="J7" s="15">
        <v>0</v>
      </c>
      <c r="K7" s="15">
        <v>0</v>
      </c>
      <c r="L7" s="15">
        <v>0</v>
      </c>
      <c r="M7" s="15"/>
      <c r="N7" s="15"/>
      <c r="O7" s="15"/>
      <c r="P7" s="15">
        <v>0</v>
      </c>
      <c r="Q7" s="15">
        <v>0</v>
      </c>
      <c r="R7" s="15">
        <v>0</v>
      </c>
      <c r="S7" s="15">
        <v>0</v>
      </c>
      <c r="T7" s="15">
        <v>0</v>
      </c>
      <c r="U7" s="15">
        <v>0</v>
      </c>
      <c r="V7" s="15">
        <v>0</v>
      </c>
      <c r="W7" s="15">
        <v>0</v>
      </c>
      <c r="X7" s="15">
        <v>0</v>
      </c>
    </row>
  </sheetData>
  <conditionalFormatting sqref="C5">
    <cfRule type="expression" dxfId="766" priority="11">
      <formula>$G5="Prod. Order"</formula>
    </cfRule>
    <cfRule type="expression" dxfId="765" priority="12">
      <formula>$I5="Prod. Order"</formula>
    </cfRule>
  </conditionalFormatting>
  <conditionalFormatting sqref="E2 D3:E4">
    <cfRule type="expression" dxfId="764" priority="15">
      <formula>$H2="Prod. Order"</formula>
    </cfRule>
  </conditionalFormatting>
  <conditionalFormatting sqref="E5">
    <cfRule type="expression" dxfId="763" priority="2">
      <formula>$G5="Prod. Order"</formula>
    </cfRule>
    <cfRule type="expression" dxfId="762" priority="3">
      <formula>$I5="Prod. Order"</formula>
    </cfRule>
  </conditionalFormatting>
  <conditionalFormatting sqref="E1:H4 E7:H1048576">
    <cfRule type="expression" dxfId="761" priority="10">
      <formula>$E1="0"</formula>
    </cfRule>
  </conditionalFormatting>
  <conditionalFormatting sqref="E5:H6">
    <cfRule type="expression" dxfId="760" priority="1">
      <formula>$C5="FALSE"</formula>
    </cfRule>
  </conditionalFormatting>
  <conditionalFormatting sqref="G2:H2">
    <cfRule type="expression" dxfId="759" priority="39">
      <formula>$E2="FALSE"</formula>
    </cfRule>
  </conditionalFormatting>
  <conditionalFormatting sqref="G5:H5">
    <cfRule type="expression" dxfId="758" priority="4">
      <formula>$G5="Prod. Order"</formula>
    </cfRule>
    <cfRule type="expression" dxfId="757" priority="5">
      <formula>$I5="Prod. Order"</formula>
    </cfRule>
  </conditionalFormatting>
  <printOptions horizontalCentered="1"/>
  <pageMargins left="0.23622047244094491" right="0.23622047244094491" top="0.74803149606299213" bottom="0.74803149606299213" header="0.31496062992125984" footer="0.31496062992125984"/>
  <pageSetup paperSize="9" scale="73" fitToHeight="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189C9-282E-4DCD-8023-70C8AD9041FB}">
  <sheetPr codeName="Sheet1">
    <pageSetUpPr fitToPage="1"/>
  </sheetPr>
  <dimension ref="A2:W7"/>
  <sheetViews>
    <sheetView showGridLines="0" workbookViewId="0"/>
  </sheetViews>
  <sheetFormatPr defaultColWidth="8.625" defaultRowHeight="20.100000000000001" customHeight="1" x14ac:dyDescent="0.35"/>
  <cols>
    <col min="1" max="1" width="9.125" style="10" customWidth="1"/>
    <col min="2" max="2" width="11.875" hidden="1" customWidth="1"/>
    <col min="3" max="3" width="8.125" hidden="1" customWidth="1"/>
    <col min="4" max="4" width="8.125" customWidth="1"/>
    <col min="5" max="5" width="13.125" bestFit="1" customWidth="1"/>
    <col min="6" max="6" width="6.75" customWidth="1"/>
    <col min="7" max="7" width="30.5" bestFit="1" customWidth="1"/>
    <col min="8" max="8" width="11.875" style="17" customWidth="1"/>
    <col min="9" max="9" width="7.125" customWidth="1"/>
    <col min="10" max="10" width="7.875" customWidth="1"/>
    <col min="11" max="11" width="8.5" customWidth="1"/>
    <col min="12" max="12" width="13.125" customWidth="1"/>
    <col min="13" max="13" width="13.375" customWidth="1"/>
    <col min="14" max="14" width="13.625" customWidth="1"/>
    <col min="15" max="15" width="11.625" customWidth="1"/>
    <col min="16" max="16" width="16.875" customWidth="1"/>
    <col min="17" max="17" width="11.375" customWidth="1"/>
    <col min="18" max="18" width="13.375" customWidth="1"/>
    <col min="19" max="19" width="13.125" customWidth="1"/>
    <col min="20" max="20" width="14" customWidth="1"/>
    <col min="21" max="21" width="10.125" customWidth="1"/>
    <col min="22" max="22" width="12.625" customWidth="1"/>
    <col min="23" max="23" width="19.625" customWidth="1"/>
  </cols>
  <sheetData>
    <row r="2" spans="2:23" ht="20.100000000000001" customHeight="1" thickBot="1" x14ac:dyDescent="0.4">
      <c r="D2" s="7" t="s">
        <v>129</v>
      </c>
      <c r="W2" s="8" t="str" cm="1">
        <f t="array" ref="W2">ReportRequest.CompanyName</f>
        <v>Company name Value</v>
      </c>
    </row>
    <row r="3" spans="2:23" ht="20.100000000000001" customHeight="1" thickTop="1" x14ac:dyDescent="0.35"/>
    <row r="4" spans="2:23" ht="20.100000000000001" customHeight="1" x14ac:dyDescent="0.35">
      <c r="V4" s="4" t="e" cm="1">
        <f t="array" ref="V4">Caption.DataRetrieved</f>
        <v>#NAME?</v>
      </c>
      <c r="W4" s="29" t="e" cm="1">
        <f t="array" ref="W4">ReportRequest.DateLocal</f>
        <v>#NAME?</v>
      </c>
    </row>
    <row r="6" spans="2:23" ht="39.950000000000003" customHeight="1" x14ac:dyDescent="0.35">
      <c r="B6" s="26" t="s">
        <v>100</v>
      </c>
      <c r="C6" s="11" t="s">
        <v>132</v>
      </c>
      <c r="D6" s="33" t="s">
        <v>106</v>
      </c>
      <c r="E6" s="33" t="s">
        <v>94</v>
      </c>
      <c r="F6" s="33" t="s">
        <v>95</v>
      </c>
      <c r="G6" s="33" t="s">
        <v>96</v>
      </c>
      <c r="H6" s="28" t="s">
        <v>134</v>
      </c>
      <c r="I6" s="28" t="s">
        <v>115</v>
      </c>
      <c r="J6" s="28" t="s">
        <v>116</v>
      </c>
      <c r="K6" s="28" t="s">
        <v>117</v>
      </c>
      <c r="L6" s="27" t="s">
        <v>113</v>
      </c>
      <c r="M6" s="27" t="s">
        <v>114</v>
      </c>
      <c r="N6" s="27" t="s">
        <v>101</v>
      </c>
      <c r="O6" s="27" t="s">
        <v>108</v>
      </c>
      <c r="P6" s="27" t="s">
        <v>125</v>
      </c>
      <c r="Q6" s="27" t="s">
        <v>109</v>
      </c>
      <c r="R6" s="27" t="s">
        <v>110</v>
      </c>
      <c r="S6" s="27" t="s">
        <v>111</v>
      </c>
      <c r="T6" s="27" t="s">
        <v>112</v>
      </c>
      <c r="U6" s="27" t="s">
        <v>126</v>
      </c>
      <c r="V6" s="33" t="s">
        <v>97</v>
      </c>
      <c r="W6" s="25" t="s">
        <v>127</v>
      </c>
    </row>
    <row r="7" spans="2:23" ht="20.100000000000001" customHeight="1" x14ac:dyDescent="0.35">
      <c r="B7" s="6" t="s">
        <v>99</v>
      </c>
      <c r="C7" s="6" t="s">
        <v>99</v>
      </c>
      <c r="D7" s="15" t="s">
        <v>99</v>
      </c>
      <c r="E7" s="15"/>
      <c r="F7" s="15"/>
      <c r="G7" s="15"/>
      <c r="H7" s="18">
        <v>1</v>
      </c>
      <c r="I7" s="15">
        <v>0</v>
      </c>
      <c r="J7" s="15">
        <v>0</v>
      </c>
      <c r="K7" s="15">
        <v>0</v>
      </c>
      <c r="L7" s="15"/>
      <c r="M7" s="15"/>
      <c r="N7" s="16"/>
      <c r="O7" s="15">
        <v>0</v>
      </c>
      <c r="P7" s="15">
        <v>0</v>
      </c>
      <c r="Q7" s="15">
        <v>0</v>
      </c>
      <c r="R7" s="15">
        <v>0</v>
      </c>
      <c r="S7" s="15">
        <v>0</v>
      </c>
      <c r="T7" s="15">
        <v>0</v>
      </c>
      <c r="U7" s="15">
        <v>0</v>
      </c>
      <c r="V7" s="15">
        <v>0</v>
      </c>
      <c r="W7" s="15">
        <v>0</v>
      </c>
    </row>
  </sheetData>
  <conditionalFormatting sqref="C5:D5">
    <cfRule type="expression" dxfId="756" priority="1">
      <formula>$G5="Prod. Order"</formula>
    </cfRule>
    <cfRule type="expression" dxfId="755" priority="2">
      <formula>$I5="Prod. Order"</formula>
    </cfRule>
  </conditionalFormatting>
  <conditionalFormatting sqref="D2:E4">
    <cfRule type="expression" dxfId="754" priority="17">
      <formula>$H2="Prod. Order"</formula>
    </cfRule>
  </conditionalFormatting>
  <conditionalFormatting sqref="D1:G1048576">
    <cfRule type="expression" dxfId="753" priority="8">
      <formula>$C1="FALSE"</formula>
    </cfRule>
  </conditionalFormatting>
  <conditionalFormatting sqref="F2:G2">
    <cfRule type="expression" dxfId="752" priority="27">
      <formula>$D2="FALSE"</formula>
    </cfRule>
  </conditionalFormatting>
  <conditionalFormatting sqref="F5:G5">
    <cfRule type="expression" dxfId="751" priority="3">
      <formula>$G5="Prod. Order"</formula>
    </cfRule>
    <cfRule type="expression" dxfId="750" priority="4">
      <formula>$I5="Prod. Order"</formula>
    </cfRule>
  </conditionalFormatting>
  <printOptions horizontalCentered="1"/>
  <pageMargins left="0.23622047244094491" right="0.23622047244094491" top="0.74803149606299213" bottom="0.74803149606299213" header="0.31496062992125984" footer="0.31496062992125984"/>
  <pageSetup paperSize="9" scale="73" fitToHeight="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F45B2-4213-47B8-B26B-E6D784DE79BA}">
  <sheetPr>
    <pageSetUpPr fitToPage="1"/>
  </sheetPr>
  <dimension ref="A2:T7"/>
  <sheetViews>
    <sheetView showGridLines="0" workbookViewId="0"/>
  </sheetViews>
  <sheetFormatPr defaultColWidth="8.625" defaultRowHeight="20.100000000000001" customHeight="1" x14ac:dyDescent="0.35"/>
  <cols>
    <col min="1" max="1" width="9.125" style="10" customWidth="1"/>
    <col min="2" max="2" width="11.875" hidden="1" customWidth="1"/>
    <col min="3" max="3" width="8.125" hidden="1" customWidth="1"/>
    <col min="4" max="4" width="6.75" customWidth="1"/>
    <col min="5" max="5" width="30.5" bestFit="1" customWidth="1"/>
    <col min="6" max="6" width="11.875" style="17" customWidth="1"/>
    <col min="7" max="7" width="7.125" customWidth="1"/>
    <col min="8" max="8" width="7.875" customWidth="1"/>
    <col min="9" max="9" width="8.5" customWidth="1"/>
    <col min="10" max="10" width="13.125" customWidth="1"/>
    <col min="11" max="11" width="13.375" customWidth="1"/>
    <col min="12" max="12" width="13.625" customWidth="1"/>
    <col min="13" max="13" width="11.625" customWidth="1"/>
    <col min="14" max="14" width="16.375" customWidth="1"/>
    <col min="15" max="15" width="11.375" customWidth="1"/>
    <col min="16" max="16" width="16.375" customWidth="1"/>
    <col min="17" max="17" width="12.375" customWidth="1"/>
    <col min="18" max="18" width="15.375" customWidth="1"/>
    <col min="19" max="19" width="12.625" customWidth="1"/>
    <col min="20" max="20" width="19.625" customWidth="1"/>
    <col min="21" max="21" width="8.75" customWidth="1"/>
  </cols>
  <sheetData>
    <row r="2" spans="2:20" ht="20.100000000000001" customHeight="1" thickBot="1" x14ac:dyDescent="0.4">
      <c r="D2" s="7" t="s">
        <v>131</v>
      </c>
      <c r="T2" s="8" t="str" cm="1">
        <f t="array" ref="T2">ReportRequest.CompanyName</f>
        <v>Company name Value</v>
      </c>
    </row>
    <row r="3" spans="2:20" ht="20.100000000000001" customHeight="1" thickTop="1" x14ac:dyDescent="0.35"/>
    <row r="4" spans="2:20" ht="20.100000000000001" customHeight="1" x14ac:dyDescent="0.35">
      <c r="S4" s="4" t="e" cm="1">
        <f t="array" ref="S4">Caption.DataRetrieved</f>
        <v>#NAME?</v>
      </c>
      <c r="T4" s="29" t="e" cm="1">
        <f t="array" ref="T4">ReportRequest.DateLocal</f>
        <v>#NAME?</v>
      </c>
    </row>
    <row r="6" spans="2:20" ht="39.950000000000003" customHeight="1" x14ac:dyDescent="0.35">
      <c r="B6" s="26" t="s">
        <v>100</v>
      </c>
      <c r="C6" s="11" t="s">
        <v>107</v>
      </c>
      <c r="D6" s="33" t="s">
        <v>95</v>
      </c>
      <c r="E6" s="33" t="s">
        <v>96</v>
      </c>
      <c r="F6" s="28" t="s">
        <v>134</v>
      </c>
      <c r="G6" s="27" t="s">
        <v>115</v>
      </c>
      <c r="H6" s="27" t="s">
        <v>116</v>
      </c>
      <c r="I6" s="27" t="s">
        <v>117</v>
      </c>
      <c r="J6" s="27" t="s">
        <v>113</v>
      </c>
      <c r="K6" s="27" t="s">
        <v>114</v>
      </c>
      <c r="L6" s="27" t="s">
        <v>101</v>
      </c>
      <c r="M6" s="27" t="s">
        <v>118</v>
      </c>
      <c r="N6" s="27" t="s">
        <v>119</v>
      </c>
      <c r="O6" s="27" t="s">
        <v>120</v>
      </c>
      <c r="P6" s="27" t="s">
        <v>121</v>
      </c>
      <c r="Q6" s="27" t="s">
        <v>122</v>
      </c>
      <c r="R6" s="27" t="s">
        <v>123</v>
      </c>
      <c r="S6" s="27" t="s">
        <v>124</v>
      </c>
      <c r="T6" s="25" t="s">
        <v>97</v>
      </c>
    </row>
    <row r="7" spans="2:20" ht="20.100000000000001" customHeight="1" x14ac:dyDescent="0.35">
      <c r="B7" s="6" t="s">
        <v>99</v>
      </c>
      <c r="C7" s="6" t="s">
        <v>103</v>
      </c>
      <c r="D7" s="15"/>
      <c r="E7" s="15"/>
      <c r="F7" s="18">
        <v>1</v>
      </c>
      <c r="G7" s="15">
        <v>0</v>
      </c>
      <c r="H7" s="15">
        <v>0</v>
      </c>
      <c r="I7" s="15">
        <v>0</v>
      </c>
      <c r="J7" s="15"/>
      <c r="K7" s="15"/>
      <c r="L7" s="15"/>
      <c r="M7" s="15">
        <v>0</v>
      </c>
      <c r="N7" s="15">
        <v>0</v>
      </c>
      <c r="O7" s="15">
        <v>0</v>
      </c>
      <c r="P7" s="15">
        <v>0</v>
      </c>
      <c r="Q7" s="15">
        <v>0</v>
      </c>
      <c r="R7" s="15">
        <v>0</v>
      </c>
      <c r="S7" s="15">
        <v>0</v>
      </c>
      <c r="T7" s="15">
        <v>0</v>
      </c>
    </row>
  </sheetData>
  <conditionalFormatting sqref="C5:E5">
    <cfRule type="expression" dxfId="749" priority="1">
      <formula>$G5="Prod. Order"</formula>
    </cfRule>
    <cfRule type="expression" dxfId="748" priority="2">
      <formula>$I5="Prod. Order"</formula>
    </cfRule>
  </conditionalFormatting>
  <conditionalFormatting sqref="D2:E4">
    <cfRule type="expression" dxfId="747" priority="7">
      <formula>$H2="Prod. Order"</formula>
    </cfRule>
  </conditionalFormatting>
  <printOptions horizontalCentered="1"/>
  <pageMargins left="0.23622047244094491" right="0.23622047244094491" top="0.74803149606299213" bottom="0.74803149606299213" header="0.31496062992125984" footer="0.31496062992125984"/>
  <pageSetup paperSize="9" scale="54"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23AD5-2795-4138-BD31-8CD076C97D76}">
  <sheetPr>
    <pageSetUpPr fitToPage="1"/>
  </sheetPr>
  <dimension ref="A2:X7"/>
  <sheetViews>
    <sheetView showGridLines="0" workbookViewId="0"/>
  </sheetViews>
  <sheetFormatPr defaultColWidth="8.625" defaultRowHeight="20.100000000000001" customHeight="1" x14ac:dyDescent="0.35"/>
  <cols>
    <col min="1" max="1" width="9.125" style="10" customWidth="1"/>
    <col min="2" max="2" width="11.875" hidden="1" customWidth="1"/>
    <col min="3" max="4" width="8.125" hidden="1" customWidth="1"/>
    <col min="5" max="5" width="8.125" customWidth="1"/>
    <col min="6" max="6" width="13.125" bestFit="1" customWidth="1"/>
    <col min="7" max="7" width="6.75" customWidth="1"/>
    <col min="8" max="8" width="30.5" bestFit="1" customWidth="1"/>
    <col min="9" max="9" width="11.875" style="17" customWidth="1"/>
    <col min="10" max="10" width="7.125" customWidth="1"/>
    <col min="11" max="11" width="7.875" customWidth="1"/>
    <col min="12" max="12" width="8.5" customWidth="1"/>
    <col min="13" max="13" width="13.125" customWidth="1"/>
    <col min="14" max="14" width="13.375" customWidth="1"/>
    <col min="15" max="15" width="13.625" customWidth="1"/>
    <col min="16" max="16" width="11.625" customWidth="1"/>
    <col min="17" max="17" width="16.375" customWidth="1"/>
    <col min="18" max="18" width="11.375" customWidth="1"/>
    <col min="19" max="19" width="16.375" customWidth="1"/>
    <col min="20" max="20" width="12.375" customWidth="1"/>
    <col min="21" max="21" width="15.375" customWidth="1"/>
    <col min="22" max="22" width="9.125" customWidth="1"/>
    <col min="23" max="23" width="12.625" customWidth="1"/>
    <col min="24" max="24" width="19.625" customWidth="1"/>
  </cols>
  <sheetData>
    <row r="2" spans="2:24" ht="20.100000000000001" customHeight="1" thickBot="1" x14ac:dyDescent="0.4">
      <c r="E2" s="7" t="s">
        <v>136</v>
      </c>
      <c r="X2" s="8" t="str" cm="1">
        <f t="array" ref="X2">ReportRequest.CompanyName</f>
        <v>Company name Value</v>
      </c>
    </row>
    <row r="3" spans="2:24" ht="20.100000000000001" customHeight="1" thickTop="1" x14ac:dyDescent="0.35"/>
    <row r="4" spans="2:24" ht="20.100000000000001" customHeight="1" x14ac:dyDescent="0.35">
      <c r="W4" s="4" t="e" cm="1">
        <f t="array" ref="W4">Caption.DataRetrieved</f>
        <v>#NAME?</v>
      </c>
      <c r="X4" s="29" t="e" cm="1">
        <f t="array" ref="X4">ReportRequest.DateLocal</f>
        <v>#NAME?</v>
      </c>
    </row>
    <row r="6" spans="2:24" ht="39.950000000000003" customHeight="1" x14ac:dyDescent="0.35">
      <c r="B6" s="26" t="s">
        <v>100</v>
      </c>
      <c r="C6" s="11" t="s">
        <v>104</v>
      </c>
      <c r="D6" s="11" t="s">
        <v>132</v>
      </c>
      <c r="E6" s="33" t="s">
        <v>106</v>
      </c>
      <c r="F6" s="33" t="s">
        <v>94</v>
      </c>
      <c r="G6" s="33" t="s">
        <v>95</v>
      </c>
      <c r="H6" s="33" t="s">
        <v>96</v>
      </c>
      <c r="I6" s="28" t="s">
        <v>134</v>
      </c>
      <c r="J6" s="27" t="s">
        <v>115</v>
      </c>
      <c r="K6" s="27" t="s">
        <v>116</v>
      </c>
      <c r="L6" s="27" t="s">
        <v>117</v>
      </c>
      <c r="M6" s="27" t="s">
        <v>113</v>
      </c>
      <c r="N6" s="27" t="s">
        <v>114</v>
      </c>
      <c r="O6" s="27" t="s">
        <v>101</v>
      </c>
      <c r="P6" s="27" t="s">
        <v>118</v>
      </c>
      <c r="Q6" s="27" t="s">
        <v>119</v>
      </c>
      <c r="R6" s="27" t="s">
        <v>120</v>
      </c>
      <c r="S6" s="27" t="s">
        <v>121</v>
      </c>
      <c r="T6" s="27" t="s">
        <v>122</v>
      </c>
      <c r="U6" s="27" t="s">
        <v>123</v>
      </c>
      <c r="V6" s="27" t="s">
        <v>124</v>
      </c>
      <c r="W6" s="27" t="s">
        <v>97</v>
      </c>
      <c r="X6" s="28" t="s">
        <v>127</v>
      </c>
    </row>
    <row r="7" spans="2:24" ht="20.100000000000001" customHeight="1" x14ac:dyDescent="0.35">
      <c r="B7" s="6" t="s">
        <v>99</v>
      </c>
      <c r="C7" s="6" t="s">
        <v>103</v>
      </c>
      <c r="D7" s="6" t="s">
        <v>99</v>
      </c>
      <c r="E7" s="15" t="s">
        <v>99</v>
      </c>
      <c r="F7" s="15"/>
      <c r="G7" s="15"/>
      <c r="H7" s="15"/>
      <c r="I7" s="18">
        <v>1</v>
      </c>
      <c r="J7" s="15">
        <v>0</v>
      </c>
      <c r="K7" s="15">
        <v>0</v>
      </c>
      <c r="L7" s="15">
        <v>0</v>
      </c>
      <c r="M7" s="15"/>
      <c r="N7" s="15"/>
      <c r="O7" s="15"/>
      <c r="P7" s="15">
        <v>0</v>
      </c>
      <c r="Q7" s="15">
        <v>0</v>
      </c>
      <c r="R7" s="15">
        <v>0</v>
      </c>
      <c r="S7" s="15">
        <v>0</v>
      </c>
      <c r="T7" s="15">
        <v>0</v>
      </c>
      <c r="U7" s="15">
        <v>0</v>
      </c>
      <c r="V7" s="15">
        <v>0</v>
      </c>
      <c r="W7" s="15">
        <v>0</v>
      </c>
      <c r="X7" s="15">
        <v>0</v>
      </c>
    </row>
  </sheetData>
  <conditionalFormatting sqref="C5:E5">
    <cfRule type="expression" dxfId="746" priority="1">
      <formula>$G5="Prod. Order"</formula>
    </cfRule>
    <cfRule type="expression" dxfId="745" priority="2">
      <formula>$I5="Prod. Order"</formula>
    </cfRule>
  </conditionalFormatting>
  <conditionalFormatting sqref="E2 D3:E4">
    <cfRule type="expression" dxfId="744" priority="34">
      <formula>$H2="Prod. Order"</formula>
    </cfRule>
  </conditionalFormatting>
  <conditionalFormatting sqref="E1:H4 E6:H1048576">
    <cfRule type="expression" dxfId="743" priority="32">
      <formula>$E1="0"</formula>
    </cfRule>
  </conditionalFormatting>
  <conditionalFormatting sqref="E5:H5">
    <cfRule type="expression" dxfId="742" priority="5">
      <formula>$C5="FALSE"</formula>
    </cfRule>
  </conditionalFormatting>
  <conditionalFormatting sqref="G2:H2">
    <cfRule type="expression" dxfId="741" priority="45">
      <formula>$E2="FALSE"</formula>
    </cfRule>
  </conditionalFormatting>
  <conditionalFormatting sqref="G5:H5">
    <cfRule type="expression" dxfId="740" priority="3">
      <formula>$G5="Prod. Order"</formula>
    </cfRule>
    <cfRule type="expression" dxfId="739" priority="4">
      <formula>$I5="Prod. Order"</formula>
    </cfRule>
  </conditionalFormatting>
  <printOptions horizontalCentered="1"/>
  <pageMargins left="0.23622047244094491" right="0.23622047244094491" top="0.74803149606299213" bottom="0.74803149606299213" header="0.31496062992125984" footer="0.31496062992125984"/>
  <pageSetup paperSize="9" scale="54" fitToHeight="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A33E0-D820-4E9F-93F5-59530EF0C059}">
  <sheetPr>
    <pageSetUpPr fitToPage="1"/>
  </sheetPr>
  <dimension ref="A2:W7"/>
  <sheetViews>
    <sheetView showGridLines="0" workbookViewId="0"/>
  </sheetViews>
  <sheetFormatPr defaultColWidth="8.625" defaultRowHeight="20.100000000000001" customHeight="1" x14ac:dyDescent="0.35"/>
  <cols>
    <col min="1" max="1" width="9.125" style="10" customWidth="1"/>
    <col min="2" max="2" width="11.875" hidden="1" customWidth="1"/>
    <col min="3" max="3" width="8.125" hidden="1" customWidth="1"/>
    <col min="4" max="4" width="8.125" customWidth="1"/>
    <col min="5" max="5" width="13.125" bestFit="1" customWidth="1"/>
    <col min="6" max="6" width="6.75" customWidth="1"/>
    <col min="7" max="7" width="30.5" bestFit="1" customWidth="1"/>
    <col min="8" max="8" width="11.875" style="17" customWidth="1"/>
    <col min="9" max="9" width="7.125" customWidth="1"/>
    <col min="10" max="10" width="7.875" customWidth="1"/>
    <col min="11" max="11" width="8.5" customWidth="1"/>
    <col min="12" max="12" width="13.125" customWidth="1"/>
    <col min="13" max="13" width="13.375" customWidth="1"/>
    <col min="14" max="14" width="13.625" customWidth="1"/>
    <col min="15" max="15" width="11.625" customWidth="1"/>
    <col min="16" max="16" width="16.375" customWidth="1"/>
    <col min="17" max="17" width="11.375" customWidth="1"/>
    <col min="18" max="18" width="16.375" customWidth="1"/>
    <col min="19" max="19" width="12.375" customWidth="1"/>
    <col min="20" max="20" width="15.375" customWidth="1"/>
    <col min="21" max="21" width="9.125" customWidth="1"/>
    <col min="22" max="22" width="12.625" customWidth="1"/>
    <col min="23" max="23" width="19.625" customWidth="1"/>
  </cols>
  <sheetData>
    <row r="2" spans="2:23" ht="20.100000000000001" customHeight="1" thickBot="1" x14ac:dyDescent="0.4">
      <c r="D2" s="7" t="s">
        <v>128</v>
      </c>
      <c r="W2" s="8" t="str" cm="1">
        <f t="array" ref="W2">ReportRequest.CompanyName</f>
        <v>Company name Value</v>
      </c>
    </row>
    <row r="3" spans="2:23" ht="20.100000000000001" customHeight="1" thickTop="1" x14ac:dyDescent="0.35"/>
    <row r="4" spans="2:23" ht="20.100000000000001" customHeight="1" x14ac:dyDescent="0.35">
      <c r="V4" s="4" t="e" cm="1">
        <f t="array" ref="V4">Caption.DataRetrieved</f>
        <v>#NAME?</v>
      </c>
      <c r="W4" s="29" t="e" cm="1">
        <f t="array" ref="W4">ReportRequest.DateLocal</f>
        <v>#NAME?</v>
      </c>
    </row>
    <row r="6" spans="2:23" ht="39.950000000000003" customHeight="1" x14ac:dyDescent="0.35">
      <c r="B6" s="26" t="s">
        <v>100</v>
      </c>
      <c r="C6" s="11" t="s">
        <v>132</v>
      </c>
      <c r="D6" s="33" t="s">
        <v>106</v>
      </c>
      <c r="E6" s="33" t="s">
        <v>94</v>
      </c>
      <c r="F6" s="33" t="s">
        <v>95</v>
      </c>
      <c r="G6" s="33" t="s">
        <v>96</v>
      </c>
      <c r="H6" s="28" t="s">
        <v>134</v>
      </c>
      <c r="I6" s="21" t="s">
        <v>115</v>
      </c>
      <c r="J6" s="21" t="s">
        <v>116</v>
      </c>
      <c r="K6" s="21" t="s">
        <v>117</v>
      </c>
      <c r="L6" s="21" t="s">
        <v>113</v>
      </c>
      <c r="M6" s="21" t="s">
        <v>114</v>
      </c>
      <c r="N6" s="21" t="s">
        <v>101</v>
      </c>
      <c r="O6" s="21" t="s">
        <v>118</v>
      </c>
      <c r="P6" s="21" t="s">
        <v>119</v>
      </c>
      <c r="Q6" s="21" t="s">
        <v>120</v>
      </c>
      <c r="R6" s="21" t="s">
        <v>121</v>
      </c>
      <c r="S6" s="21" t="s">
        <v>122</v>
      </c>
      <c r="T6" s="21" t="s">
        <v>123</v>
      </c>
      <c r="U6" s="21" t="s">
        <v>124</v>
      </c>
      <c r="V6" s="12" t="s">
        <v>97</v>
      </c>
      <c r="W6" s="20" t="s">
        <v>127</v>
      </c>
    </row>
    <row r="7" spans="2:23" ht="20.100000000000001" customHeight="1" x14ac:dyDescent="0.35">
      <c r="B7" s="6" t="s">
        <v>99</v>
      </c>
      <c r="C7" s="6" t="s">
        <v>99</v>
      </c>
      <c r="D7" s="15" t="s">
        <v>99</v>
      </c>
      <c r="E7" s="15"/>
      <c r="F7" s="15"/>
      <c r="G7" s="15"/>
      <c r="H7" s="18">
        <v>1</v>
      </c>
      <c r="I7" s="15">
        <v>0</v>
      </c>
      <c r="J7" s="15">
        <v>0</v>
      </c>
      <c r="K7" s="15">
        <v>0</v>
      </c>
      <c r="L7" s="15"/>
      <c r="M7" s="15"/>
      <c r="N7" s="15"/>
      <c r="O7" s="15">
        <v>0</v>
      </c>
      <c r="P7" s="15">
        <v>0</v>
      </c>
      <c r="Q7" s="15">
        <v>0</v>
      </c>
      <c r="R7" s="15">
        <v>0</v>
      </c>
      <c r="S7" s="15">
        <v>0</v>
      </c>
      <c r="T7" s="15">
        <v>0</v>
      </c>
      <c r="U7" s="15">
        <v>0</v>
      </c>
      <c r="V7" s="15">
        <v>0</v>
      </c>
      <c r="W7" s="15">
        <v>0</v>
      </c>
    </row>
  </sheetData>
  <conditionalFormatting sqref="C5:D5">
    <cfRule type="expression" dxfId="738" priority="1">
      <formula>$G5="Prod. Order"</formula>
    </cfRule>
    <cfRule type="expression" dxfId="737" priority="2">
      <formula>$I5="Prod. Order"</formula>
    </cfRule>
  </conditionalFormatting>
  <conditionalFormatting sqref="D2:E4">
    <cfRule type="expression" dxfId="736" priority="16">
      <formula>$H2="Prod. Order"</formula>
    </cfRule>
  </conditionalFormatting>
  <conditionalFormatting sqref="D1:G1048576">
    <cfRule type="expression" dxfId="735" priority="7">
      <formula>$C1="FALSE"</formula>
    </cfRule>
  </conditionalFormatting>
  <conditionalFormatting sqref="F5:G5">
    <cfRule type="expression" dxfId="734" priority="3">
      <formula>$G5="Prod. Order"</formula>
    </cfRule>
    <cfRule type="expression" dxfId="733" priority="4">
      <formula>$I5="Prod. Order"</formula>
    </cfRule>
  </conditionalFormatting>
  <printOptions horizontalCentered="1"/>
  <pageMargins left="0.23622047244094491" right="0.23622047244094491" top="0.74803149606299213" bottom="0.74803149606299213" header="0.31496062992125984" footer="0.31496062992125984"/>
  <pageSetup paperSize="9" scale="54"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4DF39-8BB3-41BA-A1D7-AE3A975B4517}">
  <sheetPr codeName="Sheet2"/>
  <dimension ref="A1:AD2"/>
  <sheetViews>
    <sheetView showGridLines="0" workbookViewId="0"/>
  </sheetViews>
  <sheetFormatPr defaultColWidth="8.625" defaultRowHeight="18.75" x14ac:dyDescent="0.35"/>
  <cols>
    <col min="1" max="1" width="51.125" style="10" customWidth="1"/>
    <col min="2" max="2" width="14.5" hidden="1" customWidth="1"/>
    <col min="3" max="3" width="8.125" hidden="1" customWidth="1"/>
    <col min="4" max="4" width="6.625" bestFit="1" customWidth="1"/>
    <col min="5" max="5" width="12.25" bestFit="1" customWidth="1"/>
    <col min="6" max="6" width="7.25" bestFit="1" customWidth="1"/>
    <col min="7" max="7" width="29" bestFit="1" customWidth="1"/>
    <col min="8" max="8" width="19.5" style="17" bestFit="1" customWidth="1"/>
    <col min="9" max="9" width="12.5" bestFit="1" customWidth="1"/>
    <col min="10" max="10" width="14.5" bestFit="1" customWidth="1"/>
    <col min="11" max="11" width="14.875" bestFit="1" customWidth="1"/>
    <col min="12" max="12" width="19.625" bestFit="1" customWidth="1"/>
    <col min="13" max="13" width="24" bestFit="1" customWidth="1"/>
    <col min="14" max="14" width="20.375" bestFit="1" customWidth="1"/>
    <col min="15" max="15" width="18.875" bestFit="1" customWidth="1"/>
    <col min="16" max="16" width="31" bestFit="1" customWidth="1"/>
    <col min="17" max="17" width="19.125" bestFit="1" customWidth="1"/>
    <col min="18" max="18" width="23.875" bestFit="1" customWidth="1"/>
    <col min="19" max="19" width="20.75" bestFit="1" customWidth="1"/>
    <col min="20" max="20" width="24.25" bestFit="1" customWidth="1"/>
    <col min="21" max="21" width="16.75" bestFit="1" customWidth="1"/>
    <col min="22" max="22" width="20.5" bestFit="1" customWidth="1"/>
    <col min="23" max="23" width="32.625" bestFit="1" customWidth="1"/>
    <col min="24" max="24" width="20.75" bestFit="1" customWidth="1"/>
    <col min="25" max="25" width="22.75" bestFit="1" customWidth="1"/>
    <col min="26" max="26" width="22.375" bestFit="1" customWidth="1"/>
    <col min="27" max="27" width="22.5" bestFit="1" customWidth="1"/>
    <col min="28" max="28" width="18.5" bestFit="1" customWidth="1"/>
    <col min="29" max="29" width="7.875" bestFit="1" customWidth="1"/>
    <col min="30" max="31" width="8.5" bestFit="1" customWidth="1"/>
    <col min="32" max="32" width="17.125" bestFit="1" customWidth="1"/>
    <col min="33" max="33" width="21" bestFit="1" customWidth="1"/>
    <col min="34" max="34" width="33.125" bestFit="1" customWidth="1"/>
    <col min="35" max="35" width="21.375" bestFit="1" customWidth="1"/>
    <col min="36" max="36" width="23.125" bestFit="1" customWidth="1"/>
    <col min="37" max="37" width="22.875" bestFit="1" customWidth="1"/>
    <col min="38" max="38" width="23.125" bestFit="1" customWidth="1"/>
    <col min="39" max="39" width="18.875" bestFit="1" customWidth="1"/>
  </cols>
  <sheetData>
    <row r="1" spans="2:30" x14ac:dyDescent="0.35">
      <c r="B1" s="23" t="s">
        <v>100</v>
      </c>
      <c r="C1" s="13" t="s">
        <v>132</v>
      </c>
      <c r="D1" s="24" t="s">
        <v>106</v>
      </c>
      <c r="E1" s="24" t="s">
        <v>94</v>
      </c>
      <c r="F1" s="24" t="s">
        <v>95</v>
      </c>
      <c r="G1" s="24" t="s">
        <v>96</v>
      </c>
      <c r="H1" s="25" t="s">
        <v>134</v>
      </c>
      <c r="I1" s="25" t="s">
        <v>115</v>
      </c>
      <c r="J1" s="25" t="s">
        <v>116</v>
      </c>
      <c r="K1" s="25" t="s">
        <v>117</v>
      </c>
      <c r="L1" s="24" t="s">
        <v>113</v>
      </c>
      <c r="M1" s="24" t="s">
        <v>114</v>
      </c>
      <c r="N1" s="24" t="s">
        <v>101</v>
      </c>
      <c r="O1" s="25" t="s">
        <v>118</v>
      </c>
      <c r="P1" s="25" t="s">
        <v>119</v>
      </c>
      <c r="Q1" s="25" t="s">
        <v>120</v>
      </c>
      <c r="R1" s="25" t="s">
        <v>121</v>
      </c>
      <c r="S1" s="25" t="s">
        <v>122</v>
      </c>
      <c r="T1" s="25" t="s">
        <v>123</v>
      </c>
      <c r="U1" s="25" t="s">
        <v>124</v>
      </c>
      <c r="V1" s="25" t="s">
        <v>108</v>
      </c>
      <c r="W1" s="25" t="s">
        <v>125</v>
      </c>
      <c r="X1" s="25" t="s">
        <v>109</v>
      </c>
      <c r="Y1" s="25" t="s">
        <v>110</v>
      </c>
      <c r="Z1" s="25" t="s">
        <v>112</v>
      </c>
      <c r="AA1" s="25" t="s">
        <v>111</v>
      </c>
      <c r="AB1" s="25" t="s">
        <v>126</v>
      </c>
      <c r="AC1" s="25" t="s">
        <v>97</v>
      </c>
      <c r="AD1" s="25" t="s">
        <v>127</v>
      </c>
    </row>
    <row r="2" spans="2:30" x14ac:dyDescent="0.35">
      <c r="B2" s="9" t="s">
        <v>99</v>
      </c>
      <c r="C2" s="9" t="s">
        <v>99</v>
      </c>
      <c r="D2" s="9" t="s">
        <v>99</v>
      </c>
      <c r="E2" s="9"/>
      <c r="F2" s="9"/>
      <c r="G2" s="9"/>
      <c r="H2" s="18">
        <v>1</v>
      </c>
      <c r="I2" s="19">
        <v>0</v>
      </c>
      <c r="J2" s="19">
        <v>0</v>
      </c>
      <c r="K2" s="19">
        <v>0</v>
      </c>
      <c r="L2" s="9"/>
      <c r="M2" s="9"/>
      <c r="N2" s="9"/>
      <c r="O2" s="9">
        <v>0</v>
      </c>
      <c r="P2" s="9">
        <v>0</v>
      </c>
      <c r="Q2" s="9">
        <v>0</v>
      </c>
      <c r="R2" s="9">
        <v>0</v>
      </c>
      <c r="S2" s="9">
        <v>0</v>
      </c>
      <c r="T2" s="9">
        <v>0</v>
      </c>
      <c r="U2" s="9">
        <v>0</v>
      </c>
      <c r="V2" s="9">
        <v>0</v>
      </c>
      <c r="W2" s="9">
        <v>0</v>
      </c>
      <c r="X2" s="9">
        <v>0</v>
      </c>
      <c r="Y2" s="9">
        <v>0</v>
      </c>
      <c r="Z2" s="9">
        <v>0</v>
      </c>
      <c r="AA2" s="9">
        <v>0</v>
      </c>
      <c r="AB2" s="9">
        <v>0</v>
      </c>
      <c r="AC2" s="9">
        <v>0</v>
      </c>
      <c r="AD2" s="9">
        <v>0</v>
      </c>
    </row>
  </sheetData>
  <conditionalFormatting sqref="C3">
    <cfRule type="expression" dxfId="732" priority="5">
      <formula>$G3="Prod. Order"</formula>
    </cfRule>
    <cfRule type="expression" dxfId="731" priority="6">
      <formula>$I3="Prod. Order"</formula>
    </cfRule>
  </conditionalFormatting>
  <conditionalFormatting sqref="D1:G2 D4:G1048576">
    <cfRule type="expression" dxfId="730" priority="4">
      <formula>$C1="FALSE"</formula>
    </cfRule>
  </conditionalFormatting>
  <conditionalFormatting sqref="D3:G3">
    <cfRule type="expression" dxfId="729" priority="1">
      <formula>$C4="FALSE"</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0D452-4179-4CC2-A90B-AFEAA0339F31}">
  <sheetPr codeName="Sheet3"/>
  <dimension ref="A1:C7"/>
  <sheetViews>
    <sheetView showGridLines="0" workbookViewId="0"/>
  </sheetViews>
  <sheetFormatPr defaultRowHeight="18.75" x14ac:dyDescent="0.35"/>
  <cols>
    <col min="1" max="1" width="20.625" customWidth="1"/>
    <col min="2" max="2" width="65.625" customWidth="1"/>
    <col min="3" max="3" width="8.625" style="10"/>
  </cols>
  <sheetData>
    <row r="1" spans="1:2" x14ac:dyDescent="0.35">
      <c r="A1" s="5" t="s">
        <v>88</v>
      </c>
      <c r="B1" s="22" t="str" cm="1">
        <f t="array" ref="B1">ReportRequest.EnvironmentName</f>
        <v>Environment name Value</v>
      </c>
    </row>
    <row r="2" spans="1:2" x14ac:dyDescent="0.35">
      <c r="A2" s="5" t="s">
        <v>89</v>
      </c>
      <c r="B2" s="22" t="str" cm="1">
        <f t="array" ref="B2">ReportRequest.CompanyName</f>
        <v>Company name Value</v>
      </c>
    </row>
    <row r="3" spans="1:2" x14ac:dyDescent="0.35">
      <c r="A3" s="5" t="s">
        <v>90</v>
      </c>
      <c r="B3" s="22" t="str" cm="1">
        <f t="array" ref="B3">ReportRequest.UserName</f>
        <v>User name Value</v>
      </c>
    </row>
    <row r="4" spans="1:2" x14ac:dyDescent="0.35">
      <c r="A4" s="5" t="s">
        <v>91</v>
      </c>
      <c r="B4" s="31" t="e" cm="1">
        <f t="array" ref="B4">ReportRequest.DateLocal</f>
        <v>#NAME?</v>
      </c>
    </row>
    <row r="5" spans="1:2" x14ac:dyDescent="0.35">
      <c r="A5" s="5"/>
      <c r="B5" s="32" t="e" cm="1">
        <f t="array" ref="B5">ReportRequest.DateLocal</f>
        <v>#NAME?</v>
      </c>
    </row>
    <row r="6" spans="1:2" x14ac:dyDescent="0.35">
      <c r="A6" s="5" t="s">
        <v>92</v>
      </c>
      <c r="B6" s="22" t="e" cm="1">
        <f t="array" ref="B6">ReportMetadata.ObjectCaption</f>
        <v>#NAME?</v>
      </c>
    </row>
    <row r="7" spans="1:2" x14ac:dyDescent="0.35">
      <c r="A7" s="5" t="s">
        <v>93</v>
      </c>
      <c r="B7" s="30" t="str">
        <f>HYPERLINK(_xlfn.CONCAT("https://learn.microsoft.com/dynamics365/business-central/reports/report-",ReportMetadata.ObjectID))</f>
        <v>https://learn.microsoft.com/dynamics365/business-central/reports/report-Object ID Value</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AN2"/>
  <sheetViews>
    <sheetView topLeftCell="O1" workbookViewId="0">
      <pane ySplit="1" topLeftCell="A2" activePane="bottomLeft" state="frozen"/>
      <selection activeCell="AM1" sqref="AM1"/>
      <selection pane="bottomLeft" activeCell="AM1" sqref="AM1"/>
    </sheetView>
  </sheetViews>
  <sheetFormatPr defaultRowHeight="16.5" x14ac:dyDescent="0.3"/>
  <cols>
    <col min="1" max="1" width="18.375" customWidth="1"/>
    <col min="4" max="4" width="13.375" bestFit="1" customWidth="1"/>
  </cols>
  <sheetData>
    <row r="1" spans="1:40" x14ac:dyDescent="0.3">
      <c r="A1" s="1" t="s">
        <v>98</v>
      </c>
      <c r="B1" t="s">
        <v>50</v>
      </c>
      <c r="C1" t="s">
        <v>51</v>
      </c>
      <c r="D1" t="s">
        <v>52</v>
      </c>
      <c r="E1" t="s">
        <v>105</v>
      </c>
      <c r="F1" t="s">
        <v>53</v>
      </c>
      <c r="G1" t="s">
        <v>54</v>
      </c>
      <c r="H1" t="s">
        <v>55</v>
      </c>
      <c r="I1" t="s">
        <v>56</v>
      </c>
      <c r="J1" t="s">
        <v>57</v>
      </c>
      <c r="K1" t="s">
        <v>58</v>
      </c>
      <c r="L1" t="s">
        <v>59</v>
      </c>
      <c r="M1" t="s">
        <v>60</v>
      </c>
      <c r="N1" t="s">
        <v>61</v>
      </c>
      <c r="O1" t="s">
        <v>62</v>
      </c>
      <c r="P1" t="s">
        <v>63</v>
      </c>
      <c r="Q1" t="s">
        <v>64</v>
      </c>
      <c r="R1" t="s">
        <v>65</v>
      </c>
      <c r="S1" t="s">
        <v>66</v>
      </c>
      <c r="T1" t="s">
        <v>67</v>
      </c>
      <c r="U1" t="s">
        <v>68</v>
      </c>
      <c r="V1" t="s">
        <v>69</v>
      </c>
      <c r="W1" t="s">
        <v>70</v>
      </c>
      <c r="X1" t="s">
        <v>71</v>
      </c>
      <c r="Y1" t="s">
        <v>72</v>
      </c>
      <c r="Z1" t="s">
        <v>73</v>
      </c>
      <c r="AA1" t="s">
        <v>74</v>
      </c>
      <c r="AB1" t="s">
        <v>75</v>
      </c>
      <c r="AC1" t="s">
        <v>76</v>
      </c>
      <c r="AD1" t="s">
        <v>77</v>
      </c>
      <c r="AE1" t="s">
        <v>78</v>
      </c>
      <c r="AF1" t="s">
        <v>79</v>
      </c>
      <c r="AG1" t="s">
        <v>80</v>
      </c>
      <c r="AH1" t="s">
        <v>81</v>
      </c>
      <c r="AI1" t="s">
        <v>82</v>
      </c>
      <c r="AJ1" t="s">
        <v>83</v>
      </c>
      <c r="AK1" t="s">
        <v>84</v>
      </c>
      <c r="AL1" t="s">
        <v>85</v>
      </c>
      <c r="AM1" s="1" t="s">
        <v>132</v>
      </c>
      <c r="AN1" s="1" t="s">
        <v>133</v>
      </c>
    </row>
    <row r="2" spans="1:40" x14ac:dyDescent="0.3">
      <c r="B2" t="s">
        <v>86</v>
      </c>
      <c r="C2" t="s">
        <v>86</v>
      </c>
      <c r="D2" t="s">
        <v>86</v>
      </c>
      <c r="F2" t="s">
        <v>87</v>
      </c>
      <c r="G2" t="s">
        <v>86</v>
      </c>
      <c r="H2" s="2">
        <v>0</v>
      </c>
      <c r="I2" s="2">
        <v>0</v>
      </c>
      <c r="J2" s="2">
        <v>0</v>
      </c>
      <c r="K2" t="s">
        <v>86</v>
      </c>
      <c r="L2" t="s">
        <v>86</v>
      </c>
      <c r="M2" t="s">
        <v>86</v>
      </c>
      <c r="N2" s="2">
        <v>0</v>
      </c>
      <c r="O2" s="2">
        <v>0</v>
      </c>
      <c r="P2" s="2">
        <v>0</v>
      </c>
      <c r="Q2" s="2">
        <v>0</v>
      </c>
      <c r="R2" s="2">
        <v>0</v>
      </c>
      <c r="S2" s="2">
        <v>0</v>
      </c>
      <c r="T2" s="2">
        <v>0</v>
      </c>
      <c r="U2" t="s">
        <v>86</v>
      </c>
      <c r="V2" t="s">
        <v>86</v>
      </c>
      <c r="W2" s="3">
        <v>0</v>
      </c>
      <c r="X2" s="2">
        <v>0</v>
      </c>
      <c r="Y2" s="2">
        <v>0</v>
      </c>
      <c r="Z2" s="2">
        <v>0</v>
      </c>
      <c r="AA2" s="2">
        <v>0</v>
      </c>
      <c r="AB2" s="2">
        <v>0</v>
      </c>
      <c r="AC2" s="2">
        <v>0</v>
      </c>
      <c r="AD2" s="2">
        <v>0</v>
      </c>
      <c r="AE2" s="2">
        <v>0</v>
      </c>
      <c r="AF2" s="2">
        <v>0</v>
      </c>
      <c r="AG2" s="2">
        <v>0</v>
      </c>
      <c r="AH2" s="2">
        <v>0</v>
      </c>
      <c r="AI2" s="2">
        <v>0</v>
      </c>
      <c r="AJ2" s="2">
        <v>0</v>
      </c>
      <c r="AK2" s="2">
        <v>0</v>
      </c>
      <c r="AL2" s="2">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0A3C-AF79-49CD-9630-9BBF64CB79D9}">
  <sheetPr codeName="Sheet5"/>
  <dimension ref="A1:C1"/>
  <sheetViews>
    <sheetView workbookViewId="0">
      <selection activeCell="A2" sqref="A2"/>
    </sheetView>
  </sheetViews>
  <sheetFormatPr defaultRowHeight="16.5" x14ac:dyDescent="0.3"/>
  <cols>
    <col min="1" max="1" width="16.875" customWidth="1"/>
    <col min="2" max="2" width="11.375" customWidth="1"/>
  </cols>
  <sheetData>
    <row r="1" spans="1:3" x14ac:dyDescent="0.3">
      <c r="A1" t="s">
        <v>2</v>
      </c>
      <c r="B1" t="s">
        <v>0</v>
      </c>
      <c r="C1" t="s">
        <v>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9D77-FE1A-4986-8555-546CEA41E376}">
  <sheetPr codeName="Sheet6"/>
  <dimension ref="A1:B2"/>
  <sheetViews>
    <sheetView workbookViewId="0">
      <selection activeCell="A2" sqref="A2"/>
    </sheetView>
  </sheetViews>
  <sheetFormatPr defaultRowHeight="16.5" x14ac:dyDescent="0.3"/>
  <cols>
    <col min="1" max="1" width="10.125" customWidth="1"/>
    <col min="2" max="2" width="17.375" customWidth="1"/>
  </cols>
  <sheetData>
    <row r="1" spans="1:2" x14ac:dyDescent="0.3">
      <c r="A1" t="s">
        <v>3</v>
      </c>
      <c r="B1" t="s">
        <v>1</v>
      </c>
    </row>
    <row r="2" spans="1:2" x14ac:dyDescent="0.3">
      <c r="A2" t="s">
        <v>2</v>
      </c>
      <c r="B2" t="s">
        <v>47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0D203-F0E7-469F-A81D-7B7F90F422EF}">
  <sheetPr codeName="Sheet7"/>
  <dimension ref="A1:AP2"/>
  <sheetViews>
    <sheetView workbookViewId="0">
      <selection activeCell="AM1" sqref="AM1"/>
    </sheetView>
  </sheetViews>
  <sheetFormatPr defaultRowHeight="16.5" x14ac:dyDescent="0.3"/>
  <cols>
    <col min="1" max="1" width="10.375" bestFit="1" customWidth="1"/>
    <col min="2" max="2" width="7.375" bestFit="1" customWidth="1"/>
    <col min="3" max="3" width="5.75" bestFit="1" customWidth="1"/>
    <col min="4" max="4" width="13.125" bestFit="1" customWidth="1"/>
    <col min="5" max="5" width="7.625" bestFit="1" customWidth="1"/>
    <col min="6" max="7" width="13.875" bestFit="1" customWidth="1"/>
    <col min="8" max="8" width="14.875" bestFit="1" customWidth="1"/>
    <col min="9" max="9" width="16.75" bestFit="1" customWidth="1"/>
    <col min="10" max="10" width="17.25" bestFit="1" customWidth="1"/>
    <col min="11" max="11" width="21.125" bestFit="1" customWidth="1"/>
    <col min="12" max="12" width="25.625" bestFit="1" customWidth="1"/>
    <col min="13" max="13" width="22.875" bestFit="1" customWidth="1"/>
    <col min="14" max="14" width="10.75" bestFit="1" customWidth="1"/>
    <col min="15" max="15" width="17.75" bestFit="1" customWidth="1"/>
    <col min="16" max="16" width="19.875" bestFit="1" customWidth="1"/>
    <col min="17" max="17" width="21.625" bestFit="1" customWidth="1"/>
    <col min="18" max="18" width="23.875" bestFit="1" customWidth="1"/>
    <col min="19" max="19" width="15.625" bestFit="1" customWidth="1"/>
    <col min="20" max="20" width="9.375" bestFit="1" customWidth="1"/>
    <col min="21" max="21" width="20" bestFit="1" customWidth="1"/>
    <col min="22" max="22" width="12.75" bestFit="1" customWidth="1"/>
    <col min="23" max="23" width="21" bestFit="1" customWidth="1"/>
    <col min="24" max="24" width="22.5" bestFit="1" customWidth="1"/>
    <col min="25" max="25" width="26.125" bestFit="1" customWidth="1"/>
    <col min="26" max="26" width="22.625" bestFit="1" customWidth="1"/>
    <col min="27" max="27" width="28.125" bestFit="1" customWidth="1"/>
    <col min="28" max="28" width="23.625" bestFit="1" customWidth="1"/>
    <col min="29" max="29" width="27.375" bestFit="1" customWidth="1"/>
    <col min="30" max="30" width="20" bestFit="1" customWidth="1"/>
    <col min="31" max="31" width="24.375" bestFit="1" customWidth="1"/>
    <col min="32" max="32" width="25.875" bestFit="1" customWidth="1"/>
    <col min="33" max="33" width="24.5" bestFit="1" customWidth="1"/>
    <col min="34" max="34" width="26.125" bestFit="1" customWidth="1"/>
    <col min="35" max="35" width="25" bestFit="1" customWidth="1"/>
    <col min="36" max="36" width="25.375" bestFit="1" customWidth="1"/>
    <col min="37" max="37" width="21.75" bestFit="1" customWidth="1"/>
    <col min="38" max="38" width="11.5" bestFit="1" customWidth="1"/>
    <col min="39" max="39" width="8.375" bestFit="1" customWidth="1"/>
    <col min="40" max="40" width="22.25" bestFit="1" customWidth="1"/>
    <col min="41" max="42" width="8.75" customWidth="1"/>
    <col min="43" max="43" width="11.25" customWidth="1"/>
  </cols>
  <sheetData>
    <row r="1" spans="1:42" x14ac:dyDescent="0.3">
      <c r="A1" t="s">
        <v>98</v>
      </c>
      <c r="B1" t="s">
        <v>50</v>
      </c>
      <c r="C1" t="s">
        <v>51</v>
      </c>
      <c r="D1" t="s">
        <v>52</v>
      </c>
      <c r="E1" t="s">
        <v>105</v>
      </c>
      <c r="F1" t="s">
        <v>53</v>
      </c>
      <c r="G1" t="s">
        <v>54</v>
      </c>
      <c r="H1" t="s">
        <v>55</v>
      </c>
      <c r="I1" t="s">
        <v>56</v>
      </c>
      <c r="J1" t="s">
        <v>57</v>
      </c>
      <c r="K1" t="s">
        <v>58</v>
      </c>
      <c r="L1" t="s">
        <v>59</v>
      </c>
      <c r="M1" t="s">
        <v>60</v>
      </c>
      <c r="N1" t="s">
        <v>61</v>
      </c>
      <c r="O1" t="s">
        <v>62</v>
      </c>
      <c r="P1" t="s">
        <v>63</v>
      </c>
      <c r="Q1" t="s">
        <v>64</v>
      </c>
      <c r="R1" t="s">
        <v>65</v>
      </c>
      <c r="S1" t="s">
        <v>66</v>
      </c>
      <c r="T1" t="s">
        <v>67</v>
      </c>
      <c r="U1" t="s">
        <v>68</v>
      </c>
      <c r="V1" t="s">
        <v>69</v>
      </c>
      <c r="W1" t="s">
        <v>70</v>
      </c>
      <c r="X1" t="s">
        <v>71</v>
      </c>
      <c r="Y1" t="s">
        <v>72</v>
      </c>
      <c r="Z1" t="s">
        <v>73</v>
      </c>
      <c r="AA1" t="s">
        <v>74</v>
      </c>
      <c r="AB1" t="s">
        <v>75</v>
      </c>
      <c r="AC1" t="s">
        <v>76</v>
      </c>
      <c r="AD1" t="s">
        <v>77</v>
      </c>
      <c r="AE1" t="s">
        <v>78</v>
      </c>
      <c r="AF1" t="s">
        <v>79</v>
      </c>
      <c r="AG1" t="s">
        <v>80</v>
      </c>
      <c r="AH1" t="s">
        <v>81</v>
      </c>
      <c r="AI1" t="s">
        <v>82</v>
      </c>
      <c r="AJ1" t="s">
        <v>83</v>
      </c>
      <c r="AK1" t="s">
        <v>84</v>
      </c>
      <c r="AL1" t="s">
        <v>85</v>
      </c>
      <c r="AM1" t="s">
        <v>132</v>
      </c>
      <c r="AN1" t="s">
        <v>133</v>
      </c>
      <c r="AO1" t="s">
        <v>107</v>
      </c>
      <c r="AP1" t="s">
        <v>104</v>
      </c>
    </row>
    <row r="2" spans="1:42" x14ac:dyDescent="0.3">
      <c r="B2" t="s">
        <v>86</v>
      </c>
      <c r="C2" t="s">
        <v>86</v>
      </c>
      <c r="D2" t="s">
        <v>86</v>
      </c>
      <c r="F2" t="b">
        <v>0</v>
      </c>
      <c r="G2" t="s">
        <v>86</v>
      </c>
      <c r="H2">
        <v>0</v>
      </c>
      <c r="I2">
        <v>0</v>
      </c>
      <c r="J2">
        <v>0</v>
      </c>
      <c r="K2" t="s">
        <v>86</v>
      </c>
      <c r="L2" t="s">
        <v>86</v>
      </c>
      <c r="M2" t="s">
        <v>86</v>
      </c>
      <c r="N2">
        <v>0</v>
      </c>
      <c r="O2">
        <v>0</v>
      </c>
      <c r="P2">
        <v>0</v>
      </c>
      <c r="Q2">
        <v>0</v>
      </c>
      <c r="R2">
        <v>0</v>
      </c>
      <c r="S2">
        <v>0</v>
      </c>
      <c r="T2">
        <v>0</v>
      </c>
      <c r="U2" t="s">
        <v>86</v>
      </c>
      <c r="V2" t="s">
        <v>86</v>
      </c>
      <c r="W2" t="s">
        <v>102</v>
      </c>
      <c r="X2">
        <v>0</v>
      </c>
      <c r="Y2">
        <v>0</v>
      </c>
      <c r="Z2">
        <v>0</v>
      </c>
      <c r="AA2">
        <v>0</v>
      </c>
      <c r="AB2">
        <v>0</v>
      </c>
      <c r="AC2">
        <v>0</v>
      </c>
      <c r="AD2">
        <v>0</v>
      </c>
      <c r="AE2">
        <v>0</v>
      </c>
      <c r="AF2">
        <v>0</v>
      </c>
      <c r="AG2">
        <v>0</v>
      </c>
      <c r="AH2">
        <v>0</v>
      </c>
      <c r="AI2">
        <v>0</v>
      </c>
      <c r="AJ2">
        <v>0</v>
      </c>
      <c r="AK2">
        <v>0</v>
      </c>
      <c r="AL2">
        <v>0</v>
      </c>
      <c r="AN2" s="14">
        <v>1</v>
      </c>
      <c r="AO2" t="s">
        <v>103</v>
      </c>
      <c r="AP2" t="s">
        <v>103</v>
      </c>
    </row>
  </sheetData>
  <phoneticPr fontId="12"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37DBB-4AC2-46F2-B64A-5C237CE209EB}">
  <sheetPr codeName="Sheet8"/>
  <dimension ref="A1:K11"/>
  <sheetViews>
    <sheetView workbookViewId="0"/>
  </sheetViews>
  <sheetFormatPr defaultRowHeight="16.5" x14ac:dyDescent="0.3"/>
  <cols>
    <col min="1" max="1" width="25.625" customWidth="1"/>
    <col min="2" max="2" width="40.625" customWidth="1"/>
    <col min="3" max="3" width="5.625" customWidth="1"/>
    <col min="4" max="4" width="25.625" customWidth="1"/>
    <col min="5" max="5" width="40.625" customWidth="1"/>
    <col min="6" max="6" width="5.625" customWidth="1"/>
    <col min="7" max="7" width="25.625" customWidth="1"/>
    <col min="8" max="8" width="40.625" customWidth="1"/>
    <col min="9" max="9" width="5.625" customWidth="1"/>
    <col min="10" max="10" width="40.625" customWidth="1"/>
    <col min="11" max="11" width="25.625" customWidth="1"/>
  </cols>
  <sheetData>
    <row r="1" spans="1:11" x14ac:dyDescent="0.3">
      <c r="A1" s="1" t="s">
        <v>6</v>
      </c>
      <c r="B1" s="1" t="s">
        <v>7</v>
      </c>
      <c r="D1" s="1" t="s">
        <v>26</v>
      </c>
      <c r="E1" s="1" t="s">
        <v>27</v>
      </c>
      <c r="G1" s="1" t="s">
        <v>4</v>
      </c>
      <c r="H1" s="1" t="s">
        <v>5</v>
      </c>
      <c r="J1" s="1" t="s">
        <v>45</v>
      </c>
      <c r="K1" s="1" t="s">
        <v>46</v>
      </c>
    </row>
    <row r="2" spans="1:11" x14ac:dyDescent="0.3">
      <c r="A2" t="s">
        <v>8</v>
      </c>
      <c r="B2" t="s">
        <v>9</v>
      </c>
      <c r="D2" t="s">
        <v>48</v>
      </c>
      <c r="E2" t="s">
        <v>49</v>
      </c>
      <c r="G2" t="s">
        <v>4</v>
      </c>
      <c r="H2" t="s">
        <v>5</v>
      </c>
      <c r="J2" t="s">
        <v>45</v>
      </c>
      <c r="K2" t="s">
        <v>46</v>
      </c>
    </row>
    <row r="3" spans="1:11" x14ac:dyDescent="0.3">
      <c r="A3" t="s">
        <v>10</v>
      </c>
      <c r="B3" t="s">
        <v>11</v>
      </c>
      <c r="D3" t="s">
        <v>28</v>
      </c>
      <c r="E3" t="s">
        <v>29</v>
      </c>
    </row>
    <row r="4" spans="1:11" x14ac:dyDescent="0.3">
      <c r="A4" t="s">
        <v>12</v>
      </c>
      <c r="B4" t="s">
        <v>13</v>
      </c>
      <c r="D4" t="s">
        <v>30</v>
      </c>
      <c r="E4" t="s">
        <v>31</v>
      </c>
    </row>
    <row r="5" spans="1:11" x14ac:dyDescent="0.3">
      <c r="A5" t="s">
        <v>14</v>
      </c>
      <c r="B5" t="s">
        <v>15</v>
      </c>
      <c r="D5" t="s">
        <v>32</v>
      </c>
      <c r="E5" t="s">
        <v>33</v>
      </c>
    </row>
    <row r="6" spans="1:11" x14ac:dyDescent="0.3">
      <c r="A6" t="s">
        <v>16</v>
      </c>
      <c r="B6" t="s">
        <v>17</v>
      </c>
      <c r="D6" t="s">
        <v>34</v>
      </c>
      <c r="E6" t="s">
        <v>35</v>
      </c>
    </row>
    <row r="7" spans="1:11" x14ac:dyDescent="0.3">
      <c r="A7" t="s">
        <v>18</v>
      </c>
      <c r="B7" t="s">
        <v>19</v>
      </c>
      <c r="D7" t="s">
        <v>36</v>
      </c>
      <c r="E7" t="s">
        <v>37</v>
      </c>
    </row>
    <row r="8" spans="1:11" x14ac:dyDescent="0.3">
      <c r="A8" t="s">
        <v>20</v>
      </c>
      <c r="B8" t="s">
        <v>21</v>
      </c>
      <c r="D8" t="s">
        <v>38</v>
      </c>
      <c r="E8" t="s">
        <v>39</v>
      </c>
    </row>
    <row r="9" spans="1:11" x14ac:dyDescent="0.3">
      <c r="A9" t="s">
        <v>22</v>
      </c>
      <c r="B9" t="s">
        <v>23</v>
      </c>
      <c r="D9" t="s">
        <v>40</v>
      </c>
      <c r="E9" t="s">
        <v>41</v>
      </c>
    </row>
    <row r="10" spans="1:11" x14ac:dyDescent="0.3">
      <c r="A10" t="s">
        <v>24</v>
      </c>
      <c r="B10" t="s">
        <v>25</v>
      </c>
      <c r="D10" t="s">
        <v>0</v>
      </c>
      <c r="E10" t="s">
        <v>42</v>
      </c>
    </row>
    <row r="11" spans="1:11" x14ac:dyDescent="0.3">
      <c r="D11" t="s">
        <v>43</v>
      </c>
      <c r="E11" t="s">
        <v>44</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17B39A-D6D1-4E19-AF64-5BD1602599B8}">
  <ds:schemaRefs>
    <ds:schemaRef ds:uri="http://schemas.microsoft.com/DataMashup"/>
  </ds:schemaRefs>
</ds:datastoreItem>
</file>

<file path=docMetadata/LabelInfo.xml><?xml version="1.0" encoding="utf-8"?>
<clbl:labelList xmlns:clbl="http://schemas.microsoft.com/office/2020/mipLabelMetadata">
  <clbl:label id="{85ca8af4-763a-45c2-80ae-a5ca1b80bddc}" enabled="1" method="Standard" siteId="{06cdaf09-14f0-4cd1-8ac0-7bfed707a82c}" contentBits="0" removed="0"/>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$SingleLevelPrint$</vt:lpstr>
      <vt:lpstr>$SingleLevelTopLevelPrint$ </vt:lpstr>
      <vt:lpstr>$SingleLevelExplodedPrint$</vt:lpstr>
      <vt:lpstr>$RolledUpPrint$</vt:lpstr>
      <vt:lpstr>$RolledUpTopLevelPrint$</vt:lpstr>
      <vt:lpstr>$RolledUpExplodedPrint$</vt:lpstr>
      <vt:lpstr>$ProdCostSharesAnalysis$</vt:lpstr>
      <vt:lpstr>$AboutTheReportLabel$</vt:lpstr>
      <vt:lpstr>Data</vt:lpstr>
      <vt:lpstr>TranslationData</vt:lpstr>
      <vt:lpstr>CaptionData</vt:lpstr>
      <vt:lpstr>ProductionCostShares_Query</vt:lpstr>
      <vt:lpstr>Aggregated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 Williams</cp:lastModifiedBy>
  <cp:lastPrinted>2025-02-21T03:26:07Z</cp:lastPrinted>
  <dcterms:modified xsi:type="dcterms:W3CDTF">2025-08-21T07:29:06Z</dcterms:modified>
</cp:coreProperties>
</file>
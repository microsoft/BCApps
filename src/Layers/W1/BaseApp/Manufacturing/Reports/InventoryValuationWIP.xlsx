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slicerCaches/slicerCache1.xml" ContentType="application/vnd.ms-excel.slicerCache+xml"/>
  <Override PartName="/xl/slicerCaches/slicerCache2.xml" ContentType="application/vnd.ms-excel.slicerCache+xml"/>
  <Override PartName="/xl/slicerCaches/slicerCache3.xml" ContentType="application/vnd.ms-excel.slicerCache+xml"/>
  <Override PartName="/xl/slicerCaches/slicerCache4.xml" ContentType="application/vnd.ms-excel.slicerCache+xml"/>
  <Override PartName="/xl/slicerCaches/slicerCache5.xml" ContentType="application/vnd.ms-excel.slicerCache+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slicers/slicer1.xml" ContentType="application/vnd.ms-excel.slicer+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tables/table8.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docMetadata/LabelInfo.xml" ContentType="application/vnd.ms-office.classificationlabel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package/2006/relationships/metadata/core-properties" Target="docProps/core.xml"/><Relationship Id="rId2" Type="http://schemas.microsoft.com/office/2020/02/relationships/classificationlabels" Target="docMetadata/LabelInfo.xml"/><Relationship Id="rId1" Type="http://schemas.openxmlformats.org/officeDocument/2006/relationships/officeDocument" Target="xl/workbook.xml"/><Relationship Id="rId4"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231"/>
  <workbookPr hidePivotFieldList="1"/>
  <mc:AlternateContent xmlns:mc="http://schemas.openxmlformats.org/markup-compatibility/2006">
    <mc:Choice Requires="x15">
      <x15ac:absPath xmlns:x15ac="http://schemas.microsoft.com/office/spreadsheetml/2010/11/ac" url="C:\Users\daniel.williams\Source\Gold\Yellowstone.Dan\app\Manufacturing\Reports\"/>
    </mc:Choice>
  </mc:AlternateContent>
  <xr:revisionPtr revIDLastSave="0" documentId="13_ncr:1_{950D67C1-E304-4412-8BA5-0E2E67B259C3}" xr6:coauthVersionLast="47" xr6:coauthVersionMax="47" xr10:uidLastSave="{00000000-0000-0000-0000-000000000000}"/>
  <bookViews>
    <workbookView xWindow="-14130" yWindow="-16320" windowWidth="29040" windowHeight="15720" xr2:uid="{00000000-000D-0000-FFFF-FFFF00000000}"/>
  </bookViews>
  <sheets>
    <sheet name="$ProdOrderWipPrintLbl$" sheetId="6" r:id="rId1"/>
    <sheet name="$ProdOrderWipAnalysisLbl$" sheetId="9" r:id="rId2"/>
    <sheet name="CaptionData" sheetId="3" state="hidden" r:id="rId3"/>
    <sheet name="TranslationData" sheetId="2" state="hidden" r:id="rId4"/>
    <sheet name="Aggregated Metadata" sheetId="4" state="hidden" r:id="rId5"/>
    <sheet name="$AboutTheReportLbl$" sheetId="12" r:id="rId6"/>
    <sheet name="FixedData" sheetId="11" state="hidden" r:id="rId7"/>
    <sheet name="Data" sheetId="1" state="hidden" r:id="rId8"/>
  </sheets>
  <definedNames>
    <definedName name="EndDateHeading">_xlfn.XLOOKUP("EndDateHeading", ReportRequestPageValues[Request Page Option], ReportRequestPageValues[Request Page Option Value])</definedName>
    <definedName name="ProdOrderFilterHeading">_xlfn.XLOOKUP("ProdOrderFilterHeading", ReportRequestPageValues[Request Page Option], ReportRequestPageValues[Request Page Option Value])</definedName>
    <definedName name="ReportMetadata.AboutThisReportText" comment="Use this function to get the About This Report Text from the ReportMetadataValues table in the Aggregated Metadata worksheet">_xlfn.XLOOKUP("About This Report Text",ReportMetadataValues[[#All],[Report Property]],ReportMetadataValues[[#All],[Report Property Value]],"none",)</definedName>
    <definedName name="ReportMetadata.AboutThisReportTitle" comment="Use this function to get the About This Report Title from the ReportMetadataValues table in the Aggregated Metadata worksheet">_xlfn.XLOOKUP("About This Report Title",ReportMetadataValues[[#All],[Report Property]],ReportMetadataValues[[#All],[Report Property Value]],"none",)</definedName>
    <definedName name="ReportMetadata.ExtensionID" comment="Use this function to get the Extension ID from the ReportMetadataValues table in the Aggregated Metadata worksheet">_xlfn.XLOOKUP("Extension ID",ReportMetadataValues[[#All],[Report Property]],ReportMetadataValues[[#All],[Report Property Value]],"none",)</definedName>
    <definedName name="ReportMetadata.ExtensionName" comment="Use this function to get the Extension Name from the ReportMetadataValues table in the Aggregated Metadata worksheet">_xlfn.XLOOKUP("Extension Name",ReportMetadataValues[[#All],[Report Property]],ReportMetadataValues[[#All],[Report Property Value]],"none",)</definedName>
    <definedName name="ReportMetadata.ExtensionPublisher" comment="Use this function to get the Extension Publisher from the ReportMetadataValues table in the Aggregated Metadata worksheet">_xlfn.XLOOKUP("Extension Publisher",ReportMetadataValues[[#All],[Report Property]],ReportMetadataValues[[#All],[Report Property Value]],"none",)</definedName>
    <definedName name="ReportMetadata.ExtensionVersion" comment="Use this function to get the Extension Version from the ReportMetadataValues table in the Aggregated Metadata worksheet">_xlfn.XLOOKUP("Extension Version",ReportMetadataValues[[#All],[Report Property]],ReportMetadataValues[[#All],[Report Property Value]],"none",)</definedName>
    <definedName name="ReportMetadata.ObjectID" comment="Use this function to get the Object ID from the ReportMetadataValues table in the Aggregated Metadata worksheet">_xlfn.XLOOKUP("Object ID",ReportMetadataValues[[#All],[Report Property]],ReportMetadataValues[[#All],[Report Property Value]],"none",)</definedName>
    <definedName name="ReportMetadata.ObjectName" comment="Use this function to get the Object Name from the ReportMetadataValues table in the Aggregated Metadata worksheet">_xlfn.XLOOKUP("Object Name",ReportMetadataValues[[#All],[Report Property]],ReportMetadataValues[[#All],[Report Property Value]],"none",)</definedName>
    <definedName name="ReportMetadata.ReportHelpLink" comment="Use this function to get the Report help link from the ReportMetadataValues table in the Aggregated Metadata worksheet">_xlfn.XLOOKUP("Report help link",ReportMetadataValues[[#All],[Report Property]],ReportMetadataValues[[#All],[Report Property Value]],"none",)</definedName>
    <definedName name="ReportRequest.CompanyId" comment="Use this function to get the Company Id from the ReportRequestValues table in the Aggregated Metadata worksheet">_xlfn.XLOOKUP("Company Id",ReportRequestValues[[#All],[Request Property]],ReportRequestValues[[#All],[Request Property Value]],"none",)</definedName>
    <definedName name="ReportRequest.CompanyName" comment="Use this function to get the Company name from the ReportRequestValues table in the Aggregated Metadata worksheet">_xlfn.XLOOKUP("Company name",ReportRequestValues[[#All],[Request Property]],ReportRequestValues[[#All],[Request Property Value]],"none",)</definedName>
    <definedName name="ReportRequest.Date" comment="Use this function to get the Date from the ReportRequestValues table in the Aggregated Metadata worksheet">_xlfn.XLOOKUP("Date",ReportRequestValues[[#All],[Request Property]],ReportRequestValues[[#All],[Request Property Value]],"none",)</definedName>
    <definedName name="ReportRequest.EnvironmentName" comment="Use this function to get the Environment name from the ReportRequestValues table in the Aggregated Metadata worksheet">_xlfn.XLOOKUP("Environment name",ReportRequestValues[[#All],[Request Property]],ReportRequestValues[[#All],[Request Property Value]],"none",)</definedName>
    <definedName name="ReportRequest.EnvironmentType" comment="Use this function to get the Environment type from the ReportRequestValues table in the Aggregated Metadata worksheet">_xlfn.XLOOKUP("Environment type",ReportRequestValues[[#All],[Request Property]],ReportRequestValues[[#All],[Request Property Value]],"none",)</definedName>
    <definedName name="ReportRequest.FormatRegion" comment="Use this function to get the Format Region from the ReportRequestValues table in the Aggregated Metadata worksheet">_xlfn.XLOOKUP("Format Region",ReportRequestValues[[#All],[Request Property]],ReportRequestValues[[#All],[Request Property Value]],"none",)</definedName>
    <definedName name="ReportRequest.Language" comment="Use this function to get the Language from the ReportRequestValues table in the Aggregated Metadata worksheet">_xlfn.XLOOKUP("Language",ReportRequestValues[[#All],[Request Property]],ReportRequestValues[[#All],[Request Property Value]],"none",)</definedName>
    <definedName name="ReportRequest.TenantEntraId" comment="Use this function to get the Tenant Entra Id from the ReportRequestValues table in the Aggregated Metadata worksheet">_xlfn.XLOOKUP("Tenant Entra Id",ReportRequestValues[[#All],[Request Property]],ReportRequestValues[[#All],[Request Property Value]],"none",)</definedName>
    <definedName name="ReportRequest.TenantId" comment="Use this function to get the Tenant Id from the ReportRequestValues table in the Aggregated Metadata worksheet">_xlfn.XLOOKUP("Tenant Id",ReportRequestValues[[#All],[Request Property]],ReportRequestValues[[#All],[Request Property Value]],"none",)</definedName>
    <definedName name="ReportRequest.UserName" comment="Use this function to get the User name from the ReportRequestValues table in the Aggregated Metadata worksheet">_xlfn.XLOOKUP("User name",ReportRequestValues[[#All],[Request Property]],ReportRequestValues[[#All],[Request Property Value]],"none",)</definedName>
    <definedName name="Slicer_Desc_ProductionOrder">#N/A</definedName>
    <definedName name="Slicer_No_ProductionOrder">#N/A</definedName>
    <definedName name="Slicer_SourceNo_ProductionOrder">#N/A</definedName>
    <definedName name="Slicer_SrcType_ProductionOrder">#N/A</definedName>
    <definedName name="Slicer_Status_ProductionOrder">#N/A</definedName>
    <definedName name="StartDateHeading">_xlfn.XLOOKUP("StartDateHeading", ReportRequestPageValues[Request Page Option], ReportRequestPageValues[Request Page Option Value])</definedName>
  </definedNames>
  <calcPr calcId="191029"/>
  <pivotCaches>
    <pivotCache cacheId="5" r:id="rId9"/>
  </pivotCaches>
  <extLst>
    <ext xmlns:x14="http://schemas.microsoft.com/office/spreadsheetml/2009/9/main" uri="{BBE1A952-AA13-448e-AADC-164F8A28A991}">
      <x14:slicerCaches>
        <x14:slicerCache r:id="rId10"/>
        <x14:slicerCache r:id="rId11"/>
        <x14:slicerCache r:id="rId12"/>
        <x14:slicerCache r:id="rId13"/>
        <x14:slicerCache r:id="rId14"/>
      </x14:slicerCaches>
    </ext>
    <ext xmlns:x14="http://schemas.microsoft.com/office/spreadsheetml/2009/9/main" uri="{79F54976-1DA5-4618-B147-4CDE4B953A38}">
      <x14:workbookPr/>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5" i="6" l="1" a="1"/>
  <c r="B5" i="6" s="1"/>
  <c r="C4" i="6" a="1"/>
  <c r="C4" i="6" s="1"/>
  <c r="B4" i="6" a="1"/>
  <c r="B4" i="6" s="1"/>
  <c r="K4" i="6" a="1"/>
  <c r="K4" i="6" s="1"/>
  <c r="B6" i="12" a="1"/>
  <c r="B6" i="12" s="1"/>
  <c r="B5" i="12" a="1"/>
  <c r="B5" i="12" s="1"/>
  <c r="B4" i="12" a="1"/>
  <c r="B4" i="12" s="1"/>
  <c r="L4" i="6" a="1"/>
  <c r="L4" i="6" s="1"/>
  <c r="B7" i="12" l="1"/>
  <c r="B3" i="12" a="1"/>
  <c r="B3" i="12" s="1"/>
  <c r="B2" i="12" a="1"/>
  <c r="B2" i="12" s="1"/>
  <c r="B1" i="12" a="1"/>
  <c r="B1" i="12" s="1"/>
  <c r="L2" i="6" l="1" a="1"/>
  <c r="L2" i="6" s="1"/>
</calcChain>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2E446F78-62CD-45F8-B34D-D300102DAFB0}" keepAlive="1" name="Query - CaptionData" description="Connection to the 'CaptionData' query in the workbook." type="5" refreshedVersion="0" refreshOnLoad="1" saveData="1">
    <dbPr connection="Provider=Microsoft.Mashup.OleDb.1;Data Source=$Workbook$;Location=CaptionData;Extended Properties=&quot;&quot;" command="SELECT * FROM [CaptionData]"/>
  </connection>
  <connection id="2" xr16:uid="{98657858-57C8-4229-9A26-174BBFF35C5C}" keepAlive="1" name="Query - ProdOrderWIP_Query" description="Connection to the 'ProdOrderWIP_Query' query in the workbook." type="5" refreshedVersion="8" refreshOnLoad="1" saveData="1">
    <dbPr connection="Provider=Microsoft.Mashup.OleDb.1;Data Source=$Workbook$;Location=ProdOrderWIP_Query;Extended Properties=&quot;&quot;" command="SELECT * FROM [ProdOrderWIP_Query]"/>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<sst xmlns="http://schemas.openxmlformats.org/spreadsheetml/2006/main" count="149" uniqueCount="112">
  <si>
    <t>Language</t>
  </si>
  <si>
    <t>Value</t>
  </si>
  <si>
    <t>CaptionKey</t>
  </si>
  <si>
    <t>Caption</t>
  </si>
  <si>
    <t>Request Page Option</t>
  </si>
  <si>
    <t>Request Page Option Value</t>
  </si>
  <si>
    <t>Report Property</t>
  </si>
  <si>
    <t>Report Property Value</t>
  </si>
  <si>
    <t>Extension ID</t>
  </si>
  <si>
    <t>Extension ID Value</t>
  </si>
  <si>
    <t>Extension Name</t>
  </si>
  <si>
    <t>Extension Name Value</t>
  </si>
  <si>
    <t>Extension Publisher</t>
  </si>
  <si>
    <t>Extension Publisher Value</t>
  </si>
  <si>
    <t>Extension Version</t>
  </si>
  <si>
    <t>Extension Version Value</t>
  </si>
  <si>
    <t>Object ID</t>
  </si>
  <si>
    <t>Object ID Value</t>
  </si>
  <si>
    <t>Object Name</t>
  </si>
  <si>
    <t>Object Name Value</t>
  </si>
  <si>
    <t>About This Report Title</t>
  </si>
  <si>
    <t>About This Report Title Value</t>
  </si>
  <si>
    <t>About This Report Text</t>
  </si>
  <si>
    <t>About This Report Text Value</t>
  </si>
  <si>
    <t>Report help link</t>
  </si>
  <si>
    <t>Report help link Value</t>
  </si>
  <si>
    <t>Request Property</t>
  </si>
  <si>
    <t>Request Property Value</t>
  </si>
  <si>
    <t>Tenant Id</t>
  </si>
  <si>
    <t>Tenant Id Value</t>
  </si>
  <si>
    <t>Environment name</t>
  </si>
  <si>
    <t>Environment name Value</t>
  </si>
  <si>
    <t>Environment type</t>
  </si>
  <si>
    <t>Environment type Value</t>
  </si>
  <si>
    <t>Company name</t>
  </si>
  <si>
    <t>Company name Value</t>
  </si>
  <si>
    <t>Company Id</t>
  </si>
  <si>
    <t>Company Id Value</t>
  </si>
  <si>
    <t>User name</t>
  </si>
  <si>
    <t>User name Value</t>
  </si>
  <si>
    <t>Date</t>
  </si>
  <si>
    <t>Date Value</t>
  </si>
  <si>
    <t>Language Value</t>
  </si>
  <si>
    <t>Format Region</t>
  </si>
  <si>
    <t>Format Region Value</t>
  </si>
  <si>
    <t>Filter</t>
  </si>
  <si>
    <t>Filter Value</t>
  </si>
  <si>
    <t>Tenant Entra Id</t>
  </si>
  <si>
    <t>Tenant Entra Id Value</t>
  </si>
  <si>
    <t>CompanyName</t>
  </si>
  <si>
    <t>TodayFormatted</t>
  </si>
  <si>
    <t>ProdOrderFilter</t>
  </si>
  <si>
    <t>AsOfStartDateText</t>
  </si>
  <si>
    <t>AsofEndDate</t>
  </si>
  <si>
    <t>No_ProductionOrder</t>
  </si>
  <si>
    <t>SourceNo_ProductionOrder</t>
  </si>
  <si>
    <t>SrcType_ProductionOrder</t>
  </si>
  <si>
    <t>Desc_ProductionOrder</t>
  </si>
  <si>
    <t>Status_ProductionOrder</t>
  </si>
  <si>
    <t>ValueEntryCostPostedtoGL</t>
  </si>
  <si>
    <t>ValueOfOutput</t>
  </si>
  <si>
    <t>ValueOfCap</t>
  </si>
  <si>
    <t>ValueOfMatConsump</t>
  </si>
  <si>
    <t>ValueOfWIP</t>
  </si>
  <si>
    <t>LastOutput</t>
  </si>
  <si>
    <t>AtLastDate</t>
  </si>
  <si>
    <t>LastWIP</t>
  </si>
  <si>
    <t/>
  </si>
  <si>
    <t>Capacity</t>
  </si>
  <si>
    <t>Output</t>
  </si>
  <si>
    <t>Cost Posted to G/L</t>
  </si>
  <si>
    <t>Consumption</t>
  </si>
  <si>
    <t>No.</t>
  </si>
  <si>
    <t>Status</t>
  </si>
  <si>
    <t>Description</t>
  </si>
  <si>
    <t>Source Type</t>
  </si>
  <si>
    <t>Source No.</t>
  </si>
  <si>
    <t>InventoryValuationWIP</t>
  </si>
  <si>
    <t>CurrReportPageNo</t>
  </si>
  <si>
    <t>CostPostedToGL</t>
  </si>
  <si>
    <t>ProductionOrderNo</t>
  </si>
  <si>
    <t>ProdOrderStatus</t>
  </si>
  <si>
    <t>ProdOrderDescription</t>
  </si>
  <si>
    <t>ProdOrderSourceType</t>
  </si>
  <si>
    <t>ProdOrderSourceNo</t>
  </si>
  <si>
    <t>Total</t>
  </si>
  <si>
    <t>Inventory Valuation - WIP</t>
  </si>
  <si>
    <t>Page</t>
  </si>
  <si>
    <t>Start Date</t>
  </si>
  <si>
    <t>End Date</t>
  </si>
  <si>
    <t xml:space="preserve"> </t>
  </si>
  <si>
    <t>$Status_ProductionOrder$</t>
  </si>
  <si>
    <t>$No_ProductionOrder$</t>
  </si>
  <si>
    <t>$Desc_ProductionOrder$</t>
  </si>
  <si>
    <t>$SrcType_ProductionOrder$</t>
  </si>
  <si>
    <t>$SourceNo_ProductionOrder$</t>
  </si>
  <si>
    <t>StartDate</t>
  </si>
  <si>
    <t>EndDate</t>
  </si>
  <si>
    <t>Grand Total</t>
  </si>
  <si>
    <t>$EnvironmentLbl$</t>
  </si>
  <si>
    <t>$CompanyLbl$</t>
  </si>
  <si>
    <t>$UserLbl$</t>
  </si>
  <si>
    <t>$RunOnLbl$</t>
  </si>
  <si>
    <t>$ReportNameLbl$</t>
  </si>
  <si>
    <t>$DocumentationLbl$</t>
  </si>
  <si>
    <t>$ConsumptionLbl$</t>
  </si>
  <si>
    <t>$ProdOrderWIPLbl$</t>
  </si>
  <si>
    <t>$AsOfStartDateLbl$</t>
  </si>
  <si>
    <t>$CapacityLbl$</t>
  </si>
  <si>
    <t>$OutputLbl$</t>
  </si>
  <si>
    <t>$AsOfEndDateLbl$</t>
  </si>
  <si>
    <t>$CostPostedToGLLbl$</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</si>
</sst>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2">
    <numFmt numFmtId="164" formatCode="[$-F800]dddd\,\ mmmm\ dd\,\ yyyy"/>
    <numFmt numFmtId="165" formatCode="[$-F400]h:mm:ss\ AM/PM"/>
  </numFmts>
  <fonts count="21" x14ac:knownFonts="1">
    <font>
      <sz val="11"/>
      <name val="Segoe UI"/>
      <family val="2"/>
      <scheme val="minor"/>
    </font>
    <font>
      <sz val="11"/>
      <color theme="1"/>
      <name val="Segoe UI"/>
      <family val="2"/>
      <scheme val="minor"/>
    </font>
    <font>
      <sz val="11"/>
      <color theme="1"/>
      <name val="Segoe UI"/>
      <family val="2"/>
      <scheme val="minor"/>
    </font>
    <font>
      <b/>
      <sz val="11"/>
      <name val="Segoe UI"/>
      <family val="2"/>
      <scheme val="minor"/>
    </font>
    <font>
      <sz val="8"/>
      <name val="Segoe UI"/>
      <family val="2"/>
      <scheme val="minor"/>
    </font>
    <font>
      <b/>
      <sz val="15"/>
      <color theme="1"/>
      <name val="Segoe UI"/>
      <family val="2"/>
      <scheme val="minor"/>
    </font>
    <font>
      <b/>
      <sz val="13"/>
      <color theme="1"/>
      <name val="Segoe UI"/>
      <family val="2"/>
      <scheme val="minor"/>
    </font>
    <font>
      <b/>
      <sz val="18"/>
      <color rgb="FF212121"/>
      <name val="Segoe UI Semibold"/>
      <family val="2"/>
      <scheme val="major"/>
    </font>
    <font>
      <sz val="10"/>
      <name val="Segoe UI Semibold"/>
      <family val="2"/>
      <scheme val="major"/>
    </font>
    <font>
      <sz val="10"/>
      <name val="Segoe UI"/>
      <family val="2"/>
      <scheme val="minor"/>
    </font>
    <font>
      <sz val="10"/>
      <color rgb="FF505C6D"/>
      <name val="Segoe UI"/>
      <family val="2"/>
    </font>
    <font>
      <sz val="10"/>
      <color rgb="FF505C6D"/>
      <name val="Segoe UI"/>
      <family val="2"/>
      <scheme val="minor"/>
    </font>
    <font>
      <sz val="10"/>
      <color theme="1"/>
      <name val="Segoe UI Semibold"/>
      <family val="2"/>
      <scheme val="major"/>
    </font>
    <font>
      <u/>
      <sz val="11"/>
      <color theme="10"/>
      <name val="Segoe UI"/>
      <family val="2"/>
      <scheme val="minor"/>
    </font>
    <font>
      <u/>
      <sz val="10"/>
      <color theme="10"/>
      <name val="Segoe UI"/>
      <family val="2"/>
      <scheme val="minor"/>
    </font>
    <font>
      <sz val="10"/>
      <color rgb="FF212121"/>
      <name val="Segoe UI"/>
      <family val="2"/>
      <scheme val="minor"/>
    </font>
    <font>
      <sz val="14"/>
      <name val="Segoe UI"/>
      <family val="2"/>
      <scheme val="minor"/>
    </font>
    <font>
      <b/>
      <sz val="10"/>
      <name val="Segoe UI"/>
      <family val="2"/>
      <scheme val="minor"/>
    </font>
    <font>
      <b/>
      <sz val="10"/>
      <color theme="1"/>
      <name val="Segoe UI Semibold"/>
      <family val="2"/>
      <scheme val="major"/>
    </font>
    <font>
      <sz val="10"/>
      <color theme="1"/>
      <name val="Segoe UI"/>
      <family val="2"/>
      <scheme val="minor"/>
    </font>
    <font>
      <sz val="10"/>
      <name val="Segoe UI Semibold"/>
      <scheme val="major"/>
    </font>
  </fonts>
  <fills count="3">
    <fill>
      <patternFill patternType="none"/>
    </fill>
    <fill>
      <patternFill patternType="gray125"/>
    </fill>
    <fill>
      <patternFill patternType="solid">
        <fgColor rgb="FFC0C0C0"/>
        <bgColor indexed="64"/>
      </patternFill>
    </fill>
  </fills>
  <borders count="3">
    <border>
      <left/>
      <right/>
      <top/>
      <bottom/>
      <diagonal/>
    </border>
    <border>
      <left/>
      <right/>
      <top/>
      <bottom style="thick">
        <color theme="4"/>
      </bottom>
      <diagonal/>
    </border>
    <border>
      <left/>
      <right/>
      <top/>
      <bottom style="thick">
        <color theme="4" tint="0.499984740745262"/>
      </bottom>
      <diagonal/>
    </border>
  </borders>
  <cellStyleXfs count="6">
    <xf numFmtId="0" fontId="0" fillId="0" borderId="0"/>
    <xf numFmtId="0" fontId="5" fillId="0" borderId="1" applyNumberFormat="0" applyFill="0" applyBorder="0" applyAlignment="0" applyProtection="0"/>
    <xf numFmtId="0" fontId="2" fillId="0" borderId="0"/>
    <xf numFmtId="0" fontId="6" fillId="0" borderId="2" applyNumberFormat="0" applyFill="0" applyAlignment="0" applyProtection="0"/>
    <xf numFmtId="0" fontId="1" fillId="0" borderId="0"/>
    <xf numFmtId="0" fontId="13" fillId="0" borderId="0" applyNumberFormat="0" applyFill="0" applyBorder="0" applyAlignment="0" applyProtection="0"/>
  </cellStyleXfs>
  <cellXfs count="28">
    <xf numFmtId="0" fontId="0" fillId="0" borderId="0" xfId="0"/>
    <xf numFmtId="49" fontId="3" fillId="2" borderId="0" xfId="0" applyNumberFormat="1" applyFont="1" applyFill="1"/>
    <xf numFmtId="164" fontId="11" fillId="0" borderId="0" xfId="0" applyNumberFormat="1" applyFont="1" applyAlignment="1">
      <alignment horizontal="right" vertical="center"/>
    </xf>
    <xf numFmtId="0" fontId="10" fillId="0" borderId="0" xfId="2" applyFont="1"/>
    <xf numFmtId="0" fontId="12" fillId="0" borderId="0" xfId="0" applyFont="1" applyAlignment="1">
      <alignment vertical="center"/>
    </xf>
    <xf numFmtId="0" fontId="0" fillId="0" borderId="0" xfId="0" applyAlignment="1">
      <alignment vertical="center"/>
    </xf>
    <xf numFmtId="0" fontId="8" fillId="0" borderId="0" xfId="2" applyFont="1"/>
    <xf numFmtId="0" fontId="15" fillId="0" borderId="0" xfId="0" applyFont="1" applyAlignment="1">
      <alignment horizontal="right" vertical="center"/>
    </xf>
    <xf numFmtId="0" fontId="7" fillId="0" borderId="0" xfId="2" applyFont="1" applyAlignment="1">
      <alignment vertical="center"/>
    </xf>
    <xf numFmtId="0" fontId="8" fillId="0" borderId="0" xfId="0" applyFont="1" applyAlignment="1">
      <alignment horizontal="right" vertical="center"/>
    </xf>
    <xf numFmtId="0" fontId="9" fillId="0" borderId="0" xfId="0" applyFont="1" applyAlignment="1">
      <alignment horizontal="right" vertical="center"/>
    </xf>
    <xf numFmtId="0" fontId="9" fillId="0" borderId="0" xfId="0" applyFont="1" applyAlignment="1">
      <alignment vertical="center"/>
    </xf>
    <xf numFmtId="0" fontId="16" fillId="0" borderId="0" xfId="0" applyFont="1" applyAlignment="1">
      <alignment vertical="center"/>
    </xf>
    <xf numFmtId="14" fontId="0" fillId="0" borderId="0" xfId="0" applyNumberFormat="1"/>
    <xf numFmtId="4" fontId="9" fillId="0" borderId="0" xfId="0" applyNumberFormat="1" applyFont="1" applyAlignment="1">
      <alignment vertical="center"/>
    </xf>
    <xf numFmtId="0" fontId="17" fillId="0" borderId="0" xfId="0" applyFont="1" applyAlignment="1">
      <alignment vertical="center"/>
    </xf>
    <xf numFmtId="4" fontId="17" fillId="0" borderId="0" xfId="0" applyNumberFormat="1" applyFont="1" applyAlignment="1">
      <alignment vertical="center"/>
    </xf>
    <xf numFmtId="0" fontId="18" fillId="0" borderId="2" xfId="3" applyFont="1" applyAlignment="1">
      <alignment horizontal="right" vertical="center"/>
    </xf>
    <xf numFmtId="0" fontId="19" fillId="0" borderId="0" xfId="0" applyFont="1" applyAlignment="1">
      <alignment horizontal="left" vertical="center"/>
    </xf>
    <xf numFmtId="164" fontId="15" fillId="0" borderId="0" xfId="0" applyNumberFormat="1" applyFont="1" applyAlignment="1">
      <alignment horizontal="right" vertical="center"/>
    </xf>
    <xf numFmtId="0" fontId="9" fillId="0" borderId="0" xfId="0" applyFont="1" applyAlignment="1">
      <alignment horizontal="left" vertical="center"/>
    </xf>
    <xf numFmtId="164" fontId="9" fillId="0" borderId="0" xfId="0" applyNumberFormat="1" applyFont="1" applyAlignment="1">
      <alignment horizontal="left" vertical="center"/>
    </xf>
    <xf numFmtId="0" fontId="14" fillId="0" borderId="0" xfId="5" applyFont="1" applyAlignment="1">
      <alignment horizontal="left" vertical="center"/>
    </xf>
    <xf numFmtId="0" fontId="15" fillId="0" borderId="0" xfId="0" applyFont="1" applyAlignment="1">
      <alignment vertical="center"/>
    </xf>
    <xf numFmtId="165" fontId="9" fillId="0" borderId="0" xfId="0" applyNumberFormat="1" applyFont="1" applyAlignment="1">
      <alignment horizontal="left" vertical="center"/>
    </xf>
    <xf numFmtId="0" fontId="20" fillId="0" borderId="0" xfId="0" pivotButton="1" applyFont="1" applyAlignment="1">
      <alignment vertical="center"/>
    </xf>
    <xf numFmtId="0" fontId="20" fillId="0" borderId="0" xfId="0" applyFont="1" applyAlignment="1">
      <alignment horizontal="right" vertical="center"/>
    </xf>
    <xf numFmtId="0" fontId="10" fillId="0" borderId="0" xfId="2" applyFont="1" applyAlignment="1">
      <alignment horizontal="left" vertical="center"/>
    </xf>
  </cellXfs>
  <cellStyles count="6">
    <cellStyle name="Heading 1 2" xfId="1" xr:uid="{3ED76E77-6BFF-49E4-805C-873BCED8AB16}"/>
    <cellStyle name="Heading 2 2" xfId="3" xr:uid="{77168617-36C3-4744-BE1D-4D26A8470425}"/>
    <cellStyle name="Hyperlink" xfId="5" builtinId="8"/>
    <cellStyle name="Normal" xfId="0" builtinId="0"/>
    <cellStyle name="Normal 2" xfId="2" xr:uid="{35BCDD4E-A385-4FD8-BAA8-8D52116008E4}"/>
    <cellStyle name="Normal 3" xfId="4" xr:uid="{C3450446-C10F-491D-9E1B-6C6A1DFD6A4C}"/>
  </cellStyles>
  <dxfs count="215">
    <dxf>
      <alignment vertical="center"/>
    </dxf>
    <dxf>
      <alignment vertical="center"/>
    </dxf>
    <dxf>
      <alignment vertical="center"/>
    </dxf>
    <dxf>
      <alignment vertical="center"/>
    </dxf>
    <dxf>
      <alignment vertical="center"/>
    </dxf>
    <dxf>
      <alignment vertical="center"/>
    </dxf>
    <dxf>
      <font>
        <sz val="10"/>
        <name val="Segoe UI Semibold"/>
        <scheme val="major"/>
      </font>
    </dxf>
    <dxf>
      <font>
        <sz val="10"/>
        <name val="Segoe UI Semibold"/>
        <scheme val="major"/>
      </font>
    </dxf>
    <dxf>
      <font>
        <sz val="10"/>
        <name val="Segoe UI Semibold"/>
        <scheme val="major"/>
      </font>
    </dxf>
    <dxf>
      <font>
        <sz val="10"/>
        <name val="Segoe UI Semibold"/>
        <scheme val="major"/>
      </font>
    </dxf>
    <dxf>
      <font>
        <sz val="10"/>
        <name val="Segoe UI Semibold"/>
        <scheme val="major"/>
      </font>
    </dxf>
    <dxf>
      <font>
        <sz val="10"/>
        <name val="Segoe UI Semibold"/>
        <scheme val="major"/>
      </font>
    </dxf>
    <dxf>
      <font>
        <b/>
      </font>
    </dxf>
    <dxf>
      <font>
        <b/>
      </font>
    </dxf>
    <dxf>
      <alignment horizontal="right"/>
    </dxf>
    <dxf>
      <numFmt numFmtId="4" formatCode="#,##0.00"/>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b/>
      </font>
    </dxf>
    <dxf>
      <font>
        <b/>
      </font>
    </dxf>
    <dxf>
      <numFmt numFmtId="3" formatCode="#,##0"/>
    </dxf>
    <dxf>
      <alignment horizontal="right"/>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numFmt numFmtId="4" formatCode="#,##0.00"/>
    </dxf>
    <dxf>
      <numFmt numFmtId="4" formatCode="#,##0.00"/>
    </dxf>
    <dxf>
      <numFmt numFmtId="4" formatCode="#,##0.00"/>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rgb="FF505C6D"/>
        <name val="Segoe UI"/>
        <family val="2"/>
        <scheme val="none"/>
      </font>
    </dxf>
    <dxf>
      <font>
        <b val="0"/>
        <i val="0"/>
        <strike val="0"/>
        <condense val="0"/>
        <extend val="0"/>
        <outline val="0"/>
        <shadow val="0"/>
        <u val="none"/>
        <vertAlign val="baseline"/>
        <sz val="10"/>
        <color auto="1"/>
        <name val="Segoe UI Semibold"/>
        <family val="2"/>
        <scheme val="major"/>
      </font>
    </dxf>
    <dxf>
      <numFmt numFmtId="0" formatCode="General"/>
    </dxf>
    <dxf>
      <numFmt numFmtId="0" formatCode="General"/>
    </dxf>
    <dxf>
      <numFmt numFmtId="19" formatCode="d/mm/yyyy"/>
    </dxf>
    <dxf>
      <numFmt numFmtId="19" formatCode="d/mm/yyyy"/>
    </dxf>
    <dxf>
      <numFmt numFmtId="0" formatCode="General"/>
    </dxf>
    <dxf>
      <numFmt numFmtId="0" formatCode="General"/>
    </dxf>
    <dxf>
      <numFmt numFmtId="0" formatCode="Genera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font>
        <b/>
        <i val="0"/>
        <strike val="0"/>
        <condense val="0"/>
        <extend val="0"/>
        <outline val="0"/>
        <shadow val="0"/>
        <u val="none"/>
        <vertAlign val="baseline"/>
        <sz val="11"/>
        <color auto="1"/>
        <name val="Segoe UI"/>
        <family val="2"/>
        <scheme val="minor"/>
      </font>
      <numFmt numFmtId="30" formatCode="@"/>
      <fill>
        <patternFill patternType="solid">
          <fgColor indexed="64"/>
          <bgColor rgb="FFC0C0C0"/>
        </patternFill>
      </fill>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numFmt numFmtId="4" formatCode="#,##0.00"/>
    </dxf>
    <dxf>
      <alignment horizontal="right"/>
    </dxf>
    <dxf>
      <font>
        <b/>
      </font>
    </dxf>
    <dxf>
      <font>
        <b/>
      </font>
    </dxf>
    <dxf>
      <font>
        <sz val="10"/>
        <name val="Segoe UI Semibold"/>
        <scheme val="major"/>
      </font>
    </dxf>
    <dxf>
      <font>
        <sz val="10"/>
        <name val="Segoe UI Semibold"/>
        <scheme val="major"/>
      </font>
    </dxf>
    <dxf>
      <font>
        <sz val="10"/>
        <name val="Segoe UI Semibold"/>
        <scheme val="major"/>
      </font>
    </dxf>
    <dxf>
      <font>
        <sz val="10"/>
        <name val="Segoe UI Semibold"/>
        <scheme val="major"/>
      </font>
    </dxf>
    <dxf>
      <font>
        <sz val="10"/>
        <name val="Segoe UI Semibold"/>
        <scheme val="major"/>
      </font>
    </dxf>
    <dxf>
      <font>
        <sz val="10"/>
        <name val="Segoe UI Semibold"/>
        <scheme val="major"/>
      </font>
    </dxf>
    <dxf>
      <alignment vertical="center"/>
    </dxf>
    <dxf>
      <alignment vertical="center"/>
    </dxf>
    <dxf>
      <alignment vertical="center"/>
    </dxf>
    <dxf>
      <alignment vertical="center"/>
    </dxf>
    <dxf>
      <alignment vertical="center"/>
    </dxf>
    <dxf>
      <alignment vertical="center"/>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font>
        <sz val="10"/>
      </font>
    </dxf>
    <dxf>
      <numFmt numFmtId="4" formatCode="#,##0.00"/>
    </dxf>
    <dxf>
      <numFmt numFmtId="4" formatCode="#,##0.00"/>
    </dxf>
    <dxf>
      <numFmt numFmtId="4" formatCode="#,##0.00"/>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vertical="center"/>
    </dxf>
    <dxf>
      <alignment horizontal="right"/>
    </dxf>
    <dxf>
      <numFmt numFmtId="3" formatCode="#,##0"/>
    </dxf>
    <dxf>
      <font>
        <b/>
      </font>
    </dxf>
    <dxf>
      <font>
        <b/>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ont>
        <name val="Segoe UI Semibold"/>
        <scheme val="major"/>
      </font>
    </dxf>
    <dxf>
      <fill>
        <patternFill>
          <bgColor theme="0"/>
        </patternFill>
      </fill>
    </dxf>
    <dxf>
      <fill>
        <patternFill>
          <bgColor theme="2"/>
        </patternFill>
      </fill>
    </dxf>
    <dxf>
      <font>
        <color theme="1"/>
      </font>
      <fill>
        <patternFill>
          <bgColor theme="5"/>
        </patternFill>
      </fill>
      <border>
        <horizontal/>
      </border>
    </dxf>
    <dxf>
      <border>
        <top style="thin">
          <color theme="4"/>
        </top>
        <bottom style="thin">
          <color theme="4"/>
        </bottom>
        <horizontal style="thin">
          <color theme="4"/>
        </horizontal>
      </border>
    </dxf>
    <dxf>
      <font>
        <sz val="10"/>
        <color theme="1"/>
        <name val="Segoe UI Semibold"/>
        <family val="2"/>
        <scheme val="major"/>
      </font>
    </dxf>
    <dxf>
      <font>
        <sz val="10"/>
        <color theme="1"/>
        <name val="Segoe UI"/>
        <family val="2"/>
        <scheme val="minor"/>
      </font>
      <border diagonalUp="1">
        <left style="thin">
          <color theme="6"/>
        </left>
        <right style="thin">
          <color theme="6"/>
        </right>
        <top style="thin">
          <color theme="6"/>
        </top>
        <bottom style="thin">
          <color theme="6"/>
        </bottom>
        <diagonal style="thin">
          <color theme="6"/>
        </diagonal>
      </border>
    </dxf>
    <dxf>
      <fill>
        <patternFill>
          <bgColor rgb="FFF6F7F8"/>
        </patternFill>
      </fill>
    </dxf>
    <dxf>
      <border>
        <top style="thin">
          <color theme="1"/>
        </top>
        <bottom style="thick">
          <color theme="1"/>
        </bottom>
      </border>
    </dxf>
    <dxf>
      <font>
        <color theme="1"/>
      </font>
      <fill>
        <patternFill>
          <bgColor theme="5"/>
        </patternFill>
      </fill>
      <border diagonalUp="0" diagonalDown="0">
        <left/>
        <right/>
        <top style="thin">
          <color theme="4"/>
        </top>
        <bottom style="thin">
          <color theme="4"/>
        </bottom>
        <vertical/>
        <horizontal/>
      </border>
    </dxf>
    <dxf>
      <border>
        <horizontal style="thin">
          <color theme="4"/>
        </horizontal>
      </border>
    </dxf>
    <dxf>
      <fill>
        <patternFill>
          <bgColor rgb="FFF6F7F8"/>
        </patternFill>
      </fill>
    </dxf>
    <dxf>
      <font>
        <b/>
        <i val="0"/>
      </font>
      <border>
        <top style="thin">
          <color theme="1"/>
        </top>
        <bottom style="thick">
          <color theme="1"/>
        </bottom>
      </border>
    </dxf>
    <dxf>
      <font>
        <color theme="1"/>
      </font>
      <fill>
        <patternFill>
          <bgColor theme="5"/>
        </patternFill>
      </fill>
      <border diagonalUp="0" diagonalDown="0">
        <left/>
        <right/>
        <top style="thin">
          <color theme="4"/>
        </top>
        <bottom style="thin">
          <color theme="4"/>
        </bottom>
        <vertical/>
        <horizontal/>
      </border>
    </dxf>
    <dxf>
      <border>
        <horizontal style="thin">
          <color theme="4"/>
        </horizontal>
      </border>
    </dxf>
  </dxfs>
  <tableStyles count="4" defaultTableStyle="Business Central Reports Table Style" defaultPivotStyle="PivotStyleLight16">
    <tableStyle name="Business Central Pivot Table Style (Template)" table="0" count="4" xr9:uid="{5804EFF0-3EFD-4FFE-99B3-DFA3B3BAFC22}">
      <tableStyleElement type="wholeTable" dxfId="214"/>
      <tableStyleElement type="headerRow" dxfId="213"/>
      <tableStyleElement type="totalRow" dxfId="212"/>
      <tableStyleElement type="secondRowStripe" dxfId="211"/>
    </tableStyle>
    <tableStyle name="Business Central PivotTable Style (Template)" table="0" count="4" xr9:uid="{75B860A9-7EBC-42FA-B7BA-96F7FA608B54}">
      <tableStyleElement type="wholeTable" dxfId="210"/>
      <tableStyleElement type="headerRow" dxfId="209"/>
      <tableStyleElement type="totalRow" dxfId="208"/>
      <tableStyleElement type="secondRowStripe" dxfId="207"/>
    </tableStyle>
    <tableStyle name="Business Central Reports Slicer Style (Template)" pivot="0" table="0" count="10" xr9:uid="{D2691BD7-00E1-49CC-9D77-4AEF8FA9E64D}">
      <tableStyleElement type="wholeTable" dxfId="206"/>
      <tableStyleElement type="headerRow" dxfId="205"/>
    </tableStyle>
    <tableStyle name="Business Central Reports Table Style" pivot="0" count="4" xr9:uid="{50C651C7-C524-48F3-A090-266E3BAF4D61}">
      <tableStyleElement type="wholeTable" dxfId="204"/>
      <tableStyleElement type="headerRow" dxfId="203"/>
      <tableStyleElement type="firstRowStripe" dxfId="202"/>
      <tableStyleElement type="secondRowStripe" dxfId="201"/>
    </tableStyle>
  </tableStyles>
  <colors>
    <mruColors>
      <color rgb="FF66D4DB"/>
      <color rgb="FF212121"/>
    </mruColors>
  </colors>
  <extLst>
    <ext xmlns:x14="http://schemas.microsoft.com/office/spreadsheetml/2009/9/main" uri="{46F421CA-312F-682f-3DD2-61675219B42D}">
      <x14:dxfs count="8">
        <dxf>
          <font>
            <sz val="10"/>
          </font>
          <border diagonalUp="0" diagonalDown="0">
            <left style="thin">
              <color rgb="FF212121"/>
            </left>
            <right style="thin">
              <color rgb="FF212121"/>
            </right>
            <top style="thin">
              <color rgb="FF212121"/>
            </top>
            <bottom style="thin">
              <color rgb="FF212121"/>
            </bottom>
            <vertical/>
            <horizontal/>
          </border>
        </dxf>
        <dxf>
          <font>
            <sz val="10"/>
          </font>
          <border>
            <left style="thin">
              <color rgb="FF212121"/>
            </left>
            <right style="thin">
              <color rgb="FF212121"/>
            </right>
            <top style="thin">
              <color rgb="FF212121"/>
            </top>
            <bottom style="thin">
              <color rgb="FF212121"/>
            </bottom>
          </border>
        </dxf>
        <dxf>
          <font>
            <sz val="10"/>
          </font>
          <border>
            <left style="thin">
              <color rgb="FF212121"/>
            </left>
            <right style="thin">
              <color rgb="FF212121"/>
            </right>
            <top style="thin">
              <color rgb="FF212121"/>
            </top>
            <bottom style="thin">
              <color rgb="FF212121"/>
            </bottom>
          </border>
        </dxf>
        <dxf>
          <font>
            <sz val="10"/>
          </font>
          <border diagonalUp="0" diagonalDown="0">
            <left style="thin">
              <color rgb="FF212121"/>
            </left>
            <right style="thin">
              <color rgb="FF212121"/>
            </right>
            <top style="thin">
              <color rgb="FF212121"/>
            </top>
            <bottom style="thin">
              <color rgb="FF212121"/>
            </bottom>
            <vertical/>
            <horizontal/>
          </border>
        </dxf>
        <dxf>
          <font>
            <b val="0"/>
            <i/>
            <sz val="10"/>
            <name val="Segoe UI Semibold"/>
            <family val="2"/>
            <scheme val="major"/>
          </font>
          <fill>
            <patternFill>
              <bgColor rgb="FFB2E9ED"/>
            </patternFill>
          </fill>
          <border>
            <left style="thin">
              <color rgb="FF00B7C3"/>
            </left>
            <right style="thin">
              <color rgb="FF00B7C3"/>
            </right>
            <top style="thin">
              <color rgb="FF00B7C3"/>
            </top>
            <bottom style="thin">
              <color rgb="FF00B7C3"/>
            </bottom>
          </border>
        </dxf>
        <dxf>
          <font>
            <sz val="10"/>
            <name val="Segoe UI Semibold"/>
            <family val="2"/>
            <scheme val="major"/>
          </font>
          <fill>
            <patternFill>
              <bgColor rgb="FFB2E9ED"/>
            </patternFill>
          </fill>
          <border>
            <left style="thin">
              <color rgb="FF00B7C3"/>
            </left>
            <right style="thin">
              <color rgb="FF00B7C3"/>
            </right>
            <top style="thin">
              <color rgb="FF00B7C3"/>
            </top>
            <bottom style="thin">
              <color rgb="FF00B7C3"/>
            </bottom>
          </border>
        </dxf>
        <dxf>
          <font>
            <b val="0"/>
            <i/>
            <sz val="10"/>
            <name val="Segoe UI"/>
            <family val="2"/>
            <scheme val="minor"/>
          </font>
          <fill>
            <patternFill>
              <bgColor rgb="FFF5F7F8"/>
            </patternFill>
          </fill>
        </dxf>
        <dxf>
          <font>
            <sz val="10"/>
          </font>
          <fill>
            <patternFill>
              <bgColor rgb="FFB2E9ED"/>
            </patternFill>
          </fill>
        </dxf>
      </x14:dxfs>
    </ext>
    <ext xmlns:x14="http://schemas.microsoft.com/office/spreadsheetml/2009/9/main" uri="{EB79DEF2-80B8-43e5-95BD-54CBDDF9020C}">
      <x14:slicerStyles defaultSlicerStyle="Business Central Reports Slicer Style (Template)">
        <x14:slicerStyle name="Business Central Reports Slicer Style (Template)">
          <x14:slicerStyleElements>
            <x14:slicerStyleElement type="unselectedItemWithData" dxfId="7"/>
            <x14:slicerStyleElement type="unselectedItemWithNoData" dxfId="6"/>
            <x14:slicerStyleElement type="selectedItemWithData" dxfId="5"/>
            <x14:slicerStyleElement type="selectedItemWithNoData" dxfId="4"/>
            <x14:slicerStyleElement type="hoveredUnselectedItemWithData" dxfId="3"/>
            <x14:slicerStyleElement type="hoveredSelectedItemWithData" dxfId="2"/>
            <x14:slicerStyleElement type="hoveredUnselectedItemWithNoData" dxfId="1"/>
            <x14:slicerStyleElement type="hoveredSelectedItemWithNoData" dxfId="0"/>
          </x14:slicerStyleElements>
        </x14:slicerStyle>
      </x14:slicerStyles>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microsoft.com/office/2007/relationships/slicerCache" Target="slicerCaches/slicerCache4.xml"/><Relationship Id="rId18"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customXml" Target="../customXml/item1.xml"/><Relationship Id="rId7" Type="http://schemas.openxmlformats.org/officeDocument/2006/relationships/worksheet" Target="worksheets/sheet7.xml"/><Relationship Id="rId12" Type="http://schemas.microsoft.com/office/2007/relationships/slicerCache" Target="slicerCaches/slicerCache3.xml"/><Relationship Id="rId17"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connections" Target="connections.xml"/><Relationship Id="rId20" Type="http://schemas.openxmlformats.org/officeDocument/2006/relationships/calcChain" Target="calcChain.xml"/><Relationship Id="rId1" Type="http://schemas.openxmlformats.org/officeDocument/2006/relationships/worksheet" Target="worksheets/sheet1.xml"/><Relationship Id="rId6" Type="http://schemas.openxmlformats.org/officeDocument/2006/relationships/worksheet" Target="worksheets/sheet6.xml"/><Relationship Id="rId11" Type="http://schemas.microsoft.com/office/2007/relationships/slicerCache" Target="slicerCaches/slicerCache2.xml"/><Relationship Id="rId5" Type="http://schemas.openxmlformats.org/officeDocument/2006/relationships/worksheet" Target="worksheets/sheet5.xml"/><Relationship Id="rId15" Type="http://schemas.openxmlformats.org/officeDocument/2006/relationships/theme" Target="theme/theme1.xml"/><Relationship Id="rId10" Type="http://schemas.microsoft.com/office/2007/relationships/slicerCache" Target="slicerCaches/slicerCache1.xml"/><Relationship Id="rId19" Type="http://schemas.openxmlformats.org/officeDocument/2006/relationships/sheetMetadata" Target="metadata.xml"/><Relationship Id="rId4" Type="http://schemas.openxmlformats.org/officeDocument/2006/relationships/worksheet" Target="worksheets/sheet4.xml"/><Relationship Id="rId9" Type="http://schemas.openxmlformats.org/officeDocument/2006/relationships/pivotCacheDefinition" Target="pivotCache/pivotCacheDefinition1.xml"/><Relationship Id="rId14" Type="http://schemas.microsoft.com/office/2007/relationships/slicerCache" Target="slicerCaches/slicerCache5.xml"/></Relationships>
</file>

<file path=xl/drawings/drawing1.xml><?xml version="1.0" encoding="utf-8"?>
<xdr:wsDr xmlns:xdr="http://schemas.openxmlformats.org/drawingml/2006/spreadsheetDrawing" xmlns:a="http://schemas.openxmlformats.org/drawingml/2006/main">
  <xdr:twoCellAnchor editAs="absolute">
    <xdr:from>
      <xdr:col>0</xdr:col>
      <xdr:colOff>0</xdr:colOff>
      <xdr:row>0</xdr:row>
      <xdr:rowOff>20954</xdr:rowOff>
    </xdr:from>
    <xdr:to>
      <xdr:col>0</xdr:col>
      <xdr:colOff>1816730</xdr:colOff>
      <xdr:row>10</xdr:row>
      <xdr:rowOff>106829</xdr:rowOff>
    </xdr:to>
    <mc:AlternateContent xmlns:mc="http://schemas.openxmlformats.org/markup-compatibility/2006" xmlns:a14="http://schemas.microsoft.com/office/drawing/2010/main">
      <mc:Choice Requires="a14">
        <xdr:graphicFrame macro="">
          <xdr:nvGraphicFramePr>
            <xdr:cNvPr id="3" name="$Status_ProductionOrder$">
              <a:extLst>
                <a:ext uri="{FF2B5EF4-FFF2-40B4-BE49-F238E27FC236}">
                  <a16:creationId xmlns:a16="http://schemas.microsoft.com/office/drawing/2014/main" id="{9DC39B4F-7350-0A2D-400A-56499A8CB445}"/>
                </a:ext>
              </a:extLst>
            </xdr:cNvPr>
            <xdr:cNvGraphicFramePr/>
          </xdr:nvGraphicFramePr>
          <xdr:xfrm>
            <a:off x="0" y="0"/>
            <a:ext cx="0" cy="0"/>
          </xdr:xfrm>
          <a:graphic>
            <a:graphicData uri="http://schemas.microsoft.com/office/drawing/2010/slicer">
              <sle:slicer xmlns:sle="http://schemas.microsoft.com/office/drawing/2010/slicer" name="$Status_ProductionOrder$"/>
            </a:graphicData>
          </a:graphic>
        </xdr:graphicFrame>
      </mc:Choice>
      <mc:Fallback xmlns="">
        <xdr:sp macro="" textlink="">
          <xdr:nvSpPr>
            <xdr:cNvPr id="0" name=""/>
            <xdr:cNvSpPr>
              <a:spLocks noTextEdit="1"/>
            </xdr:cNvSpPr>
          </xdr:nvSpPr>
          <xdr:spPr>
            <a:xfrm>
              <a:off x="0" y="9524"/>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1859280</xdr:colOff>
      <xdr:row>0</xdr:row>
      <xdr:rowOff>20954</xdr:rowOff>
    </xdr:from>
    <xdr:to>
      <xdr:col>0</xdr:col>
      <xdr:colOff>3687440</xdr:colOff>
      <xdr:row>10</xdr:row>
      <xdr:rowOff>106829</xdr:rowOff>
    </xdr:to>
    <mc:AlternateContent xmlns:mc="http://schemas.openxmlformats.org/markup-compatibility/2006" xmlns:a14="http://schemas.microsoft.com/office/drawing/2010/main">
      <mc:Choice Requires="a14">
        <xdr:graphicFrame macro="">
          <xdr:nvGraphicFramePr>
            <xdr:cNvPr id="8" name="$No_ProductionOrder$">
              <a:extLst>
                <a:ext uri="{FF2B5EF4-FFF2-40B4-BE49-F238E27FC236}">
                  <a16:creationId xmlns:a16="http://schemas.microsoft.com/office/drawing/2014/main" id="{05289F04-DB55-28F9-6EBE-7F9CFBF58EA6}"/>
                </a:ext>
              </a:extLst>
            </xdr:cNvPr>
            <xdr:cNvGraphicFramePr/>
          </xdr:nvGraphicFramePr>
          <xdr:xfrm>
            <a:off x="0" y="0"/>
            <a:ext cx="0" cy="0"/>
          </xdr:xfrm>
          <a:graphic>
            <a:graphicData uri="http://schemas.microsoft.com/office/drawing/2010/slicer">
              <sle:slicer xmlns:sle="http://schemas.microsoft.com/office/drawing/2010/slicer" name="$No_ProductionOrder$"/>
            </a:graphicData>
          </a:graphic>
        </xdr:graphicFrame>
      </mc:Choice>
      <mc:Fallback xmlns="">
        <xdr:sp macro="" textlink="">
          <xdr:nvSpPr>
            <xdr:cNvPr id="0" name=""/>
            <xdr:cNvSpPr>
              <a:spLocks noTextEdit="1"/>
            </xdr:cNvSpPr>
          </xdr:nvSpPr>
          <xdr:spPr>
            <a:xfrm>
              <a:off x="1847850" y="9524"/>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1859280</xdr:colOff>
      <xdr:row>10</xdr:row>
      <xdr:rowOff>144779</xdr:rowOff>
    </xdr:from>
    <xdr:to>
      <xdr:col>0</xdr:col>
      <xdr:colOff>3687440</xdr:colOff>
      <xdr:row>21</xdr:row>
      <xdr:rowOff>30629</xdr:rowOff>
    </xdr:to>
    <mc:AlternateContent xmlns:mc="http://schemas.openxmlformats.org/markup-compatibility/2006" xmlns:a14="http://schemas.microsoft.com/office/drawing/2010/main">
      <mc:Choice Requires="a14">
        <xdr:graphicFrame macro="">
          <xdr:nvGraphicFramePr>
            <xdr:cNvPr id="9" name="$Desc_ProductionOrder$">
              <a:extLst>
                <a:ext uri="{FF2B5EF4-FFF2-40B4-BE49-F238E27FC236}">
                  <a16:creationId xmlns:a16="http://schemas.microsoft.com/office/drawing/2014/main" id="{4EC4ED32-92B1-159E-40B9-9B223821D6FC}"/>
                </a:ext>
              </a:extLst>
            </xdr:cNvPr>
            <xdr:cNvGraphicFramePr/>
          </xdr:nvGraphicFramePr>
          <xdr:xfrm>
            <a:off x="0" y="0"/>
            <a:ext cx="0" cy="0"/>
          </xdr:xfrm>
          <a:graphic>
            <a:graphicData uri="http://schemas.microsoft.com/office/drawing/2010/slicer">
              <sle:slicer xmlns:sle="http://schemas.microsoft.com/office/drawing/2010/slicer" name="$Desc_ProductionOrder$"/>
            </a:graphicData>
          </a:graphic>
        </xdr:graphicFrame>
      </mc:Choice>
      <mc:Fallback xmlns="">
        <xdr:sp macro="" textlink="">
          <xdr:nvSpPr>
            <xdr:cNvPr id="0" name=""/>
            <xdr:cNvSpPr>
              <a:spLocks noTextEdit="1"/>
            </xdr:cNvSpPr>
          </xdr:nvSpPr>
          <xdr:spPr>
            <a:xfrm>
              <a:off x="1847850" y="2657474"/>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0</xdr:colOff>
      <xdr:row>10</xdr:row>
      <xdr:rowOff>144779</xdr:rowOff>
    </xdr:from>
    <xdr:to>
      <xdr:col>0</xdr:col>
      <xdr:colOff>1816730</xdr:colOff>
      <xdr:row>21</xdr:row>
      <xdr:rowOff>30629</xdr:rowOff>
    </xdr:to>
    <mc:AlternateContent xmlns:mc="http://schemas.openxmlformats.org/markup-compatibility/2006" xmlns:a14="http://schemas.microsoft.com/office/drawing/2010/main">
      <mc:Choice Requires="a14">
        <xdr:graphicFrame macro="">
          <xdr:nvGraphicFramePr>
            <xdr:cNvPr id="10" name="$SrcType_ProductionOrder$">
              <a:extLst>
                <a:ext uri="{FF2B5EF4-FFF2-40B4-BE49-F238E27FC236}">
                  <a16:creationId xmlns:a16="http://schemas.microsoft.com/office/drawing/2014/main" id="{7746AB6D-89B6-A073-58A9-907C93441142}"/>
                </a:ext>
              </a:extLst>
            </xdr:cNvPr>
            <xdr:cNvGraphicFramePr/>
          </xdr:nvGraphicFramePr>
          <xdr:xfrm>
            <a:off x="0" y="0"/>
            <a:ext cx="0" cy="0"/>
          </xdr:xfrm>
          <a:graphic>
            <a:graphicData uri="http://schemas.microsoft.com/office/drawing/2010/slicer">
              <sle:slicer xmlns:sle="http://schemas.microsoft.com/office/drawing/2010/slicer" name="$SrcType_ProductionOrder$"/>
            </a:graphicData>
          </a:graphic>
        </xdr:graphicFrame>
      </mc:Choice>
      <mc:Fallback xmlns="">
        <xdr:sp macro="" textlink="">
          <xdr:nvSpPr>
            <xdr:cNvPr id="0" name=""/>
            <xdr:cNvSpPr>
              <a:spLocks noTextEdit="1"/>
            </xdr:cNvSpPr>
          </xdr:nvSpPr>
          <xdr:spPr>
            <a:xfrm>
              <a:off x="0" y="2657474"/>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twoCellAnchor editAs="absolute">
    <xdr:from>
      <xdr:col>0</xdr:col>
      <xdr:colOff>0</xdr:colOff>
      <xdr:row>21</xdr:row>
      <xdr:rowOff>68579</xdr:rowOff>
    </xdr:from>
    <xdr:to>
      <xdr:col>0</xdr:col>
      <xdr:colOff>1816730</xdr:colOff>
      <xdr:row>31</xdr:row>
      <xdr:rowOff>190649</xdr:rowOff>
    </xdr:to>
    <mc:AlternateContent xmlns:mc="http://schemas.openxmlformats.org/markup-compatibility/2006" xmlns:a14="http://schemas.microsoft.com/office/drawing/2010/main">
      <mc:Choice Requires="a14">
        <xdr:graphicFrame macro="">
          <xdr:nvGraphicFramePr>
            <xdr:cNvPr id="11" name="$SourceNo_ProductionOrder$">
              <a:extLst>
                <a:ext uri="{FF2B5EF4-FFF2-40B4-BE49-F238E27FC236}">
                  <a16:creationId xmlns:a16="http://schemas.microsoft.com/office/drawing/2014/main" id="{C53B8015-96A8-AA79-3DF5-6FBAD75E6362}"/>
                </a:ext>
              </a:extLst>
            </xdr:cNvPr>
            <xdr:cNvGraphicFramePr/>
          </xdr:nvGraphicFramePr>
          <xdr:xfrm>
            <a:off x="0" y="0"/>
            <a:ext cx="0" cy="0"/>
          </xdr:xfrm>
          <a:graphic>
            <a:graphicData uri="http://schemas.microsoft.com/office/drawing/2010/slicer">
              <sle:slicer xmlns:sle="http://schemas.microsoft.com/office/drawing/2010/slicer" name="$SourceNo_ProductionOrder$"/>
            </a:graphicData>
          </a:graphic>
        </xdr:graphicFrame>
      </mc:Choice>
      <mc:Fallback xmlns="">
        <xdr:sp macro="" textlink="">
          <xdr:nvSpPr>
            <xdr:cNvPr id="0" name=""/>
            <xdr:cNvSpPr>
              <a:spLocks noTextEdit="1"/>
            </xdr:cNvSpPr>
          </xdr:nvSpPr>
          <xdr:spPr>
            <a:xfrm>
              <a:off x="0" y="5305424"/>
              <a:ext cx="1818000" cy="2610000"/>
            </a:xfrm>
            <a:prstGeom prst="rect">
              <a:avLst/>
            </a:prstGeom>
            <a:solidFill>
              <a:prstClr val="white"/>
            </a:solidFill>
            <a:ln w="1">
              <a:solidFill>
                <a:prstClr val="green"/>
              </a:solidFill>
            </a:ln>
          </xdr:spPr>
          <xdr:txBody>
            <a:bodyPr vertOverflow="clip" horzOverflow="clip"/>
            <a:lstStyle/>
            <a:p>
              <a:r>
                <a:rPr lang="en-AU" sz="1100"/>
                <a:t>This shape represents a slicer. Slicers are supported in Excel 2010 or later.
If the shape was modified in an earlier version of Excel, or if the workbook was saved in Excel 2003 or earlier, the slicer cannot be used.</a:t>
              </a:r>
            </a:p>
          </xdr:txBody>
        </xdr:sp>
      </mc:Fallback>
    </mc:AlternateContent>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Daniel Williams" refreshedDate="45999.624956134256" createdVersion="8" refreshedVersion="8" minRefreshableVersion="3" recordCount="1" xr:uid="{F84C067B-8A4E-44B6-8A1C-DBC50FA6A6CD}">
  <cacheSource type="external" connectionId="2"/>
  <cacheFields count="13">
    <cacheField name="StartDate" numFmtId="0">
      <sharedItems containsString="0" containsBlank="1" count="1">
        <m/>
      </sharedItems>
    </cacheField>
    <cacheField name="EndDate" numFmtId="0">
      <sharedItems containsString="0" containsBlank="1" count="1">
        <m/>
      </sharedItems>
    </cacheField>
    <cacheField name="Status_ProductionOrder" numFmtId="0">
      <sharedItems count="1">
        <s v=""/>
      </sharedItems>
    </cacheField>
    <cacheField name="No_ProductionOrder" numFmtId="0">
      <sharedItems count="1">
        <s v=""/>
      </sharedItems>
    </cacheField>
    <cacheField name="Desc_ProductionOrder" numFmtId="0">
      <sharedItems count="1">
        <s v=""/>
      </sharedItems>
    </cacheField>
    <cacheField name="SrcType_ProductionOrder" numFmtId="0">
      <sharedItems count="1">
        <s v=""/>
      </sharedItems>
    </cacheField>
    <cacheField name="SourceNo_ProductionOrder" numFmtId="0">
      <sharedItems count="1">
        <s v=""/>
      </sharedItems>
    </cacheField>
    <cacheField name="LastWIP" numFmtId="0">
      <sharedItems containsSemiMixedTypes="0" containsString="0" containsNumber="1" containsInteger="1" minValue="0" maxValue="0" count="1">
        <n v="0"/>
      </sharedItems>
    </cacheField>
    <cacheField name="ValueOfMatConsump" numFmtId="0">
      <sharedItems containsSemiMixedTypes="0" containsString="0" containsNumber="1" containsInteger="1" minValue="0" maxValue="0" count="1">
        <n v="0"/>
      </sharedItems>
    </cacheField>
    <cacheField name="ValueOfCap" numFmtId="0">
      <sharedItems containsSemiMixedTypes="0" containsString="0" containsNumber="1" containsInteger="1" minValue="0" maxValue="0" count="1">
        <n v="0"/>
      </sharedItems>
    </cacheField>
    <cacheField name="LastOutput" numFmtId="0">
      <sharedItems containsSemiMixedTypes="0" containsString="0" containsNumber="1" containsInteger="1" minValue="0" maxValue="0" count="1">
        <n v="0"/>
      </sharedItems>
    </cacheField>
    <cacheField name="AtLastDate" numFmtId="0">
      <sharedItems containsSemiMixedTypes="0" containsString="0" containsNumber="1" containsInteger="1" minValue="0" maxValue="0" count="1">
        <n v="0"/>
      </sharedItems>
    </cacheField>
    <cacheField name="ValueEntryCostPostedtoGL" numFmtId="0">
      <sharedItems containsSemiMixedTypes="0" containsString="0" containsNumber="1" containsInteger="1" minValue="0" maxValue="0" count="1">
        <n v="0"/>
      </sharedItems>
    </cacheField>
  </cacheFields>
  <extLst>
    <ext xmlns:x14="http://schemas.microsoft.com/office/spreadsheetml/2009/9/main" uri="{725AE2AE-9491-48be-B2B4-4EB974FC3084}">
      <x14:pivotCacheDefinition pivotCacheId="1595405139"/>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
  <r>
    <x v="0"/>
    <x v="0"/>
    <x v="0"/>
    <x v="0"/>
    <x v="0"/>
    <x v="0"/>
    <x v="0"/>
    <x v="0"/>
    <x v="0"/>
    <x v="0"/>
    <x v="0"/>
    <x v="0"/>
    <x v="0"/>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26838B12-5EAC-4E04-8CE6-28F88D50B244}" name="PivotTable1" cacheId="5" applyNumberFormats="0" applyBorderFormats="0" applyFontFormats="0" applyPatternFormats="0" applyAlignmentFormats="0" applyWidthHeightFormats="1" dataCaption="Values" updatedVersion="8" minRefreshableVersion="3" showDrill="0" colGrandTotals="0" itemPrintTitles="1" createdVersion="8" indent="0" compact="0" compactData="0" multipleFieldFilters="0">
  <location ref="B7:L9" firstHeaderRow="0" firstDataRow="1" firstDataCol="5"/>
  <pivotFields count="13">
    <pivotField compact="0" outline="0" subtotalTop="0" showAll="0" defaultSubtotal="0"/>
    <pivotField compact="0" outline="0" subtotalTop="0" showAll="0" defaultSubtotal="0"/>
    <pivotField name="$Status_ProductionOrder$" axis="axisRow" compact="0" outline="0" subtotalTop="0" showAll="0" defaultSubtotal="0">
      <items count="1">
        <item x="0"/>
      </items>
    </pivotField>
    <pivotField name="$No_ProductionOrder$" axis="axisRow" compact="0" outline="0" subtotalTop="0" showAll="0" defaultSubtotal="0">
      <items count="1">
        <item x="0"/>
      </items>
    </pivotField>
    <pivotField name="$Desc_ProductionOrder$" axis="axisRow" compact="0" outline="0" subtotalTop="0" showAll="0" defaultSubtotal="0">
      <items count="1">
        <item x="0"/>
      </items>
    </pivotField>
    <pivotField name="$SrcType_ProductionOrder$" axis="axisRow" compact="0" outline="0" subtotalTop="0" showAll="0" defaultSubtotal="0">
      <items count="1">
        <item x="0"/>
      </items>
    </pivotField>
    <pivotField name="$SourceNo_ProductionOrder$" axis="axisRow" compact="0" outline="0" subtotalTop="0" showAll="0" defaultSubtotal="0">
      <items count="1">
        <item x="0"/>
      </items>
    </pivotField>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 dataField="1" compact="0" outline="0" subtotalTop="0" showAll="0" defaultSubtotal="0"/>
  </pivotFields>
  <rowFields count="5">
    <field x="2"/>
    <field x="3"/>
    <field x="4"/>
    <field x="5"/>
    <field x="6"/>
  </rowFields>
  <rowItems count="2">
    <i>
      <x/>
      <x/>
      <x/>
      <x/>
      <x/>
    </i>
    <i t="grand">
      <x/>
    </i>
  </rowItems>
  <colFields count="1">
    <field x="-2"/>
  </colFields>
  <colItems count="6">
    <i>
      <x/>
    </i>
    <i i="1">
      <x v="1"/>
    </i>
    <i i="2">
      <x v="2"/>
    </i>
    <i i="3">
      <x v="3"/>
    </i>
    <i i="4">
      <x v="4"/>
    </i>
    <i i="5">
      <x v="5"/>
    </i>
  </colItems>
  <dataFields count="6">
    <dataField name="$AsOfStartDateLbl$" fld="7" baseField="4" baseItem="0"/>
    <dataField name="$ConsumptionLbl$" fld="8" baseField="4" baseItem="0"/>
    <dataField name="$CapacityLbl$" fld="9" baseField="4" baseItem="0"/>
    <dataField name="$OutputLbl$" fld="10" baseField="4" baseItem="0"/>
    <dataField name="$AsOfEndDateLbl$" fld="11" baseField="4" baseItem="0"/>
    <dataField name="$CostPostedToGLLbl$" fld="12" baseField="6" baseItem="0"/>
  </dataFields>
  <formats count="41">
    <format dxfId="200">
      <pivotArea field="6" type="button" dataOnly="0" labelOnly="1" outline="0" axis="axisRow" fieldPosition="4"/>
    </format>
    <format dxfId="199">
      <pivotArea field="4" type="button" dataOnly="0" labelOnly="1" outline="0" axis="axisRow" fieldPosition="2"/>
    </format>
    <format dxfId="198">
      <pivotArea field="5" type="button" dataOnly="0" labelOnly="1" outline="0" axis="axisRow" fieldPosition="3"/>
    </format>
    <format dxfId="197">
      <pivotArea field="2" type="button" dataOnly="0" labelOnly="1" outline="0" axis="axisRow" fieldPosition="0"/>
    </format>
    <format dxfId="196">
      <pivotArea field="3" type="button" dataOnly="0" labelOnly="1" outline="0" axis="axisRow" fieldPosition="1"/>
    </format>
    <format dxfId="195">
      <pivotArea dataOnly="0" labelOnly="1" outline="0" fieldPosition="0">
        <references count="1">
          <reference field="4294967294" count="6">
            <x v="0"/>
            <x v="1"/>
            <x v="2"/>
            <x v="3"/>
            <x v="4"/>
            <x v="5"/>
          </reference>
        </references>
      </pivotArea>
    </format>
    <format dxfId="194">
      <pivotArea grandRow="1" outline="0" collapsedLevelsAreSubtotals="1" fieldPosition="0"/>
    </format>
    <format dxfId="193">
      <pivotArea dataOnly="0" labelOnly="1" grandRow="1" outline="0" fieldPosition="0"/>
    </format>
    <format dxfId="192">
      <pivotArea outline="0" collapsedLevelsAreSubtotals="1" fieldPosition="0"/>
    </format>
    <format dxfId="191">
      <pivotArea dataOnly="0" labelOnly="1" outline="0" fieldPosition="0">
        <references count="1">
          <reference field="4294967294" count="6">
            <x v="0"/>
            <x v="1"/>
            <x v="2"/>
            <x v="3"/>
            <x v="4"/>
            <x v="5"/>
          </reference>
        </references>
      </pivotArea>
    </format>
    <format dxfId="190">
      <pivotArea type="all" dataOnly="0" outline="0" fieldPosition="0"/>
    </format>
    <format dxfId="189">
      <pivotArea outline="0" collapsedLevelsAreSubtotals="1" fieldPosition="0"/>
    </format>
    <format dxfId="188">
      <pivotArea field="2" type="button" dataOnly="0" labelOnly="1" outline="0" axis="axisRow" fieldPosition="0"/>
    </format>
    <format dxfId="187">
      <pivotArea field="3" type="button" dataOnly="0" labelOnly="1" outline="0" axis="axisRow" fieldPosition="1"/>
    </format>
    <format dxfId="186">
      <pivotArea field="4" type="button" dataOnly="0" labelOnly="1" outline="0" axis="axisRow" fieldPosition="2"/>
    </format>
    <format dxfId="185">
      <pivotArea field="5" type="button" dataOnly="0" labelOnly="1" outline="0" axis="axisRow" fieldPosition="3"/>
    </format>
    <format dxfId="184">
      <pivotArea field="6" type="button" dataOnly="0" labelOnly="1" outline="0" axis="axisRow" fieldPosition="4"/>
    </format>
    <format dxfId="183">
      <pivotArea dataOnly="0" labelOnly="1" outline="0" fieldPosition="0">
        <references count="1">
          <reference field="2" count="0"/>
        </references>
      </pivotArea>
    </format>
    <format dxfId="182">
      <pivotArea dataOnly="0" labelOnly="1" grandRow="1" outline="0" fieldPosition="0"/>
    </format>
    <format dxfId="181">
      <pivotArea dataOnly="0" labelOnly="1" outline="0" fieldPosition="0">
        <references count="2">
          <reference field="2" count="0" selected="0"/>
          <reference field="3" count="0"/>
        </references>
      </pivotArea>
    </format>
    <format dxfId="180">
      <pivotArea dataOnly="0" labelOnly="1" outline="0" fieldPosition="0">
        <references count="3">
          <reference field="2" count="0" selected="0"/>
          <reference field="3" count="0" selected="0"/>
          <reference field="4" count="0"/>
        </references>
      </pivotArea>
    </format>
    <format dxfId="179">
      <pivotArea dataOnly="0" labelOnly="1" outline="0" fieldPosition="0">
        <references count="4">
          <reference field="2" count="0" selected="0"/>
          <reference field="3" count="0" selected="0"/>
          <reference field="4" count="0" selected="0"/>
          <reference field="5" count="0"/>
        </references>
      </pivotArea>
    </format>
    <format dxfId="178">
      <pivotArea dataOnly="0" labelOnly="1" outline="0" fieldPosition="0">
        <references count="5">
          <reference field="2" count="0" selected="0"/>
          <reference field="3" count="0" selected="0"/>
          <reference field="4" count="0" selected="0"/>
          <reference field="5" count="0" selected="0"/>
          <reference field="6" count="0"/>
        </references>
      </pivotArea>
    </format>
    <format dxfId="177">
      <pivotArea dataOnly="0" labelOnly="1" outline="0" fieldPosition="0">
        <references count="1">
          <reference field="4294967294" count="6">
            <x v="0"/>
            <x v="1"/>
            <x v="2"/>
            <x v="3"/>
            <x v="4"/>
            <x v="5"/>
          </reference>
        </references>
      </pivotArea>
    </format>
    <format dxfId="176">
      <pivotArea field="2" grandRow="1" outline="0" axis="axisRow" fieldPosition="0">
        <references count="1">
          <reference field="4294967294" count="1" selected="0">
            <x v="1"/>
          </reference>
        </references>
      </pivotArea>
    </format>
    <format dxfId="175">
      <pivotArea grandRow="1" outline="0" collapsedLevelsAreSubtotals="1" fieldPosition="0"/>
    </format>
    <format dxfId="174">
      <pivotArea outline="0" fieldPosition="0">
        <references count="5">
          <reference field="2" count="0" selected="0"/>
          <reference field="3" count="0" selected="0"/>
          <reference field="4" count="0" selected="0"/>
          <reference field="5" count="0" selected="0"/>
          <reference field="6" count="0" selected="0"/>
        </references>
      </pivotArea>
    </format>
    <format dxfId="173">
      <pivotArea type="all" dataOnly="0" outline="0" fieldPosition="0"/>
    </format>
    <format dxfId="172">
      <pivotArea outline="0" collapsedLevelsAreSubtotals="1" fieldPosition="0"/>
    </format>
    <format dxfId="171">
      <pivotArea field="2" type="button" dataOnly="0" labelOnly="1" outline="0" axis="axisRow" fieldPosition="0"/>
    </format>
    <format dxfId="170">
      <pivotArea field="3" type="button" dataOnly="0" labelOnly="1" outline="0" axis="axisRow" fieldPosition="1"/>
    </format>
    <format dxfId="169">
      <pivotArea field="4" type="button" dataOnly="0" labelOnly="1" outline="0" axis="axisRow" fieldPosition="2"/>
    </format>
    <format dxfId="168">
      <pivotArea field="5" type="button" dataOnly="0" labelOnly="1" outline="0" axis="axisRow" fieldPosition="3"/>
    </format>
    <format dxfId="167">
      <pivotArea field="6" type="button" dataOnly="0" labelOnly="1" outline="0" axis="axisRow" fieldPosition="4"/>
    </format>
    <format dxfId="166">
      <pivotArea dataOnly="0" labelOnly="1" outline="0" fieldPosition="0">
        <references count="1">
          <reference field="2" count="0"/>
        </references>
      </pivotArea>
    </format>
    <format dxfId="165">
      <pivotArea dataOnly="0" labelOnly="1" grandRow="1" outline="0" fieldPosition="0"/>
    </format>
    <format dxfId="164">
      <pivotArea dataOnly="0" labelOnly="1" outline="0" fieldPosition="0">
        <references count="2">
          <reference field="2" count="0" selected="0"/>
          <reference field="3" count="0"/>
        </references>
      </pivotArea>
    </format>
    <format dxfId="163">
      <pivotArea dataOnly="0" labelOnly="1" outline="0" fieldPosition="0">
        <references count="3">
          <reference field="2" count="0" selected="0"/>
          <reference field="3" count="0" selected="0"/>
          <reference field="4" count="0"/>
        </references>
      </pivotArea>
    </format>
    <format dxfId="162">
      <pivotArea dataOnly="0" labelOnly="1" outline="0" fieldPosition="0">
        <references count="4">
          <reference field="2" count="0" selected="0"/>
          <reference field="3" count="0" selected="0"/>
          <reference field="4" count="0" selected="0"/>
          <reference field="5" count="0"/>
        </references>
      </pivotArea>
    </format>
    <format dxfId="161">
      <pivotArea dataOnly="0" labelOnly="1" outline="0" fieldPosition="0">
        <references count="5">
          <reference field="2" count="0" selected="0"/>
          <reference field="3" count="0" selected="0"/>
          <reference field="4" count="0" selected="0"/>
          <reference field="5" count="0" selected="0"/>
          <reference field="6" count="0"/>
        </references>
      </pivotArea>
    </format>
    <format dxfId="160">
      <pivotArea dataOnly="0" labelOnly="1" outline="0" fieldPosition="0">
        <references count="1">
          <reference field="4294967294" count="6">
            <x v="0"/>
            <x v="1"/>
            <x v="2"/>
            <x v="3"/>
            <x v="4"/>
            <x v="5"/>
          </reference>
        </references>
      </pivotArea>
    </format>
  </formats>
  <pivotTableStyleInfo name="Business Central Pivot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E0A05390-8050-45E7-A901-24220CEE09D4}" name="PivotTable1" cacheId="5" applyNumberFormats="0" applyBorderFormats="0" applyFontFormats="0" applyPatternFormats="0" applyAlignmentFormats="0" applyWidthHeightFormats="1" dataCaption="Values" updatedVersion="8" minRefreshableVersion="3" showDrill="0" useAutoFormatting="1" colGrandTotals="0" itemPrintTitles="1" createdVersion="8" indent="0" compact="0" compactData="0" multipleFieldFilters="0">
  <location ref="B1:L3" firstHeaderRow="0" firstDataRow="1" firstDataCol="5"/>
  <pivotFields count="13">
    <pivotField compact="0" outline="0" subtotalTop="0" showAll="0" defaultSubtotal="0"/>
    <pivotField compact="0" outline="0" subtotalTop="0" showAll="0" defaultSubtotal="0"/>
    <pivotField name="$Status_ProductionOrder$" axis="axisRow" compact="0" outline="0" showAll="0" defaultSubtotal="0">
      <items count="1">
        <item x="0"/>
      </items>
    </pivotField>
    <pivotField name="$No_ProductionOrder$" axis="axisRow" compact="0" outline="0" showAll="0" defaultSubtotal="0">
      <items count="1">
        <item x="0"/>
      </items>
    </pivotField>
    <pivotField name="$Desc_ProductionOrder$" axis="axisRow" compact="0" outline="0" showAll="0" defaultSubtotal="0">
      <items count="1">
        <item x="0"/>
      </items>
    </pivotField>
    <pivotField name="$SrcType_ProductionOrder$" axis="axisRow" compact="0" outline="0" showAll="0" defaultSubtotal="0">
      <items count="1">
        <item x="0"/>
      </items>
    </pivotField>
    <pivotField name="$SourceNo_ProductionOrder$" axis="axisRow" compact="0" outline="0" showAll="0" defaultSubtotal="0">
      <items count="1">
        <item x="0"/>
      </items>
    </pivotField>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 dataField="1" compact="0" outline="0" showAll="0" defaultSubtotal="0"/>
  </pivotFields>
  <rowFields count="5">
    <field x="2"/>
    <field x="3"/>
    <field x="4"/>
    <field x="5"/>
    <field x="6"/>
  </rowFields>
  <rowItems count="2">
    <i>
      <x/>
      <x/>
      <x/>
      <x/>
      <x/>
    </i>
    <i t="grand">
      <x/>
    </i>
  </rowItems>
  <colFields count="1">
    <field x="-2"/>
  </colFields>
  <colItems count="6">
    <i>
      <x/>
    </i>
    <i i="1">
      <x v="1"/>
    </i>
    <i i="2">
      <x v="2"/>
    </i>
    <i i="3">
      <x v="3"/>
    </i>
    <i i="4">
      <x v="4"/>
    </i>
    <i i="5">
      <x v="5"/>
    </i>
  </colItems>
  <dataFields count="6">
    <dataField name="$AsOfStartDateLbl$" fld="7" baseField="4" baseItem="0"/>
    <dataField name="$ConsumptionLbl$" fld="8" baseField="4" baseItem="0"/>
    <dataField name="$CapacityLbl$" fld="9" baseField="4" baseItem="0"/>
    <dataField name="$OutputLbl$" fld="10" baseField="4" baseItem="0"/>
    <dataField name="$AsOfEndDateLbl$" fld="11" baseField="4" baseItem="0"/>
    <dataField name="$CostPostedToGLLbl$" fld="12" baseField="4" baseItem="0"/>
  </dataFields>
  <formats count="44">
    <format dxfId="159">
      <pivotArea field="2" type="button" dataOnly="0" labelOnly="1" outline="0" axis="axisRow" fieldPosition="0"/>
    </format>
    <format dxfId="158">
      <pivotArea field="3" type="button" dataOnly="0" labelOnly="1" outline="0" axis="axisRow" fieldPosition="1"/>
    </format>
    <format dxfId="157">
      <pivotArea field="4" type="button" dataOnly="0" labelOnly="1" outline="0" axis="axisRow" fieldPosition="2"/>
    </format>
    <format dxfId="156">
      <pivotArea field="5" type="button" dataOnly="0" labelOnly="1" outline="0" axis="axisRow" fieldPosition="3"/>
    </format>
    <format dxfId="155">
      <pivotArea field="6" type="button" dataOnly="0" labelOnly="1" outline="0" axis="axisRow" fieldPosition="4"/>
    </format>
    <format dxfId="154">
      <pivotArea dataOnly="0" labelOnly="1" outline="0" fieldPosition="0">
        <references count="1">
          <reference field="4294967294" count="6">
            <x v="0"/>
            <x v="1"/>
            <x v="2"/>
            <x v="3"/>
            <x v="4"/>
            <x v="5"/>
          </reference>
        </references>
      </pivotArea>
    </format>
    <format dxfId="153">
      <pivotArea field="2" type="button" dataOnly="0" labelOnly="1" outline="0" axis="axisRow" fieldPosition="0"/>
    </format>
    <format dxfId="152">
      <pivotArea field="3" type="button" dataOnly="0" labelOnly="1" outline="0" axis="axisRow" fieldPosition="1"/>
    </format>
    <format dxfId="151">
      <pivotArea field="4" type="button" dataOnly="0" labelOnly="1" outline="0" axis="axisRow" fieldPosition="2"/>
    </format>
    <format dxfId="150">
      <pivotArea field="5" type="button" dataOnly="0" labelOnly="1" outline="0" axis="axisRow" fieldPosition="3"/>
    </format>
    <format dxfId="149">
      <pivotArea field="6" type="button" dataOnly="0" labelOnly="1" outline="0" axis="axisRow" fieldPosition="4"/>
    </format>
    <format dxfId="148">
      <pivotArea dataOnly="0" labelOnly="1" outline="0" fieldPosition="0">
        <references count="1">
          <reference field="4294967294" count="6">
            <x v="0"/>
            <x v="1"/>
            <x v="2"/>
            <x v="3"/>
            <x v="4"/>
            <x v="5"/>
          </reference>
        </references>
      </pivotArea>
    </format>
    <format dxfId="147">
      <pivotArea dataOnly="0" labelOnly="1" grandRow="1" outline="0" fieldPosition="0"/>
    </format>
    <format dxfId="146">
      <pivotArea grandRow="1" outline="0" collapsedLevelsAreSubtotals="1" fieldPosition="0"/>
    </format>
    <format dxfId="145">
      <pivotArea dataOnly="0" labelOnly="1" outline="0" fieldPosition="0">
        <references count="1">
          <reference field="4294967294" count="6">
            <x v="0"/>
            <x v="1"/>
            <x v="2"/>
            <x v="3"/>
            <x v="4"/>
            <x v="5"/>
          </reference>
        </references>
      </pivotArea>
    </format>
    <format dxfId="144">
      <pivotArea outline="0" collapsedLevelsAreSubtotals="1" fieldPosition="0"/>
    </format>
    <format dxfId="143">
      <pivotArea type="all" dataOnly="0" outline="0" fieldPosition="0"/>
    </format>
    <format dxfId="142">
      <pivotArea outline="0" collapsedLevelsAreSubtotals="1" fieldPosition="0"/>
    </format>
    <format dxfId="141">
      <pivotArea field="2" type="button" dataOnly="0" labelOnly="1" outline="0" axis="axisRow" fieldPosition="0"/>
    </format>
    <format dxfId="140">
      <pivotArea field="3" type="button" dataOnly="0" labelOnly="1" outline="0" axis="axisRow" fieldPosition="1"/>
    </format>
    <format dxfId="139">
      <pivotArea field="4" type="button" dataOnly="0" labelOnly="1" outline="0" axis="axisRow" fieldPosition="2"/>
    </format>
    <format dxfId="138">
      <pivotArea field="5" type="button" dataOnly="0" labelOnly="1" outline="0" axis="axisRow" fieldPosition="3"/>
    </format>
    <format dxfId="137">
      <pivotArea field="6" type="button" dataOnly="0" labelOnly="1" outline="0" axis="axisRow" fieldPosition="4"/>
    </format>
    <format dxfId="136">
      <pivotArea dataOnly="0" labelOnly="1" outline="0" fieldPosition="0">
        <references count="1">
          <reference field="2" count="0"/>
        </references>
      </pivotArea>
    </format>
    <format dxfId="135">
      <pivotArea dataOnly="0" labelOnly="1" grandRow="1" outline="0" fieldPosition="0"/>
    </format>
    <format dxfId="134">
      <pivotArea dataOnly="0" labelOnly="1" outline="0" fieldPosition="0">
        <references count="2">
          <reference field="2" count="0" selected="0"/>
          <reference field="3" count="0"/>
        </references>
      </pivotArea>
    </format>
    <format dxfId="133">
      <pivotArea dataOnly="0" labelOnly="1" outline="0" fieldPosition="0">
        <references count="3">
          <reference field="2" count="0" selected="0"/>
          <reference field="3" count="0" selected="0"/>
          <reference field="4" count="0"/>
        </references>
      </pivotArea>
    </format>
    <format dxfId="132">
      <pivotArea dataOnly="0" labelOnly="1" outline="0" fieldPosition="0">
        <references count="4">
          <reference field="2" count="0" selected="0"/>
          <reference field="3" count="0" selected="0"/>
          <reference field="4" count="0" selected="0"/>
          <reference field="5" count="0"/>
        </references>
      </pivotArea>
    </format>
    <format dxfId="131">
      <pivotArea dataOnly="0" labelOnly="1" outline="0" fieldPosition="0">
        <references count="5">
          <reference field="2" count="0" selected="0"/>
          <reference field="3" count="0" selected="0"/>
          <reference field="4" count="0" selected="0"/>
          <reference field="5" count="0" selected="0"/>
          <reference field="6" count="0"/>
        </references>
      </pivotArea>
    </format>
    <format dxfId="130">
      <pivotArea dataOnly="0" labelOnly="1" outline="0" fieldPosition="0">
        <references count="1">
          <reference field="4294967294" count="6">
            <x v="0"/>
            <x v="1"/>
            <x v="2"/>
            <x v="3"/>
            <x v="4"/>
            <x v="5"/>
          </reference>
        </references>
      </pivotArea>
    </format>
    <format dxfId="129">
      <pivotArea type="all" dataOnly="0" outline="0" fieldPosition="0"/>
    </format>
    <format dxfId="128">
      <pivotArea outline="0" collapsedLevelsAreSubtotals="1" fieldPosition="0"/>
    </format>
    <format dxfId="127">
      <pivotArea field="2" type="button" dataOnly="0" labelOnly="1" outline="0" axis="axisRow" fieldPosition="0"/>
    </format>
    <format dxfId="126">
      <pivotArea field="3" type="button" dataOnly="0" labelOnly="1" outline="0" axis="axisRow" fieldPosition="1"/>
    </format>
    <format dxfId="125">
      <pivotArea field="4" type="button" dataOnly="0" labelOnly="1" outline="0" axis="axisRow" fieldPosition="2"/>
    </format>
    <format dxfId="124">
      <pivotArea field="5" type="button" dataOnly="0" labelOnly="1" outline="0" axis="axisRow" fieldPosition="3"/>
    </format>
    <format dxfId="123">
      <pivotArea field="6" type="button" dataOnly="0" labelOnly="1" outline="0" axis="axisRow" fieldPosition="4"/>
    </format>
    <format dxfId="122">
      <pivotArea dataOnly="0" labelOnly="1" outline="0" fieldPosition="0">
        <references count="1">
          <reference field="2" count="0"/>
        </references>
      </pivotArea>
    </format>
    <format dxfId="121">
      <pivotArea dataOnly="0" labelOnly="1" grandRow="1" outline="0" fieldPosition="0"/>
    </format>
    <format dxfId="120">
      <pivotArea dataOnly="0" labelOnly="1" outline="0" fieldPosition="0">
        <references count="2">
          <reference field="2" count="0" selected="0"/>
          <reference field="3" count="0"/>
        </references>
      </pivotArea>
    </format>
    <format dxfId="119">
      <pivotArea dataOnly="0" labelOnly="1" outline="0" fieldPosition="0">
        <references count="3">
          <reference field="2" count="0" selected="0"/>
          <reference field="3" count="0" selected="0"/>
          <reference field="4" count="0"/>
        </references>
      </pivotArea>
    </format>
    <format dxfId="118">
      <pivotArea dataOnly="0" labelOnly="1" outline="0" fieldPosition="0">
        <references count="4">
          <reference field="2" count="0" selected="0"/>
          <reference field="3" count="0" selected="0"/>
          <reference field="4" count="0" selected="0"/>
          <reference field="5" count="0"/>
        </references>
      </pivotArea>
    </format>
    <format dxfId="117">
      <pivotArea dataOnly="0" labelOnly="1" outline="0" fieldPosition="0">
        <references count="5">
          <reference field="2" count="0" selected="0"/>
          <reference field="3" count="0" selected="0"/>
          <reference field="4" count="0" selected="0"/>
          <reference field="5" count="0" selected="0"/>
          <reference field="6" count="0"/>
        </references>
      </pivotArea>
    </format>
    <format dxfId="116">
      <pivotArea dataOnly="0" labelOnly="1" outline="0" fieldPosition="0">
        <references count="1">
          <reference field="4294967294" count="6">
            <x v="0"/>
            <x v="1"/>
            <x v="2"/>
            <x v="3"/>
            <x v="4"/>
            <x v="5"/>
          </reference>
        </references>
      </pivotArea>
    </format>
  </formats>
  <pivotTableStyleInfo name="Business Central PivotTable Style (Template)"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nabledSubtotalsDefault="0" SubtotalsOnTopDefault="0"/>
    </ext>
  </extLst>
</pivotTableDefinition>
</file>

<file path=xl/slicerCaches/slicerCache1.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tatus_ProductionOrder" xr10:uid="{28C8EC7C-A9A8-4476-A71D-F2A9DA5C605B}" sourceName="Status_ProductionOrder">
  <pivotTables>
    <pivotTable tabId="9" name="PivotTable1"/>
  </pivotTables>
  <data>
    <tabular pivotCacheId="1595405139" showMissing="0">
      <items count="1">
        <i x="0" s="1"/>
      </items>
    </tabular>
  </data>
</slicerCacheDefinition>
</file>

<file path=xl/slicerCaches/slicerCache2.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No_ProductionOrder" xr10:uid="{9850C7D3-5DF5-4D04-9AC3-6BE64DB6801D}" sourceName="No_ProductionOrder">
  <pivotTables>
    <pivotTable tabId="9" name="PivotTable1"/>
  </pivotTables>
  <data>
    <tabular pivotCacheId="1595405139" showMissing="0">
      <items count="1">
        <i x="0" s="1"/>
      </items>
    </tabular>
  </data>
</slicerCacheDefinition>
</file>

<file path=xl/slicerCaches/slicerCache3.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Desc_ProductionOrder" xr10:uid="{DB38AB16-C6DC-45B1-8697-BBE309694F79}" sourceName="Desc_ProductionOrder">
  <pivotTables>
    <pivotTable tabId="9" name="PivotTable1"/>
  </pivotTables>
  <data>
    <tabular pivotCacheId="1595405139" showMissing="0">
      <items count="1">
        <i x="0" s="1"/>
      </items>
    </tabular>
  </data>
</slicerCacheDefinition>
</file>

<file path=xl/slicerCaches/slicerCache4.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rcType_ProductionOrder" xr10:uid="{9C839CE9-73EC-4B52-AAC1-5297ADBA8A70}" sourceName="SrcType_ProductionOrder">
  <pivotTables>
    <pivotTable tabId="9" name="PivotTable1"/>
  </pivotTables>
  <data>
    <tabular pivotCacheId="1595405139" showMissing="0">
      <items count="1">
        <i x="0" s="1"/>
      </items>
    </tabular>
  </data>
</slicerCacheDefinition>
</file>

<file path=xl/slicerCaches/slicerCache5.xml><?xml version="1.0" encoding="utf-8"?>
<slicerCacheDefinition xmlns="http://schemas.microsoft.com/office/spreadsheetml/2009/9/main" xmlns:mc="http://schemas.openxmlformats.org/markup-compatibility/2006" xmlns:x="http://schemas.openxmlformats.org/spreadsheetml/2006/main" xmlns:xr10="http://schemas.microsoft.com/office/spreadsheetml/2016/revision10" mc:Ignorable="x xr10" name="Slicer_SourceNo_ProductionOrder" xr10:uid="{D76470F7-92CB-4C67-83E7-5235B4F6C7F1}" sourceName="SourceNo_ProductionOrder">
  <pivotTables>
    <pivotTable tabId="9" name="PivotTable1"/>
  </pivotTables>
  <data>
    <tabular pivotCacheId="1595405139" showMissing="0">
      <items count="1">
        <i x="0" s="1"/>
      </items>
    </tabular>
  </data>
</slicerCacheDefinition>
</file>

<file path=xl/slicers/slicer1.xml><?xml version="1.0" encoding="utf-8"?>
<slicers xmlns="http://schemas.microsoft.com/office/spreadsheetml/2009/9/main" xmlns:mc="http://schemas.openxmlformats.org/markup-compatibility/2006" xmlns:x="http://schemas.openxmlformats.org/spreadsheetml/2006/main" xmlns:xr10="http://schemas.microsoft.com/office/spreadsheetml/2016/revision10" mc:Ignorable="x xr10">
  <slicer name="$Status_ProductionOrder$" xr10:uid="{1905B52F-AC73-49BB-954D-12F01595AA94}" cache="Slicer_Status_ProductionOrder" caption="$Status_ProductionOrder$" rowHeight="241300"/>
  <slicer name="$No_ProductionOrder$" xr10:uid="{DF4D40C5-2DFF-4F38-B05E-95586FA4E10B}" cache="Slicer_No_ProductionOrder" caption="$No_ProductionOrder$" rowHeight="241300"/>
  <slicer name="$Desc_ProductionOrder$" xr10:uid="{F52FBFF6-9CE4-4CFB-B3AC-2994662CBD31}" cache="Slicer_Desc_ProductionOrder" caption="$Desc_ProductionOrder$" rowHeight="241300"/>
  <slicer name="$SrcType_ProductionOrder$" xr10:uid="{8994E63E-FF0C-44AE-9BA8-0D5CC84C877F}" cache="Slicer_SrcType_ProductionOrder" caption="$SrcType_ProductionOrder$" rowHeight="241300"/>
  <slicer name="$SourceNo_ProductionOrder$" xr10:uid="{9B655CE5-92A8-4C85-A04B-01CC9EF07C08}" cache="Slicer_SourceNo_ProductionOrder" caption="$SourceNo_ProductionOrder$" rowHeight="241300"/>
</slicer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EF02A179-C226-4470-BF2E-AC1BEBC8C0D4}" name="CaptionData" displayName="CaptionData" ref="A1:B13" totalsRowShown="0">
  <autoFilter ref="A1:B13" xr:uid="{EF02A179-C226-4470-BF2E-AC1BEBC8C0D4}"/>
  <tableColumns count="2">
    <tableColumn id="1" xr3:uid="{9C04E6DA-1D54-48CA-A030-6BAD61CB0617}" name="Caption"/>
    <tableColumn id="2" xr3:uid="{89582DF0-EB9B-41CD-8C22-DFBA8F8BD440}" name="Value"/>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C11CF61-B374-4F0B-84B3-23694D65F56E}" name="TranslationData" displayName="TranslationData" ref="A1:C2" totalsRowShown="0">
  <autoFilter ref="A1:C2" xr:uid="{DC11CF61-B374-4F0B-84B3-23694D65F56E}"/>
  <tableColumns count="3">
    <tableColumn id="1" xr3:uid="{8F1461C4-E348-4166-87E9-8D4925AB342B}" name="CaptionKey"/>
    <tableColumn id="2" xr3:uid="{B1350A6A-8E59-4E2C-AACD-14E037DDCF40}" name="Language"/>
    <tableColumn id="3" xr3:uid="{8218ECD7-CE7E-4E5C-ACDE-0ADC9D0CE65E}" name="Value"/>
  </tableColumns>
  <tableStyleInfo name="TableStyleLight8"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134EB915-8B19-4838-BDED-CECBACACF4F9}" name="ReportMetadataValues" displayName="ReportMetadataValues" ref="A1:B10" totalsRowShown="0" headerRowDxfId="115">
  <autoFilter ref="A1:B10" xr:uid="{134EB915-8B19-4838-BDED-CECBACACF4F9}"/>
  <tableColumns count="2">
    <tableColumn id="1" xr3:uid="{5CBC1C08-5A8D-42BB-92CA-C3F1D0EF0A4D}" name="Report Property"/>
    <tableColumn id="2" xr3:uid="{920E2177-8B70-4968-B161-4C2CF0A824C6}" name="Report Property Value"/>
  </tableColumns>
  <tableStyleInfo name="TableStyleMedium9"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1DFF5EE2-2A86-40DE-9DFD-1E96553323F6}" name="ReportRequestValues" displayName="ReportRequestValues" ref="D1:E11" totalsRowShown="0" headerRowDxfId="114">
  <autoFilter ref="D1:E11" xr:uid="{1DFF5EE2-2A86-40DE-9DFD-1E96553323F6}"/>
  <tableColumns count="2">
    <tableColumn id="1" xr3:uid="{E6EF2D44-8AB2-42E8-A7E3-9B148922AA59}" name="Request Property"/>
    <tableColumn id="2" xr3:uid="{FA31CE16-2D0E-4E4D-BC19-2B03E00E4B08}" name="Request Property Value"/>
  </tableColumns>
  <tableStyleInfo name="TableStyleMedium9"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8D3A40BA-47FA-41F3-82A4-C5BD4909C0B4}" name="ReportRequestPageValues" displayName="ReportRequestPageValues" ref="G1:H2" totalsRowShown="0" headerRowDxfId="113">
  <autoFilter ref="G1:H2" xr:uid="{8D3A40BA-47FA-41F3-82A4-C5BD4909C0B4}"/>
  <tableColumns count="2">
    <tableColumn id="1" xr3:uid="{023648B2-C225-4580-B767-C48467418032}" name="Request Page Option"/>
    <tableColumn id="2" xr3:uid="{BBB51944-3368-483F-9ECA-E66C489A7E1A}" name="Request Page Option Value"/>
  </tableColumns>
  <tableStyleInfo name="TableStyleMedium9"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D269260C-C433-478B-84A3-3CB73C333872}" name="ReportFilterValues" displayName="ReportFilterValues" ref="J1:K2" totalsRowShown="0" headerRowDxfId="112">
  <autoFilter ref="J1:K2" xr:uid="{D269260C-C433-478B-84A3-3CB73C333872}"/>
  <tableColumns count="2">
    <tableColumn id="1" xr3:uid="{D710F0AA-F8F4-4DB2-BC43-E65C2054A321}" name="Filter"/>
    <tableColumn id="2" xr3:uid="{F291234F-EE76-4AF1-A03D-6D3FB6737920}" name="Filter Value"/>
  </tableColumns>
  <tableStyleInfo name="TableStyleMedium9"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42DA7D23-F236-43A2-B249-DB4068F194B3}" name="FixedData" displayName="FixedData" ref="A1:G2" totalsRowShown="0">
  <autoFilter ref="A1:G2" xr:uid="{42DA7D23-F236-43A2-B249-DB4068F194B3}"/>
  <tableColumns count="7">
    <tableColumn id="1" xr3:uid="{0CA4CB59-8927-4171-8A6E-25DA4940B47F}" name="CompanyName" dataDxfId="111"/>
    <tableColumn id="2" xr3:uid="{BE602AFA-7ACF-4E4B-A734-856563B98473}" name="TodayFormatted" dataDxfId="110"/>
    <tableColumn id="3" xr3:uid="{612995B3-8CCD-4701-8331-F7A3EB4B3A13}" name="ProdOrderFilter" dataDxfId="109"/>
    <tableColumn id="6" xr3:uid="{6A4B0559-1167-4504-8040-08CC98F69F75}" name="StartDate" dataDxfId="108"/>
    <tableColumn id="7" xr3:uid="{5C0D27B6-C996-4C19-B120-8F68A67E5C7A}" name="EndDate" dataDxfId="107"/>
    <tableColumn id="4" xr3:uid="{69128E39-8DF6-4746-8094-E7C3C276DA2B}" name="AsOfStartDateText" dataDxfId="106"/>
    <tableColumn id="5" xr3:uid="{539BCB5D-55EE-4772-B2B7-E70F109B865E}" name="AsofEndDate" dataDxfId="105"/>
  </tableColumns>
  <tableStyleInfo name="Business Central Reports Table Style" showFirstColumn="0" showLastColumn="0" showRowStripes="1"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1D726F2-778D-4B1C-A5EA-875FED73D050}" name="Data" displayName="Data" ref="A1:R2" totalsRowShown="0" headerRowDxfId="104" dataDxfId="103" headerRowCellStyle="Normal 2" dataCellStyle="Normal 2">
  <autoFilter ref="A1:R2" xr:uid="{41D726F2-778D-4B1C-A5EA-875FED73D050}"/>
  <tableColumns count="18">
    <tableColumn id="3" xr3:uid="{21867904-D69E-41E3-B5BE-D9B124B8D7E4}" name="ProdOrderFilter" dataDxfId="102" dataCellStyle="Normal 2"/>
    <tableColumn id="37" xr3:uid="{C5AD409D-BC1D-49A7-88EB-00F3D9B3DCDA}" name="StartDate" dataDxfId="101" dataCellStyle="Normal 2"/>
    <tableColumn id="38" xr3:uid="{09FCBE87-4DD2-4B4B-9DB7-376335E272D9}" name="EndDate" dataDxfId="100" dataCellStyle="Normal 2"/>
    <tableColumn id="4" xr3:uid="{21867904-D69E-41E3-B5BE-D9B124B8D7E4}" name="AsOfStartDateText" dataDxfId="99" dataCellStyle="Normal 2"/>
    <tableColumn id="5" xr3:uid="{21867904-D69E-41E3-B5BE-D9B124B8D7E4}" name="AsofEndDate" dataDxfId="98" dataCellStyle="Normal 2"/>
    <tableColumn id="6" xr3:uid="{21867904-D69E-41E3-B5BE-D9B124B8D7E4}" name="No_ProductionOrder" dataDxfId="97" dataCellStyle="Normal 2"/>
    <tableColumn id="7" xr3:uid="{21867904-D69E-41E3-B5BE-D9B124B8D7E4}" name="SourceNo_ProductionOrder" dataDxfId="96" dataCellStyle="Normal 2"/>
    <tableColumn id="8" xr3:uid="{21867904-D69E-41E3-B5BE-D9B124B8D7E4}" name="SrcType_ProductionOrder" dataDxfId="95" dataCellStyle="Normal 2"/>
    <tableColumn id="9" xr3:uid="{21867904-D69E-41E3-B5BE-D9B124B8D7E4}" name="Desc_ProductionOrder" dataDxfId="94" dataCellStyle="Normal 2"/>
    <tableColumn id="10" xr3:uid="{21867904-D69E-41E3-B5BE-D9B124B8D7E4}" name="Status_ProductionOrder" dataDxfId="93" dataCellStyle="Normal 2"/>
    <tableColumn id="23" xr3:uid="{21867904-D69E-41E3-B5BE-D9B124B8D7E4}" name="ValueEntryCostPostedtoGL" dataDxfId="92" dataCellStyle="Normal 2"/>
    <tableColumn id="24" xr3:uid="{21867904-D69E-41E3-B5BE-D9B124B8D7E4}" name="ValueOfOutput" dataDxfId="91" dataCellStyle="Normal 2"/>
    <tableColumn id="25" xr3:uid="{21867904-D69E-41E3-B5BE-D9B124B8D7E4}" name="ValueOfCap" dataDxfId="90" dataCellStyle="Normal 2"/>
    <tableColumn id="26" xr3:uid="{21867904-D69E-41E3-B5BE-D9B124B8D7E4}" name="ValueOfMatConsump" dataDxfId="89" dataCellStyle="Normal 2"/>
    <tableColumn id="27" xr3:uid="{21867904-D69E-41E3-B5BE-D9B124B8D7E4}" name="ValueOfWIP" dataDxfId="88" dataCellStyle="Normal 2"/>
    <tableColumn id="28" xr3:uid="{21867904-D69E-41E3-B5BE-D9B124B8D7E4}" name="LastOutput" dataDxfId="87" dataCellStyle="Normal 2"/>
    <tableColumn id="29" xr3:uid="{21867904-D69E-41E3-B5BE-D9B124B8D7E4}" name="AtLastDate" dataDxfId="86" dataCellStyle="Normal 2"/>
    <tableColumn id="30" xr3:uid="{21867904-D69E-41E3-B5BE-D9B124B8D7E4}" name="LastWIP" dataDxfId="85" dataCellStyle="Normal 2"/>
  </tableColumns>
  <tableStyleInfo name="Business Central Reports Table Style" showFirstColumn="0" showLastColumn="0" showRowStripes="1" showColumnStripes="0"/>
</table>
</file>

<file path=xl/theme/theme1.xml><?xml version="1.0" encoding="utf-8"?>
<a:theme xmlns:a="http://schemas.openxmlformats.org/drawingml/2006/main" name="Theme1">
  <a:themeElements>
    <a:clrScheme name="Business Central Reports Theme Colors">
      <a:dk1>
        <a:srgbClr val="212121"/>
      </a:dk1>
      <a:lt1>
        <a:sysClr val="window" lastClr="FFFFFF"/>
      </a:lt1>
      <a:dk2>
        <a:srgbClr val="00838F"/>
      </a:dk2>
      <a:lt2>
        <a:srgbClr val="F6F7F8"/>
      </a:lt2>
      <a:accent1>
        <a:srgbClr val="D3D6DA"/>
      </a:accent1>
      <a:accent2>
        <a:srgbClr val="D9F0F2"/>
      </a:accent2>
      <a:accent3>
        <a:srgbClr val="A5A5A5"/>
      </a:accent3>
      <a:accent4>
        <a:srgbClr val="FFC000"/>
      </a:accent4>
      <a:accent5>
        <a:srgbClr val="66D4DB"/>
      </a:accent5>
      <a:accent6>
        <a:srgbClr val="00B7C3"/>
      </a:accent6>
      <a:hlink>
        <a:srgbClr val="00838F"/>
      </a:hlink>
      <a:folHlink>
        <a:srgbClr val="C00000"/>
      </a:folHlink>
    </a:clrScheme>
    <a:fontScheme name="Business Central Reports Theme Font">
      <a:majorFont>
        <a:latin typeface="Segoe UI Semibold"/>
        <a:ea typeface=""/>
        <a:cs typeface=""/>
      </a:majorFont>
      <a:minorFont>
        <a:latin typeface="Segoe UI"/>
        <a:ea typeface=""/>
        <a:cs typeface=""/>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pivotTable" Target="../pivotTables/pivotTable1.xml"/></Relationships>
</file>

<file path=xl/worksheets/_rels/sheet2.xml.rels><?xml version="1.0" encoding="UTF-8" standalone="yes"?>
<Relationships xmlns="http://schemas.openxmlformats.org/package/2006/relationships"><Relationship Id="rId3" Type="http://schemas.microsoft.com/office/2007/relationships/slicer" Target="../slicers/slicer1.xml"/><Relationship Id="rId2" Type="http://schemas.openxmlformats.org/officeDocument/2006/relationships/drawing" Target="../drawings/drawing1.xml"/><Relationship Id="rId1" Type="http://schemas.openxmlformats.org/officeDocument/2006/relationships/pivotTable" Target="../pivotTables/pivotTable2.xml"/></Relationships>
</file>

<file path=xl/worksheets/_rels/sheet3.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2.bin"/></Relationships>
</file>

<file path=xl/worksheets/_rels/sheet4.xml.rels><?xml version="1.0" encoding="UTF-8" standalone="yes"?>
<Relationships xmlns="http://schemas.openxmlformats.org/package/2006/relationships"><Relationship Id="rId1" Type="http://schemas.openxmlformats.org/officeDocument/2006/relationships/table" Target="../tables/table2.xml"/></Relationships>
</file>

<file path=xl/worksheets/_rels/sheet5.xml.rels><?xml version="1.0" encoding="UTF-8" standalone="yes"?>
<Relationships xmlns="http://schemas.openxmlformats.org/package/2006/relationships"><Relationship Id="rId3" Type="http://schemas.openxmlformats.org/officeDocument/2006/relationships/table" Target="../tables/table5.xml"/><Relationship Id="rId2" Type="http://schemas.openxmlformats.org/officeDocument/2006/relationships/table" Target="../tables/table4.xml"/><Relationship Id="rId1" Type="http://schemas.openxmlformats.org/officeDocument/2006/relationships/table" Target="../tables/table3.xml"/><Relationship Id="rId4" Type="http://schemas.openxmlformats.org/officeDocument/2006/relationships/table" Target="../tables/table6.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_rels/sheet8.xml.rels><?xml version="1.0" encoding="UTF-8" standalone="yes"?>
<Relationships xmlns="http://schemas.openxmlformats.org/package/2006/relationships"><Relationship Id="rId1" Type="http://schemas.openxmlformats.org/officeDocument/2006/relationships/table" Target="../tables/table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DB0A9EE-5F06-4ABE-93F5-94B8BFFBEC2E}">
  <sheetPr>
    <pageSetUpPr fitToPage="1"/>
  </sheetPr>
  <dimension ref="A2:R29"/>
  <sheetViews>
    <sheetView showGridLines="0" tabSelected="1" showRuler="0" zoomScaleNormal="100" workbookViewId="0"/>
  </sheetViews>
  <sheetFormatPr defaultColWidth="9" defaultRowHeight="20.149999999999999" customHeight="1" x14ac:dyDescent="0.45"/>
  <cols>
    <col min="1" max="1" width="9.08203125" style="12" customWidth="1"/>
    <col min="2" max="2" width="10.75" style="5" customWidth="1"/>
    <col min="3" max="3" width="15.25" style="5" bestFit="1" customWidth="1"/>
    <col min="4" max="4" width="27.08203125" style="5" bestFit="1" customWidth="1"/>
    <col min="5" max="5" width="14.1640625" style="5" customWidth="1"/>
    <col min="6" max="6" width="14.9140625" style="5" customWidth="1"/>
    <col min="7" max="11" width="14.58203125" style="5" bestFit="1" customWidth="1"/>
    <col min="12" max="12" width="25.58203125" style="5" customWidth="1"/>
    <col min="13" max="13" width="12.33203125" style="5" bestFit="1" customWidth="1"/>
    <col min="14" max="14" width="27.83203125" style="5" bestFit="1" customWidth="1"/>
    <col min="15" max="15" width="16.5" style="5" bestFit="1" customWidth="1"/>
    <col min="16" max="16" width="19.08203125" style="5" bestFit="1" customWidth="1"/>
    <col min="17" max="17" width="15.75" style="5" bestFit="1" customWidth="1"/>
    <col min="18" max="18" width="29.25" style="5" bestFit="1" customWidth="1"/>
    <col min="19" max="19" width="9.75" style="5" bestFit="1" customWidth="1"/>
    <col min="20" max="20" width="15.25" style="5" bestFit="1" customWidth="1"/>
    <col min="21" max="21" width="12" style="5" bestFit="1" customWidth="1"/>
    <col min="22" max="22" width="15.25" style="5" bestFit="1" customWidth="1"/>
    <col min="23" max="23" width="10.5" style="5" bestFit="1" customWidth="1"/>
    <col min="24" max="24" width="15.25" style="5" bestFit="1" customWidth="1"/>
    <col min="25" max="25" width="12" style="5" bestFit="1" customWidth="1"/>
    <col min="26" max="26" width="17.25" style="5" bestFit="1" customWidth="1"/>
    <col min="27" max="27" width="10.5" style="5" bestFit="1" customWidth="1"/>
    <col min="28" max="28" width="17.25" style="5" bestFit="1" customWidth="1"/>
    <col min="29" max="29" width="12" style="5" bestFit="1" customWidth="1"/>
    <col min="30" max="30" width="17.25" style="5" bestFit="1" customWidth="1"/>
    <col min="31" max="31" width="9.75" style="5" bestFit="1" customWidth="1"/>
    <col min="32" max="32" width="17.25" style="5" bestFit="1" customWidth="1"/>
    <col min="33" max="33" width="18.33203125" style="5" bestFit="1" customWidth="1"/>
    <col min="34" max="34" width="15.33203125" style="5" bestFit="1" customWidth="1"/>
    <col min="35" max="35" width="12.75" style="5" bestFit="1" customWidth="1"/>
    <col min="36" max="36" width="15.33203125" style="5" bestFit="1" customWidth="1"/>
    <col min="37" max="37" width="12.75" style="5" bestFit="1" customWidth="1"/>
    <col min="38" max="38" width="22.25" style="5" customWidth="1"/>
    <col min="39" max="39" width="13.33203125" style="5" customWidth="1"/>
    <col min="40" max="41" width="13" style="5" customWidth="1"/>
    <col min="42" max="42" width="27.25" style="5" customWidth="1"/>
    <col min="43" max="43" width="16.5" style="5" customWidth="1"/>
    <col min="44" max="44" width="13.75" style="5" customWidth="1"/>
    <col min="45" max="45" width="27.58203125" style="5" customWidth="1"/>
    <col min="46" max="46" width="24.83203125" style="5" customWidth="1"/>
    <col min="47" max="47" width="29.5" style="5" customWidth="1"/>
    <col min="48" max="49" width="28" style="5" customWidth="1"/>
    <col min="50" max="50" width="14.33203125" style="5" customWidth="1"/>
    <col min="51" max="51" width="27.25" style="5" customWidth="1"/>
    <col min="52" max="52" width="16.5" style="5" customWidth="1"/>
    <col min="53" max="53" width="13.33203125" style="5" customWidth="1"/>
    <col min="54" max="54" width="22.25" style="5" customWidth="1"/>
    <col min="55" max="55" width="13.75" style="5" bestFit="1" customWidth="1"/>
    <col min="56" max="57" width="13" style="5" bestFit="1" customWidth="1"/>
    <col min="58" max="58" width="10.33203125" style="5" bestFit="1" customWidth="1"/>
    <col min="59" max="60" width="13" style="5" bestFit="1" customWidth="1"/>
    <col min="61" max="62" width="10.33203125" style="5" bestFit="1" customWidth="1"/>
    <col min="63" max="16384" width="9" style="5"/>
  </cols>
  <sheetData>
    <row r="2" spans="2:18" ht="20.149999999999999" customHeight="1" thickBot="1" x14ac:dyDescent="0.5">
      <c r="B2" s="8" t="s">
        <v>106</v>
      </c>
      <c r="L2" s="17" t="str" cm="1">
        <f t="array" ref="L2">ReportRequest.CompanyName</f>
        <v>Company name Value</v>
      </c>
      <c r="M2" s="9"/>
      <c r="N2" s="9"/>
      <c r="O2" s="9"/>
      <c r="P2" s="9"/>
      <c r="Q2" s="9"/>
      <c r="R2" s="9"/>
    </row>
    <row r="3" spans="2:18" ht="20.149999999999999" customHeight="1" thickTop="1" x14ac:dyDescent="0.45">
      <c r="K3" s="10" t="s">
        <v>90</v>
      </c>
      <c r="M3" s="2"/>
      <c r="N3" s="2"/>
      <c r="O3" s="2"/>
      <c r="P3" s="2"/>
      <c r="Q3" s="2"/>
      <c r="R3" s="2"/>
    </row>
    <row r="4" spans="2:18" ht="20.149999999999999" customHeight="1" x14ac:dyDescent="0.45">
      <c r="B4" s="18" t="e" cm="1">
        <f t="array" ref="B4">IF(StartDateHeading="", Caption.UntilLbl, Caption.PeriodLbl)</f>
        <v>#N/A</v>
      </c>
      <c r="C4" s="18" t="e" cm="1">
        <f t="array" ref="C4">IF(StartDateHeading="", EndDateHeading, _xlfn.CONCAT(StartDateHeading, " - ", EndDateHeading))</f>
        <v>#N/A</v>
      </c>
      <c r="E4" s="27"/>
      <c r="K4" s="7" t="e" cm="1">
        <f t="array" ref="K4">Caption.DataRetrievedLbl</f>
        <v>#NAME?</v>
      </c>
      <c r="L4" s="19" t="e" cm="1">
        <f t="array" ref="L4">ReportRequest.DateLocal</f>
        <v>#NAME?</v>
      </c>
    </row>
    <row r="5" spans="2:18" ht="20.149999999999999" customHeight="1" x14ac:dyDescent="0.45">
      <c r="B5" s="18" t="e" cm="1">
        <f t="array" ref="B5">ProdOrderFilterHeading</f>
        <v>#N/A</v>
      </c>
      <c r="C5"/>
      <c r="D5"/>
      <c r="E5"/>
      <c r="F5"/>
      <c r="G5"/>
      <c r="H5"/>
      <c r="I5"/>
      <c r="J5"/>
      <c r="K5"/>
      <c r="L5"/>
    </row>
    <row r="6" spans="2:18" ht="20.149999999999999" customHeight="1" x14ac:dyDescent="0.45">
      <c r="B6"/>
      <c r="C6"/>
      <c r="D6"/>
      <c r="E6"/>
      <c r="F6"/>
      <c r="G6"/>
      <c r="H6"/>
      <c r="I6"/>
      <c r="J6"/>
      <c r="K6"/>
      <c r="L6"/>
    </row>
    <row r="7" spans="2:18" ht="20.149999999999999" customHeight="1" x14ac:dyDescent="0.45">
      <c r="B7" s="25" t="s">
        <v>91</v>
      </c>
      <c r="C7" s="25" t="s">
        <v>92</v>
      </c>
      <c r="D7" s="25" t="s">
        <v>93</v>
      </c>
      <c r="E7" s="25" t="s">
        <v>94</v>
      </c>
      <c r="F7" s="25" t="s">
        <v>95</v>
      </c>
      <c r="G7" s="26" t="s">
        <v>107</v>
      </c>
      <c r="H7" s="26" t="s">
        <v>105</v>
      </c>
      <c r="I7" s="26" t="s">
        <v>108</v>
      </c>
      <c r="J7" s="26" t="s">
        <v>109</v>
      </c>
      <c r="K7" s="26" t="s">
        <v>110</v>
      </c>
      <c r="L7" s="26" t="s">
        <v>111</v>
      </c>
    </row>
    <row r="8" spans="2:18" ht="20.149999999999999" customHeight="1" x14ac:dyDescent="0.45">
      <c r="B8" s="11"/>
      <c r="C8" s="11"/>
      <c r="D8" s="11"/>
      <c r="E8" s="11"/>
      <c r="F8" s="11"/>
      <c r="G8" s="14">
        <v>0</v>
      </c>
      <c r="H8" s="14">
        <v>0</v>
      </c>
      <c r="I8" s="14">
        <v>0</v>
      </c>
      <c r="J8" s="14">
        <v>0</v>
      </c>
      <c r="K8" s="14">
        <v>0</v>
      </c>
      <c r="L8" s="14">
        <v>0</v>
      </c>
    </row>
    <row r="9" spans="2:18" ht="20.149999999999999" customHeight="1" x14ac:dyDescent="0.45">
      <c r="B9" s="15" t="s">
        <v>98</v>
      </c>
      <c r="C9" s="15"/>
      <c r="D9" s="15"/>
      <c r="E9" s="15"/>
      <c r="F9" s="15"/>
      <c r="G9" s="16">
        <v>0</v>
      </c>
      <c r="H9" s="16">
        <v>0</v>
      </c>
      <c r="I9" s="16">
        <v>0</v>
      </c>
      <c r="J9" s="16">
        <v>0</v>
      </c>
      <c r="K9" s="16">
        <v>0</v>
      </c>
      <c r="L9" s="16">
        <v>0</v>
      </c>
    </row>
    <row r="10" spans="2:18" ht="20.149999999999999" customHeight="1" x14ac:dyDescent="0.45">
      <c r="B10"/>
      <c r="C10"/>
      <c r="D10"/>
      <c r="E10"/>
      <c r="F10"/>
      <c r="G10"/>
      <c r="H10"/>
      <c r="I10"/>
      <c r="J10"/>
      <c r="K10"/>
      <c r="L10"/>
    </row>
    <row r="12" spans="2:18" ht="20.149999999999999" customHeight="1" x14ac:dyDescent="0.45">
      <c r="B12"/>
      <c r="C12"/>
      <c r="D12"/>
      <c r="E12"/>
      <c r="F12"/>
      <c r="G12"/>
      <c r="H12"/>
      <c r="I12"/>
      <c r="J12"/>
      <c r="K12"/>
      <c r="L12"/>
    </row>
    <row r="13" spans="2:18" ht="20.149999999999999" customHeight="1" x14ac:dyDescent="0.45">
      <c r="B13"/>
      <c r="C13"/>
      <c r="D13"/>
      <c r="E13"/>
      <c r="F13"/>
      <c r="G13"/>
      <c r="H13"/>
      <c r="I13"/>
      <c r="J13"/>
      <c r="K13"/>
      <c r="L13"/>
    </row>
    <row r="14" spans="2:18" ht="20.149999999999999" customHeight="1" x14ac:dyDescent="0.45">
      <c r="B14"/>
      <c r="C14"/>
      <c r="D14"/>
      <c r="E14"/>
      <c r="F14"/>
      <c r="G14"/>
      <c r="H14"/>
      <c r="I14"/>
      <c r="J14"/>
      <c r="K14"/>
      <c r="L14"/>
    </row>
    <row r="15" spans="2:18" ht="20.149999999999999" customHeight="1" x14ac:dyDescent="0.45">
      <c r="B15"/>
      <c r="C15"/>
      <c r="D15"/>
      <c r="E15"/>
      <c r="F15"/>
      <c r="G15"/>
      <c r="H15"/>
    </row>
    <row r="16" spans="2:18" ht="20.149999999999999" customHeight="1" x14ac:dyDescent="0.45">
      <c r="B16"/>
      <c r="C16"/>
      <c r="D16"/>
      <c r="E16"/>
      <c r="F16"/>
      <c r="G16"/>
      <c r="H16"/>
    </row>
    <row r="17" spans="2:8" ht="20.149999999999999" customHeight="1" x14ac:dyDescent="0.45">
      <c r="B17"/>
      <c r="C17"/>
      <c r="D17"/>
      <c r="E17"/>
      <c r="F17"/>
      <c r="G17"/>
      <c r="H17"/>
    </row>
    <row r="18" spans="2:8" ht="20.149999999999999" customHeight="1" x14ac:dyDescent="0.45">
      <c r="B18"/>
      <c r="C18"/>
      <c r="D18"/>
      <c r="E18"/>
      <c r="F18"/>
      <c r="G18"/>
      <c r="H18"/>
    </row>
    <row r="19" spans="2:8" ht="20.149999999999999" customHeight="1" x14ac:dyDescent="0.45">
      <c r="B19"/>
      <c r="C19"/>
      <c r="D19"/>
    </row>
    <row r="20" spans="2:8" ht="20.149999999999999" customHeight="1" x14ac:dyDescent="0.45">
      <c r="B20"/>
      <c r="C20"/>
      <c r="D20"/>
    </row>
    <row r="21" spans="2:8" ht="20.149999999999999" customHeight="1" x14ac:dyDescent="0.45">
      <c r="B21"/>
      <c r="C21"/>
      <c r="D21"/>
    </row>
    <row r="22" spans="2:8" ht="20.149999999999999" customHeight="1" x14ac:dyDescent="0.45">
      <c r="B22"/>
      <c r="C22"/>
      <c r="D22"/>
    </row>
    <row r="23" spans="2:8" ht="20.149999999999999" customHeight="1" x14ac:dyDescent="0.45">
      <c r="B23"/>
      <c r="C23"/>
      <c r="D23"/>
    </row>
    <row r="24" spans="2:8" ht="20.149999999999999" customHeight="1" x14ac:dyDescent="0.45">
      <c r="B24"/>
      <c r="C24"/>
      <c r="D24"/>
    </row>
    <row r="25" spans="2:8" ht="20.149999999999999" customHeight="1" x14ac:dyDescent="0.45">
      <c r="B25"/>
      <c r="C25"/>
      <c r="D25"/>
    </row>
    <row r="26" spans="2:8" ht="20.149999999999999" customHeight="1" x14ac:dyDescent="0.45">
      <c r="B26"/>
      <c r="C26"/>
      <c r="D26"/>
    </row>
    <row r="27" spans="2:8" ht="20.149999999999999" customHeight="1" x14ac:dyDescent="0.45">
      <c r="B27"/>
      <c r="C27"/>
      <c r="D27"/>
    </row>
    <row r="28" spans="2:8" ht="20.149999999999999" customHeight="1" x14ac:dyDescent="0.45">
      <c r="B28"/>
      <c r="C28"/>
      <c r="D28"/>
    </row>
    <row r="29" spans="2:8" ht="20.149999999999999" customHeight="1" x14ac:dyDescent="0.45">
      <c r="B29"/>
      <c r="C29"/>
      <c r="D29"/>
    </row>
  </sheetData>
  <phoneticPr fontId="4" type="noConversion"/>
  <printOptions horizontalCentered="1"/>
  <pageMargins left="0.23622047244094491" right="0.23622047244094491" top="0.74803149606299213" bottom="0.74803149606299213" header="0.31496062992125984" footer="0.31496062992125984"/>
  <pageSetup paperSize="9" scale="68" fitToHeight="0" orientation="landscape"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D7F16BE-6CF0-4644-B75A-14A7607C9E7A}">
  <dimension ref="A1:L10"/>
  <sheetViews>
    <sheetView showGridLines="0" zoomScaleNormal="100" workbookViewId="0"/>
  </sheetViews>
  <sheetFormatPr defaultColWidth="9" defaultRowHeight="20.149999999999999" customHeight="1" x14ac:dyDescent="0.45"/>
  <cols>
    <col min="1" max="1" width="50.58203125" style="12" customWidth="1"/>
    <col min="2" max="2" width="13" style="5" bestFit="1" customWidth="1"/>
    <col min="3" max="3" width="15.25" style="5" bestFit="1" customWidth="1"/>
    <col min="4" max="4" width="27.08203125" style="5" bestFit="1" customWidth="1"/>
    <col min="5" max="5" width="14.1640625" style="5" customWidth="1"/>
    <col min="6" max="6" width="25.83203125" style="5" bestFit="1" customWidth="1"/>
    <col min="7" max="7" width="15.58203125" style="5" bestFit="1" customWidth="1"/>
    <col min="8" max="8" width="15.1640625" style="5" bestFit="1" customWidth="1"/>
    <col min="9" max="9" width="11.08203125" style="5" bestFit="1" customWidth="1"/>
    <col min="10" max="10" width="10.25" style="5" bestFit="1" customWidth="1"/>
    <col min="11" max="11" width="14.9140625" style="5" bestFit="1" customWidth="1"/>
    <col min="12" max="12" width="17.5" style="5" bestFit="1" customWidth="1"/>
    <col min="13" max="13" width="34.58203125" style="5" bestFit="1" customWidth="1"/>
    <col min="14" max="14" width="22.25" style="5" bestFit="1" customWidth="1"/>
    <col min="15" max="15" width="24.75" style="5" bestFit="1" customWidth="1"/>
    <col min="16" max="16384" width="9" style="5"/>
  </cols>
  <sheetData>
    <row r="1" spans="2:12" ht="21" x14ac:dyDescent="0.45">
      <c r="B1" s="25" t="s">
        <v>91</v>
      </c>
      <c r="C1" s="25" t="s">
        <v>92</v>
      </c>
      <c r="D1" s="25" t="s">
        <v>93</v>
      </c>
      <c r="E1" s="25" t="s">
        <v>94</v>
      </c>
      <c r="F1" s="25" t="s">
        <v>95</v>
      </c>
      <c r="G1" s="26" t="s">
        <v>107</v>
      </c>
      <c r="H1" s="26" t="s">
        <v>105</v>
      </c>
      <c r="I1" s="26" t="s">
        <v>108</v>
      </c>
      <c r="J1" s="26" t="s">
        <v>109</v>
      </c>
      <c r="K1" s="26" t="s">
        <v>110</v>
      </c>
      <c r="L1" s="26" t="s">
        <v>111</v>
      </c>
    </row>
    <row r="2" spans="2:12" ht="21" x14ac:dyDescent="0.45">
      <c r="B2" s="11"/>
      <c r="C2" s="11"/>
      <c r="D2" s="11"/>
      <c r="E2" s="11"/>
      <c r="F2" s="11"/>
      <c r="G2" s="14">
        <v>0</v>
      </c>
      <c r="H2" s="14">
        <v>0</v>
      </c>
      <c r="I2" s="14">
        <v>0</v>
      </c>
      <c r="J2" s="14">
        <v>0</v>
      </c>
      <c r="K2" s="14">
        <v>0</v>
      </c>
      <c r="L2" s="14">
        <v>0</v>
      </c>
    </row>
    <row r="3" spans="2:12" ht="21" x14ac:dyDescent="0.45">
      <c r="B3" s="15" t="s">
        <v>98</v>
      </c>
      <c r="C3" s="15"/>
      <c r="D3" s="15"/>
      <c r="E3" s="15"/>
      <c r="F3" s="15"/>
      <c r="G3" s="16">
        <v>0</v>
      </c>
      <c r="H3" s="16">
        <v>0</v>
      </c>
      <c r="I3" s="16">
        <v>0</v>
      </c>
      <c r="J3" s="16">
        <v>0</v>
      </c>
      <c r="K3" s="16">
        <v>0</v>
      </c>
      <c r="L3" s="16">
        <v>0</v>
      </c>
    </row>
    <row r="4" spans="2:12" ht="20.149999999999999" customHeight="1" x14ac:dyDescent="0.45">
      <c r="B4"/>
      <c r="C4"/>
      <c r="D4"/>
      <c r="E4"/>
      <c r="F4"/>
      <c r="G4"/>
      <c r="H4"/>
      <c r="I4"/>
      <c r="J4"/>
      <c r="K4"/>
    </row>
    <row r="8" spans="2:12" ht="21" x14ac:dyDescent="0.45"/>
    <row r="10" spans="2:12" ht="21" x14ac:dyDescent="0.45"/>
  </sheetData>
  <pageMargins left="0.7" right="0.7" top="0.75" bottom="0.75" header="0.3" footer="0.3"/>
  <drawing r:id="rId2"/>
  <extLst>
    <ext xmlns:x14="http://schemas.microsoft.com/office/spreadsheetml/2009/9/main" uri="{A8765BA9-456A-4dab-B4F3-ACF838C121DE}">
      <x14:slicerList>
        <x14:slicer r:id="rId3"/>
      </x14:slicerList>
    </ext>
  </extLs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AFD9D77-FE1A-4986-8555-546CEA41E376}">
  <dimension ref="A1:B13"/>
  <sheetViews>
    <sheetView zoomScaleNormal="100" workbookViewId="0">
      <selection activeCell="B13" sqref="B13"/>
    </sheetView>
  </sheetViews>
  <sheetFormatPr defaultRowHeight="16.5" x14ac:dyDescent="0.45"/>
  <cols>
    <col min="1" max="1" width="23.25" customWidth="1"/>
    <col min="2" max="2" width="22.25" customWidth="1"/>
  </cols>
  <sheetData>
    <row r="1" spans="1:2" x14ac:dyDescent="0.45">
      <c r="A1" t="s">
        <v>3</v>
      </c>
      <c r="B1" t="s">
        <v>1</v>
      </c>
    </row>
    <row r="2" spans="1:2" x14ac:dyDescent="0.45">
      <c r="A2" t="s">
        <v>77</v>
      </c>
      <c r="B2" t="s">
        <v>86</v>
      </c>
    </row>
    <row r="3" spans="1:2" x14ac:dyDescent="0.45">
      <c r="A3" t="s">
        <v>78</v>
      </c>
      <c r="B3" t="s">
        <v>87</v>
      </c>
    </row>
    <row r="4" spans="1:2" x14ac:dyDescent="0.45">
      <c r="A4" t="s">
        <v>68</v>
      </c>
      <c r="B4" t="s">
        <v>68</v>
      </c>
    </row>
    <row r="5" spans="1:2" x14ac:dyDescent="0.45">
      <c r="A5" t="s">
        <v>69</v>
      </c>
      <c r="B5" t="s">
        <v>69</v>
      </c>
    </row>
    <row r="6" spans="1:2" x14ac:dyDescent="0.45">
      <c r="A6" t="s">
        <v>79</v>
      </c>
      <c r="B6" t="s">
        <v>70</v>
      </c>
    </row>
    <row r="7" spans="1:2" x14ac:dyDescent="0.45">
      <c r="A7" t="s">
        <v>71</v>
      </c>
      <c r="B7" t="s">
        <v>71</v>
      </c>
    </row>
    <row r="8" spans="1:2" x14ac:dyDescent="0.45">
      <c r="A8" t="s">
        <v>80</v>
      </c>
      <c r="B8" t="s">
        <v>72</v>
      </c>
    </row>
    <row r="9" spans="1:2" x14ac:dyDescent="0.45">
      <c r="A9" t="s">
        <v>81</v>
      </c>
      <c r="B9" t="s">
        <v>73</v>
      </c>
    </row>
    <row r="10" spans="1:2" x14ac:dyDescent="0.45">
      <c r="A10" t="s">
        <v>82</v>
      </c>
      <c r="B10" t="s">
        <v>74</v>
      </c>
    </row>
    <row r="11" spans="1:2" x14ac:dyDescent="0.45">
      <c r="A11" t="s">
        <v>83</v>
      </c>
      <c r="B11" t="s">
        <v>75</v>
      </c>
    </row>
    <row r="12" spans="1:2" x14ac:dyDescent="0.45">
      <c r="A12" t="s">
        <v>84</v>
      </c>
      <c r="B12" t="s">
        <v>76</v>
      </c>
    </row>
    <row r="13" spans="1:2" x14ac:dyDescent="0.45">
      <c r="A13" t="s">
        <v>85</v>
      </c>
      <c r="B13" t="s">
        <v>85</v>
      </c>
    </row>
  </sheetData>
  <pageMargins left="0.7" right="0.7" top="0.75" bottom="0.75" header="0.3" footer="0.3"/>
  <pageSetup orientation="portrait" r:id="rId1"/>
  <tableParts count="1">
    <tablePart r:id="rId2"/>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B660A3C-AF79-49CD-9630-9BBF64CB79D9}">
  <dimension ref="A1:C1"/>
  <sheetViews>
    <sheetView zoomScaleNormal="100" workbookViewId="0">
      <selection activeCell="C1" sqref="C1"/>
    </sheetView>
  </sheetViews>
  <sheetFormatPr defaultRowHeight="16.5" x14ac:dyDescent="0.45"/>
  <cols>
    <col min="1" max="1" width="16.83203125" customWidth="1"/>
    <col min="2" max="2" width="11.33203125" customWidth="1"/>
  </cols>
  <sheetData>
    <row r="1" spans="1:3" x14ac:dyDescent="0.45">
      <c r="A1" t="s">
        <v>2</v>
      </c>
      <c r="B1" t="s">
        <v>0</v>
      </c>
      <c r="C1" t="s">
        <v>1</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3D37DBB-4AC2-46F2-B64A-5C237CE209EB}">
  <dimension ref="A1:K11"/>
  <sheetViews>
    <sheetView zoomScaleNormal="100" workbookViewId="0">
      <selection activeCell="C1" sqref="C1"/>
    </sheetView>
  </sheetViews>
  <sheetFormatPr defaultRowHeight="16.5" x14ac:dyDescent="0.45"/>
  <cols>
    <col min="1" max="1" width="25.58203125" customWidth="1"/>
    <col min="2" max="2" width="40.58203125" customWidth="1"/>
    <col min="3" max="3" width="5.58203125" customWidth="1"/>
    <col min="4" max="4" width="25.58203125" customWidth="1"/>
    <col min="5" max="5" width="40.58203125" customWidth="1"/>
    <col min="6" max="6" width="5.58203125" customWidth="1"/>
    <col min="7" max="7" width="25.58203125" customWidth="1"/>
    <col min="8" max="8" width="40.58203125" customWidth="1"/>
    <col min="9" max="9" width="5.58203125" customWidth="1"/>
    <col min="10" max="10" width="40.58203125" customWidth="1"/>
    <col min="11" max="11" width="25.58203125" customWidth="1"/>
  </cols>
  <sheetData>
    <row r="1" spans="1:11" x14ac:dyDescent="0.45">
      <c r="A1" s="1" t="s">
        <v>6</v>
      </c>
      <c r="B1" s="1" t="s">
        <v>7</v>
      </c>
      <c r="D1" s="1" t="s">
        <v>26</v>
      </c>
      <c r="E1" s="1" t="s">
        <v>27</v>
      </c>
      <c r="G1" s="1" t="s">
        <v>4</v>
      </c>
      <c r="H1" s="1" t="s">
        <v>5</v>
      </c>
      <c r="J1" s="1" t="s">
        <v>45</v>
      </c>
      <c r="K1" s="1" t="s">
        <v>46</v>
      </c>
    </row>
    <row r="2" spans="1:11" x14ac:dyDescent="0.45">
      <c r="A2" t="s">
        <v>8</v>
      </c>
      <c r="B2" t="s">
        <v>9</v>
      </c>
      <c r="D2" t="s">
        <v>47</v>
      </c>
      <c r="E2" t="s">
        <v>48</v>
      </c>
      <c r="G2" t="s">
        <v>4</v>
      </c>
      <c r="H2" t="s">
        <v>5</v>
      </c>
      <c r="J2" t="s">
        <v>45</v>
      </c>
      <c r="K2" t="s">
        <v>46</v>
      </c>
    </row>
    <row r="3" spans="1:11" x14ac:dyDescent="0.45">
      <c r="A3" t="s">
        <v>10</v>
      </c>
      <c r="B3" t="s">
        <v>11</v>
      </c>
      <c r="D3" t="s">
        <v>28</v>
      </c>
      <c r="E3" t="s">
        <v>29</v>
      </c>
    </row>
    <row r="4" spans="1:11" x14ac:dyDescent="0.45">
      <c r="A4" t="s">
        <v>12</v>
      </c>
      <c r="B4" t="s">
        <v>13</v>
      </c>
      <c r="D4" t="s">
        <v>30</v>
      </c>
      <c r="E4" t="s">
        <v>31</v>
      </c>
    </row>
    <row r="5" spans="1:11" x14ac:dyDescent="0.45">
      <c r="A5" t="s">
        <v>14</v>
      </c>
      <c r="B5" t="s">
        <v>15</v>
      </c>
      <c r="D5" t="s">
        <v>32</v>
      </c>
      <c r="E5" t="s">
        <v>33</v>
      </c>
    </row>
    <row r="6" spans="1:11" x14ac:dyDescent="0.45">
      <c r="A6" t="s">
        <v>16</v>
      </c>
      <c r="B6" t="s">
        <v>17</v>
      </c>
      <c r="D6" t="s">
        <v>34</v>
      </c>
      <c r="E6" t="s">
        <v>35</v>
      </c>
    </row>
    <row r="7" spans="1:11" x14ac:dyDescent="0.45">
      <c r="A7" t="s">
        <v>18</v>
      </c>
      <c r="B7" t="s">
        <v>19</v>
      </c>
      <c r="D7" t="s">
        <v>36</v>
      </c>
      <c r="E7" t="s">
        <v>37</v>
      </c>
    </row>
    <row r="8" spans="1:11" x14ac:dyDescent="0.45">
      <c r="A8" t="s">
        <v>20</v>
      </c>
      <c r="B8" t="s">
        <v>21</v>
      </c>
      <c r="D8" t="s">
        <v>38</v>
      </c>
      <c r="E8" t="s">
        <v>39</v>
      </c>
    </row>
    <row r="9" spans="1:11" x14ac:dyDescent="0.45">
      <c r="A9" t="s">
        <v>22</v>
      </c>
      <c r="B9" t="s">
        <v>23</v>
      </c>
      <c r="D9" t="s">
        <v>40</v>
      </c>
      <c r="E9" t="s">
        <v>41</v>
      </c>
    </row>
    <row r="10" spans="1:11" x14ac:dyDescent="0.45">
      <c r="A10" t="s">
        <v>24</v>
      </c>
      <c r="B10" t="s">
        <v>25</v>
      </c>
      <c r="D10" t="s">
        <v>0</v>
      </c>
      <c r="E10" t="s">
        <v>42</v>
      </c>
    </row>
    <row r="11" spans="1:11" x14ac:dyDescent="0.45">
      <c r="D11" t="s">
        <v>43</v>
      </c>
      <c r="E11" t="s">
        <v>44</v>
      </c>
    </row>
  </sheetData>
  <pageMargins left="0.7" right="0.7" top="0.75" bottom="0.75" header="0.3" footer="0.3"/>
  <tableParts count="4">
    <tablePart r:id="rId1"/>
    <tablePart r:id="rId2"/>
    <tablePart r:id="rId3"/>
    <tablePart r:id="rId4"/>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EDB6124-38B9-43B5-BE75-4DD2070EE95F}">
  <dimension ref="A1:C7"/>
  <sheetViews>
    <sheetView showGridLines="0" zoomScaleNormal="100" workbookViewId="0"/>
  </sheetViews>
  <sheetFormatPr defaultColWidth="9" defaultRowHeight="20.149999999999999" customHeight="1" x14ac:dyDescent="0.45"/>
  <cols>
    <col min="1" max="1" width="17.33203125" style="11" bestFit="1" customWidth="1"/>
    <col min="2" max="2" width="25.58203125" style="11" customWidth="1"/>
    <col min="3" max="16384" width="9" style="11"/>
  </cols>
  <sheetData>
    <row r="1" spans="1:3" ht="20.149999999999999" customHeight="1" x14ac:dyDescent="0.45">
      <c r="A1" s="4" t="s">
        <v>99</v>
      </c>
      <c r="B1" s="20" t="str" cm="1">
        <f t="array" ref="B1">ReportRequest.EnvironmentName</f>
        <v>Environment name Value</v>
      </c>
    </row>
    <row r="2" spans="1:3" ht="20.149999999999999" customHeight="1" x14ac:dyDescent="0.45">
      <c r="A2" s="4" t="s">
        <v>100</v>
      </c>
      <c r="B2" s="20" t="str" cm="1">
        <f t="array" ref="B2">ReportRequest.CompanyName</f>
        <v>Company name Value</v>
      </c>
    </row>
    <row r="3" spans="1:3" ht="20.149999999999999" customHeight="1" x14ac:dyDescent="0.45">
      <c r="A3" s="4" t="s">
        <v>101</v>
      </c>
      <c r="B3" s="20" t="str" cm="1">
        <f t="array" ref="B3">ReportRequest.UserName</f>
        <v>User name Value</v>
      </c>
    </row>
    <row r="4" spans="1:3" ht="20.149999999999999" customHeight="1" x14ac:dyDescent="0.45">
      <c r="A4" s="4" t="s">
        <v>102</v>
      </c>
      <c r="B4" s="21" t="e" cm="1">
        <f t="array" ref="B4">ReportRequest.DateLocal</f>
        <v>#NAME?</v>
      </c>
    </row>
    <row r="5" spans="1:3" ht="20.149999999999999" customHeight="1" x14ac:dyDescent="0.45">
      <c r="A5" s="4"/>
      <c r="B5" s="24" t="e" cm="1">
        <f t="array" ref="B5">ReportRequest.DateLocal</f>
        <v>#NAME?</v>
      </c>
      <c r="C5" s="23"/>
    </row>
    <row r="6" spans="1:3" ht="20.149999999999999" customHeight="1" x14ac:dyDescent="0.45">
      <c r="A6" s="4" t="s">
        <v>103</v>
      </c>
      <c r="B6" s="20" t="e" cm="1">
        <f t="array" ref="B6">ReportMetadata.ObjectCaption</f>
        <v>#NAME?</v>
      </c>
    </row>
    <row r="7" spans="1:3" ht="20.149999999999999" customHeight="1" x14ac:dyDescent="0.45">
      <c r="A7" s="4" t="s">
        <v>104</v>
      </c>
      <c r="B7" s="22" t="str">
        <f>HYPERLINK(_xlfn.CONCAT("https://learn.microsoft.com/dynamics365/business-central/reports/report-",ReportMetadata.ObjectID))</f>
        <v>https://learn.microsoft.com/dynamics365/business-central/reports/report-Object ID Value</v>
      </c>
    </row>
  </sheetData>
  <pageMargins left="0.7" right="0.7" top="0.75" bottom="0.75" header="0.3" footer="0.3"/>
  <pageSetup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515E576-7189-4EEB-93B3-46FDEF204471}">
  <dimension ref="A1:G2"/>
  <sheetViews>
    <sheetView zoomScaleNormal="100" workbookViewId="0">
      <selection sqref="A1:G2"/>
    </sheetView>
  </sheetViews>
  <sheetFormatPr defaultRowHeight="16.5" x14ac:dyDescent="0.45"/>
  <cols>
    <col min="1" max="1" width="16" bestFit="1" customWidth="1"/>
    <col min="2" max="2" width="16.83203125" bestFit="1" customWidth="1"/>
    <col min="3" max="3" width="15.83203125" bestFit="1" customWidth="1"/>
    <col min="4" max="4" width="10.83203125" bestFit="1" customWidth="1"/>
    <col min="5" max="5" width="10.08203125" bestFit="1" customWidth="1"/>
    <col min="6" max="6" width="18.5" bestFit="1" customWidth="1"/>
    <col min="7" max="7" width="13.83203125" bestFit="1" customWidth="1"/>
    <col min="8" max="8" width="16.33203125" bestFit="1" customWidth="1"/>
    <col min="9" max="9" width="9.25" bestFit="1" customWidth="1"/>
    <col min="10" max="10" width="15.83203125" bestFit="1" customWidth="1"/>
    <col min="11" max="11" width="16.75" bestFit="1" customWidth="1"/>
    <col min="12" max="12" width="15.75" bestFit="1" customWidth="1"/>
    <col min="13" max="13" width="18.33203125" bestFit="1" customWidth="1"/>
    <col min="14" max="14" width="13.75" bestFit="1" customWidth="1"/>
    <col min="15" max="15" width="12.33203125" bestFit="1" customWidth="1"/>
    <col min="16" max="16" width="27.83203125" bestFit="1" customWidth="1"/>
    <col min="17" max="17" width="16.5" bestFit="1" customWidth="1"/>
    <col min="18" max="18" width="19.08203125" bestFit="1" customWidth="1"/>
    <col min="19" max="19" width="15.75" bestFit="1" customWidth="1"/>
    <col min="20" max="20" width="29.25" bestFit="1" customWidth="1"/>
  </cols>
  <sheetData>
    <row r="1" spans="1:7" x14ac:dyDescent="0.45">
      <c r="A1" t="s">
        <v>49</v>
      </c>
      <c r="B1" t="s">
        <v>50</v>
      </c>
      <c r="C1" t="s">
        <v>51</v>
      </c>
      <c r="D1" t="s">
        <v>96</v>
      </c>
      <c r="E1" t="s">
        <v>97</v>
      </c>
      <c r="F1" t="s">
        <v>52</v>
      </c>
      <c r="G1" t="s">
        <v>53</v>
      </c>
    </row>
    <row r="2" spans="1:7" x14ac:dyDescent="0.45">
      <c r="A2" t="s">
        <v>67</v>
      </c>
      <c r="B2" t="s">
        <v>67</v>
      </c>
      <c r="C2" t="s">
        <v>67</v>
      </c>
      <c r="D2" s="13"/>
      <c r="E2" s="13"/>
      <c r="F2" t="s">
        <v>88</v>
      </c>
      <c r="G2" t="s">
        <v>89</v>
      </c>
    </row>
  </sheetData>
  <phoneticPr fontId="4" type="noConversion"/>
  <pageMargins left="0.7" right="0.7" top="0.75" bottom="0.75" header="0.3" footer="0.3"/>
  <tableParts count="1">
    <tablePart r:id="rId1"/>
  </tableParts>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R2"/>
  <sheetViews>
    <sheetView zoomScaleNormal="100" workbookViewId="0">
      <pane ySplit="1" topLeftCell="A2" activePane="bottomLeft" state="frozen"/>
      <selection activeCell="C1" sqref="C1"/>
      <selection pane="bottomLeft"/>
    </sheetView>
  </sheetViews>
  <sheetFormatPr defaultRowHeight="20.149999999999999" customHeight="1" x14ac:dyDescent="0.45"/>
  <cols>
    <col min="1" max="1" width="14.75" bestFit="1" customWidth="1"/>
    <col min="2" max="2" width="10.08203125" bestFit="1" customWidth="1"/>
    <col min="3" max="3" width="9.33203125" bestFit="1" customWidth="1"/>
    <col min="4" max="4" width="17.08203125" bestFit="1" customWidth="1"/>
    <col min="5" max="5" width="12.75" bestFit="1" customWidth="1"/>
    <col min="6" max="6" width="18.75" bestFit="1" customWidth="1"/>
    <col min="7" max="7" width="24.08203125" bestFit="1" customWidth="1"/>
    <col min="8" max="8" width="22.5" bestFit="1" customWidth="1"/>
    <col min="9" max="9" width="20.08203125" bestFit="1" customWidth="1"/>
    <col min="10" max="10" width="21.33203125" bestFit="1" customWidth="1"/>
    <col min="11" max="11" width="23.58203125" bestFit="1" customWidth="1"/>
    <col min="12" max="12" width="14.33203125" bestFit="1" customWidth="1"/>
    <col min="13" max="13" width="11.75" bestFit="1" customWidth="1"/>
    <col min="14" max="14" width="19.33203125" bestFit="1" customWidth="1"/>
    <col min="15" max="15" width="12" bestFit="1" customWidth="1"/>
    <col min="16" max="16" width="11.5" bestFit="1" customWidth="1"/>
    <col min="17" max="17" width="11.25" bestFit="1" customWidth="1"/>
    <col min="18" max="18" width="9.08203125" bestFit="1" customWidth="1"/>
  </cols>
  <sheetData>
    <row r="1" spans="1:18" s="6" customFormat="1" ht="20.149999999999999" customHeight="1" x14ac:dyDescent="0.45">
      <c r="A1" s="6" t="s">
        <v>51</v>
      </c>
      <c r="B1" s="6" t="s">
        <v>96</v>
      </c>
      <c r="C1" s="6" t="s">
        <v>97</v>
      </c>
      <c r="D1" s="6" t="s">
        <v>52</v>
      </c>
      <c r="E1" s="6" t="s">
        <v>53</v>
      </c>
      <c r="F1" s="6" t="s">
        <v>54</v>
      </c>
      <c r="G1" s="6" t="s">
        <v>55</v>
      </c>
      <c r="H1" s="6" t="s">
        <v>56</v>
      </c>
      <c r="I1" s="6" t="s">
        <v>57</v>
      </c>
      <c r="J1" s="6" t="s">
        <v>58</v>
      </c>
      <c r="K1" s="6" t="s">
        <v>59</v>
      </c>
      <c r="L1" s="6" t="s">
        <v>60</v>
      </c>
      <c r="M1" s="6" t="s">
        <v>61</v>
      </c>
      <c r="N1" s="6" t="s">
        <v>62</v>
      </c>
      <c r="O1" s="6" t="s">
        <v>63</v>
      </c>
      <c r="P1" s="6" t="s">
        <v>64</v>
      </c>
      <c r="Q1" s="6" t="s">
        <v>65</v>
      </c>
      <c r="R1" s="6" t="s">
        <v>66</v>
      </c>
    </row>
    <row r="2" spans="1:18" s="3" customFormat="1" ht="20.149999999999999" customHeight="1" x14ac:dyDescent="0.45">
      <c r="A2" s="3" t="s">
        <v>67</v>
      </c>
      <c r="D2" s="3" t="s">
        <v>88</v>
      </c>
      <c r="E2" s="3" t="s">
        <v>89</v>
      </c>
      <c r="F2" s="3" t="s">
        <v>67</v>
      </c>
      <c r="G2" s="3" t="s">
        <v>67</v>
      </c>
      <c r="H2" s="3" t="s">
        <v>67</v>
      </c>
      <c r="I2" s="3" t="s">
        <v>67</v>
      </c>
      <c r="J2" s="3" t="s">
        <v>67</v>
      </c>
      <c r="K2" s="3">
        <v>0</v>
      </c>
      <c r="L2" s="3">
        <v>0</v>
      </c>
      <c r="M2" s="3">
        <v>0</v>
      </c>
      <c r="N2" s="3">
        <v>0</v>
      </c>
      <c r="O2" s="3">
        <v>0</v>
      </c>
      <c r="P2" s="3">
        <v>0</v>
      </c>
      <c r="Q2" s="3">
        <v>0</v>
      </c>
      <c r="R2" s="3">
        <v>0</v>
      </c>
    </row>
  </sheetData>
  <phoneticPr fontId="4" type="noConversion"/>
  <pageMargins left="0.7" right="0.7" top="0.75" bottom="0.75" header="0.3" footer="0.3"/>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item1.xml>�� 
</file>

<file path=customXml/itemProps1.xml><?xml version="1.0" encoding="utf-8"?>
<ds:datastoreItem xmlns:ds="http://schemas.openxmlformats.org/officeDocument/2006/customXml" ds:itemID="{A08EBDE1-7228-4C63-B324-3A06281C4FB0}">
  <ds:schemaRefs>
    <ds:schemaRef ds:uri="http://schemas.microsoft.com/DataMashup"/>
  </ds:schemaRefs>
</ds:datastoreItem>
</file>

<file path=docMetadata/LabelInfo.xml><?xml version="1.0" encoding="utf-8"?>
<clbl:labelList xmlns:clbl="http://schemas.microsoft.com/office/2020/mipLabelMetadata">
  <clbl:label id="{85ca8af4-763a-45c2-80ae-a5ca1b80bddc}" enabled="1" method="Standard" siteId="{06cdaf09-14f0-4cd1-8ac0-7bfed707a82c}" contentBits="0" removed="0"/>
  <clbl:label id="{f42aa342-8706-4288-bd11-ebb85995028c}" enabled="1" method="Standard" siteId="{72f988bf-86f1-41af-91ab-2d7cd011db47}" contentBits="0" removed="0"/>
</clbl:labelLis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8</vt:i4>
      </vt:variant>
    </vt:vector>
  </HeadingPairs>
  <TitlesOfParts>
    <vt:vector size="8" baseType="lpstr">
      <vt:lpstr>$ProdOrderWipPrintLbl$</vt:lpstr>
      <vt:lpstr>$ProdOrderWipAnalysisLbl$</vt:lpstr>
      <vt:lpstr>CaptionData</vt:lpstr>
      <vt:lpstr>TranslationData</vt:lpstr>
      <vt:lpstr>Aggregated Metadata</vt:lpstr>
      <vt:lpstr>$AboutTheReportLbl$</vt:lpstr>
      <vt:lpstr>FixedData</vt:lpstr>
      <vt:lpstr>Data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Dan Williams</cp:lastModifiedBy>
  <cp:lastPrinted>2025-02-14T06:34:18Z</cp:lastPrinted>
  <dcterms:modified xsi:type="dcterms:W3CDTF">2025-12-08T04:00:07Z</dcterms:modified>
</cp:coreProperties>
</file>
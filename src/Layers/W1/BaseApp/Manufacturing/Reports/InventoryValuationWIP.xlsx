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NAV\App\BCApps\src\Layers\W1\BaseApp\Manufacturing\Reports\"/>
    </mc:Choice>
  </mc:AlternateContent>
  <xr:revisionPtr revIDLastSave="0" documentId="13_ncr:1_{D0B60050-B0E0-4DEB-B407-22852B6F6167}" xr6:coauthVersionLast="47" xr6:coauthVersionMax="47" xr10:uidLastSave="{00000000-0000-0000-0000-000000000000}"/>
  <bookViews>
    <workbookView xWindow="-110" yWindow="-110" windowWidth="19420" windowHeight="10300" xr2:uid="{00000000-000D-0000-FFFF-FFFF00000000}"/>
  </bookViews>
  <sheets>
    <sheet name="$ProdOrderWipPrintLbl$" sheetId="6" r:id="rId1"/>
    <sheet name="$ProdOrderWipAnalysisLbl$" sheetId="9" r:id="rId2"/>
    <sheet name="CaptionData" sheetId="3" state="hidden" r:id="rId3"/>
    <sheet name="TranslationData" sheetId="2" state="hidden" r:id="rId4"/>
    <sheet name="Aggregated Metadata" sheetId="4" state="hidden" r:id="rId5"/>
    <sheet name="$AboutTheReportLbl$" sheetId="12" r:id="rId6"/>
    <sheet name="FixedData" sheetId="11" state="hidden" r:id="rId7"/>
    <sheet name="Data" sheetId="1" state="hidden" r:id="rId8"/>
  </sheets>
  <definedNames>
    <definedName name="EndDateHeading">_xlfn.XLOOKUP("EndDateHeading", ReportRequestPageValues[Request Page Option], ReportRequestPageValues[Request Page Option Value])</definedName>
    <definedName name="ProdOrderFilterHeading">_xlfn.XLOOKUP("ProdOrderFilterHeading",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Slicer_Desc_ProductionOrder">#N/A</definedName>
    <definedName name="Slicer_No_ProductionOrder">#N/A</definedName>
    <definedName name="Slicer_SourceNo_ProductionOrder">#N/A</definedName>
    <definedName name="Slicer_SrcType_ProductionOrder">#N/A</definedName>
    <definedName name="Slicer_Status_ProductionOrder">#N/A</definedName>
    <definedName name="StartDateHeading">_xlfn.XLOOKUP("StartDateHeading", ReportRequestPageValues[Request Page Option], ReportRequestPageValues[Request Page Option Value])</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a="1"/>
  <c r="C4" i="6" a="1"/>
  <c r="B4" i="6" a="1"/>
  <c r="K4" i="6" a="1"/>
  <c r="B6" i="12" a="1"/>
  <c r="B5" i="12" a="1"/>
  <c r="B4" i="12" a="1"/>
  <c r="L4" i="6" a="1"/>
  <c r="B7" i="12" l="1"/>
  <c r="B3" i="12" a="1"/>
  <c r="B2" i="12" a="1"/>
  <c r="B1" i="12" a="1"/>
  <c r="L2" i="6"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446F78-62CD-45F8-B34D-D300102DAFB0}" keepAlive="1" name="Query - CaptionData" description="Connection to the 'CaptionData' query in the workbook." type="5" refreshedVersion="0" refreshOnLoad="1" saveData="1">
    <dbPr connection="Provider=Microsoft.Mashup.OleDb.1;Data Source=$Workbook$;Location=CaptionData;Extended Properties=&quot;&quot;" command="SELECT * FROM [CaptionData]"/>
  </connection>
  <connection id="2" xr16:uid="{98657858-57C8-4229-9A26-174BBFF35C5C}" keepAlive="1" name="Query - ProdOrderWIP_Query" description="Connection to the 'ProdOrderWIP_Query' query in the workbook." type="5" refreshedVersion="8" refreshOnLoad="1" saveData="1">
    <dbPr connection="Provider=Microsoft.Mashup.OleDb.1;Data Source=$Workbook$;Location=ProdOrderWIP_Query;Extended Properties=&quot;&quot;" command="SELECT * FROM [ProdOrderWIP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<sst xmlns="http://schemas.openxmlformats.org/spreadsheetml/2006/main" count="152" uniqueCount="114">
  <si>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</si>
  <si>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</si>
  <si>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</si>
  <si>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</si>
  <si>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</si>
  <si>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</si>
  <si>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</si>
  <si>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</si>
  <si>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</si>
  <si>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</si>
  <si>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</si>
  <si>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</si>
  <si>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</si>
  <si>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</si>
  <si>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</si>
  <si>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</si>
  <si>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</si>
  <si>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</si>
  <si>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</si>
  <si>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</si>
  <si>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</si>
  <si>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</si>
  <si>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</si>
  <si>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</si>
  <si>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</si>
  <si>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</si>
  <si>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</si>
  <si>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</si>
  <si>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</si>
  <si>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</si>
  <si>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</si>
  <si>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</si>
  <si>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</si>
  <si>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</si>
  <si>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</si>
  <si>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</si>
  <si>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</si>
  <si>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</si>
  <si>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</si>
  <si>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</si>
  <si>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</si>
  <si>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</si>
  <si>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</si>
  <si>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</si>
  <si>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</si>
  <si>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</si>
  <si>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</si>
  <si>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Tenant Entra Id</t>
  </si>
  <si>
    <t>Tenant Entra Id Value</t>
  </si>
  <si>
    <t>CompanyName</t>
  </si>
  <si>
    <t>TodayFormatted</t>
  </si>
  <si>
    <t>ProdOrderFilter</t>
  </si>
  <si>
    <t>AsOfStartDateText</t>
  </si>
  <si>
    <t>AsofEndDate</t>
  </si>
  <si>
    <t>No_ProductionOrder</t>
  </si>
  <si>
    <t>SourceNo_ProductionOrder</t>
  </si>
  <si>
    <t>SrcType_ProductionOrder</t>
  </si>
  <si>
    <t>Desc_ProductionOrder</t>
  </si>
  <si>
    <t>Status_ProductionOrder</t>
  </si>
  <si>
    <t>ValueEntryCostPostedtoGL</t>
  </si>
  <si>
    <t>ValueOfOutput</t>
  </si>
  <si>
    <t>ValueOfCap</t>
  </si>
  <si>
    <t>ValueOfMatConsump</t>
  </si>
  <si>
    <t>ValueOfWIP</t>
  </si>
  <si>
    <t>LastOutput</t>
  </si>
  <si>
    <t>AtLastDate</t>
  </si>
  <si>
    <t>LastWIP</t>
  </si>
  <si>
    <t/>
  </si>
  <si>
    <t>Capacity</t>
  </si>
  <si>
    <t>Output</t>
  </si>
  <si>
    <t>Cost Posted to G/L</t>
  </si>
  <si>
    <t>Consumption</t>
  </si>
  <si>
    <t>No.</t>
  </si>
  <si>
    <t>Status</t>
  </si>
  <si>
    <t>Description</t>
  </si>
  <si>
    <t>Source Type</t>
  </si>
  <si>
    <t>Source No.</t>
  </si>
  <si>
    <t>InventoryValuationWIP</t>
  </si>
  <si>
    <t>CurrReportPageNo</t>
  </si>
  <si>
    <t>CostPostedToGL</t>
  </si>
  <si>
    <t>ProductionOrderNo</t>
  </si>
  <si>
    <t>ProdOrderStatus</t>
  </si>
  <si>
    <t>ProdOrderDescription</t>
  </si>
  <si>
    <t>ProdOrderSourceType</t>
  </si>
  <si>
    <t>ProdOrderSourceNo</t>
  </si>
  <si>
    <t>Total</t>
  </si>
  <si>
    <t>Inventory Valuation - WIP</t>
  </si>
  <si>
    <t>Page</t>
  </si>
  <si>
    <t>Start Date</t>
  </si>
  <si>
    <t>End Date</t>
  </si>
  <si>
    <t xml:space="preserve"> </t>
  </si>
  <si>
    <t>$Status_ProductionOrder$</t>
  </si>
  <si>
    <t>$No_ProductionOrder$</t>
  </si>
  <si>
    <t>$Desc_ProductionOrder$</t>
  </si>
  <si>
    <t>$SrcType_ProductionOrder$</t>
  </si>
  <si>
    <t>$SourceNo_ProductionOrder$</t>
  </si>
  <si>
    <t>StartDate</t>
  </si>
  <si>
    <t>EndDate</t>
  </si>
  <si>
    <t>Grand Total</t>
  </si>
  <si>
    <t>$EnvironmentLbl$</t>
  </si>
  <si>
    <t>$CompanyLbl$</t>
  </si>
  <si>
    <t>$UserLbl$</t>
  </si>
  <si>
    <t>$RunOnLbl$</t>
  </si>
  <si>
    <t>$ReportNameLbl$</t>
  </si>
  <si>
    <t>$DocumentationLbl$</t>
  </si>
  <si>
    <t>$ConsumptionLbl$</t>
  </si>
  <si>
    <t>$ProdOrderWIPLbl$</t>
  </si>
  <si>
    <t>$AsOfStartDateLbl$</t>
  </si>
  <si>
    <t>$CapacityLbl$</t>
  </si>
  <si>
    <t>$OutputLbl$</t>
  </si>
  <si>
    <t>$AsOfEndDateLbl$</t>
  </si>
  <si>
    <t>$CostPostedToGLLbl$</t>
  </si>
  <si>
    <t>ExpensedWIP</t>
  </si>
  <si>
    <t>Expensed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</si>
</sst>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21" x14ac:knownFonts="1">
    <font>
      <sz val="11"/>
      <name val="Segoe UI"/>
      <family val="2"/>
      <scheme val="minor"/>
    </font>
    <font>
      <sz val="11"/>
      <color theme="1"/>
      <name val="Segoe UI"/>
      <family val="2"/>
      <scheme val="minor"/>
    </font>
    <font>
      <sz val="11"/>
      <color theme="1"/>
      <name val="Segoe UI"/>
      <family val="2"/>
      <scheme val="minor"/>
    </font>
    <font>
      <b/>
      <sz val="11"/>
      <name val="Segoe UI"/>
      <family val="2"/>
      <scheme val="minor"/>
    </font>
    <font>
      <sz val="8"/>
      <name val="Segoe UI"/>
      <family val="2"/>
      <scheme val="minor"/>
    </font>
    <font>
      <b/>
      <sz val="15"/>
      <color theme="1"/>
      <name val="Segoe UI"/>
      <family val="2"/>
      <scheme val="minor"/>
    </font>
    <font>
      <b/>
      <sz val="13"/>
      <color theme="1"/>
      <name val="Segoe UI"/>
      <family val="2"/>
      <scheme val="minor"/>
    </font>
    <font>
      <b/>
      <sz val="18"/>
      <color rgb="FF212121"/>
      <name val="Segoe UI Semibold"/>
      <family val="2"/>
      <scheme val="major"/>
    </font>
    <font>
      <sz val="10"/>
      <name val="Segoe UI Semibold"/>
      <family val="2"/>
      <scheme val="major"/>
    </font>
    <font>
      <sz val="10"/>
      <name val="Segoe UI"/>
      <family val="2"/>
      <scheme val="minor"/>
    </font>
    <font>
      <sz val="10"/>
      <color rgb="FF505C6D"/>
      <name val="Segoe UI"/>
      <family val="2"/>
    </font>
    <font>
      <sz val="10"/>
      <color rgb="FF505C6D"/>
      <name val="Segoe UI"/>
      <family val="2"/>
      <scheme val="minor"/>
    </font>
    <font>
      <sz val="10"/>
      <color theme="1"/>
      <name val="Segoe UI Semibold"/>
      <family val="2"/>
      <scheme val="major"/>
    </font>
    <font>
      <u/>
      <sz val="11"/>
      <color theme="10"/>
      <name val="Segoe UI"/>
      <family val="2"/>
      <scheme val="minor"/>
    </font>
    <font>
      <u/>
      <sz val="10"/>
      <color theme="10"/>
      <name val="Segoe UI"/>
      <family val="2"/>
      <scheme val="minor"/>
    </font>
    <font>
      <sz val="10"/>
      <color rgb="FF212121"/>
      <name val="Segoe UI"/>
      <family val="2"/>
      <scheme val="minor"/>
    </font>
    <font>
      <sz val="14"/>
      <name val="Segoe UI"/>
      <family val="2"/>
      <scheme val="minor"/>
    </font>
    <font>
      <b/>
      <sz val="10"/>
      <name val="Segoe UI"/>
      <family val="2"/>
      <scheme val="minor"/>
    </font>
    <font>
      <b/>
      <sz val="10"/>
      <color theme="1"/>
      <name val="Segoe UI Semibold"/>
      <family val="2"/>
      <scheme val="major"/>
    </font>
    <font>
      <sz val="10"/>
      <color theme="1"/>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6">
    <xf numFmtId="0" fontId="0" fillId="0" borderId="0"/>
    <xf numFmtId="0" fontId="5" fillId="0" borderId="1" applyNumberFormat="0" applyFill="0" applyBorder="0" applyAlignment="0" applyProtection="0"/>
    <xf numFmtId="0" fontId="2" fillId="0" borderId="0"/>
    <xf numFmtId="0" fontId="6" fillId="0" borderId="2" applyNumberFormat="0" applyFill="0" applyAlignment="0" applyProtection="0"/>
    <xf numFmtId="0" fontId="1" fillId="0" borderId="0"/>
    <xf numFmtId="0" fontId="13" fillId="0" borderId="0" applyNumberFormat="0" applyFill="0" applyBorder="0" applyAlignment="0" applyProtection="0"/>
  </cellStyleXfs>
  <cellXfs count="29">
    <xf numFmtId="0" fontId="0" fillId="0" borderId="0" xfId="0"/>
    <xf numFmtId="49" fontId="3" fillId="2" borderId="0" xfId="0" applyNumberFormat="1" applyFont="1" applyFill="1"/>
    <xf numFmtId="164" fontId="11" fillId="0" borderId="0" xfId="0" applyNumberFormat="1" applyFont="1" applyAlignment="1">
      <alignment horizontal="right" vertical="center"/>
    </xf>
    <xf numFmtId="0" fontId="10" fillId="0" borderId="0" xfId="2" applyFont="1"/>
    <xf numFmtId="0" fontId="12" fillId="0" borderId="0" xfId="0" applyFont="1" applyAlignment="1">
      <alignment vertical="center"/>
    </xf>
    <xf numFmtId="0" fontId="0" fillId="0" borderId="0" xfId="0" applyAlignment="1">
      <alignment vertical="center"/>
    </xf>
    <xf numFmtId="0" fontId="8" fillId="0" borderId="0" xfId="2" applyFont="1"/>
    <xf numFmtId="0" fontId="15" fillId="0" borderId="0" xfId="0" applyFont="1" applyAlignment="1">
      <alignment horizontal="right" vertical="center"/>
    </xf>
    <xf numFmtId="0" fontId="7" fillId="0" borderId="0" xfId="2" applyFont="1" applyAlignment="1">
      <alignment vertical="center"/>
    </xf>
    <xf numFmtId="0" fontId="8"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vertical="center"/>
    </xf>
    <xf numFmtId="0" fontId="16" fillId="0" borderId="0" xfId="0" applyFont="1" applyAlignment="1">
      <alignment vertical="center"/>
    </xf>
    <xf numFmtId="14" fontId="0" fillId="0" borderId="0" xfId="0" applyNumberFormat="1"/>
    <xf numFmtId="4" fontId="9" fillId="0" borderId="0" xfId="0" applyNumberFormat="1" applyFont="1" applyAlignment="1">
      <alignment vertical="center"/>
    </xf>
    <xf numFmtId="0" fontId="17" fillId="0" borderId="0" xfId="0" applyFont="1" applyAlignment="1">
      <alignment vertical="center"/>
    </xf>
    <xf numFmtId="4" fontId="17" fillId="0" borderId="0" xfId="0" applyNumberFormat="1" applyFont="1" applyAlignment="1">
      <alignment vertical="center"/>
    </xf>
    <xf numFmtId="0" fontId="18" fillId="0" borderId="2" xfId="3" applyFont="1" applyAlignment="1">
      <alignment horizontal="right" vertical="center"/>
    </xf>
    <xf numFmtId="0" fontId="19" fillId="0" borderId="0" xfId="0" applyFont="1" applyAlignment="1">
      <alignment horizontal="left" vertical="center"/>
    </xf>
    <xf numFmtId="164" fontId="15" fillId="0" borderId="0" xfId="0" applyNumberFormat="1" applyFont="1" applyAlignment="1">
      <alignment horizontal="right" vertical="center"/>
    </xf>
    <xf numFmtId="0" fontId="9" fillId="0" borderId="0" xfId="0" applyFont="1" applyAlignment="1">
      <alignment horizontal="left" vertical="center"/>
    </xf>
    <xf numFmtId="164" fontId="9" fillId="0" borderId="0" xfId="0" applyNumberFormat="1" applyFont="1" applyAlignment="1">
      <alignment horizontal="left" vertical="center"/>
    </xf>
    <xf numFmtId="0" fontId="14" fillId="0" borderId="0" xfId="5" applyFont="1" applyAlignment="1">
      <alignment horizontal="left" vertical="center"/>
    </xf>
    <xf numFmtId="0" fontId="15" fillId="0" borderId="0" xfId="0" applyFont="1" applyAlignment="1">
      <alignment vertical="center"/>
    </xf>
    <xf numFmtId="165" fontId="9" fillId="0" borderId="0" xfId="0" applyNumberFormat="1" applyFont="1" applyAlignment="1">
      <alignment horizontal="left" vertical="center"/>
    </xf>
    <xf numFmtId="0" fontId="20" fillId="0" borderId="0" xfId="0" pivotButton="1" applyFont="1" applyAlignment="1">
      <alignment vertical="center"/>
    </xf>
    <xf numFmtId="0" fontId="20" fillId="0" borderId="0" xfId="0" applyFont="1" applyAlignment="1">
      <alignment horizontal="right" vertical="center"/>
    </xf>
    <xf numFmtId="0" fontId="10" fillId="0" borderId="0" xfId="2" applyFont="1" applyAlignment="1">
      <alignment horizontal="left" vertical="center"/>
    </xf>
    <xf numFmtId="0" fontId="8" fillId="0" borderId="0" xfId="0" applyFont="1" applyAlignment="1">
      <alignment vertical="center"/>
    </xf>
  </cellXfs>
  <cellStyles count="6">
    <cellStyle name="Heading 1 2" xfId="1" xr:uid="{3ED76E77-6BFF-49E4-805C-873BCED8AB16}"/>
    <cellStyle name="Heading 2 2" xfId="3" xr:uid="{77168617-36C3-4744-BE1D-4D26A8470425}"/>
    <cellStyle name="Hyperlink" xfId="5" builtinId="8"/>
    <cellStyle name="Normal" xfId="0" builtinId="0"/>
    <cellStyle name="Normal 2" xfId="2" xr:uid="{35BCDD4E-A385-4FD8-BAA8-8D52116008E4}"/>
    <cellStyle name="Normal 3" xfId="4" xr:uid="{C3450446-C10F-491D-9E1B-6C6A1DFD6A4C}"/>
  </cellStyles>
  <dxfs count="217">
    <dxf>
      <font>
        <name val="Segoe UI Semibold"/>
        <scheme val="major"/>
      </font>
    </dxf>
    <dxf>
      <alignment vertical="center"/>
    </dxf>
    <dxf>
      <alignment vertical="center"/>
    </dxf>
    <dxf>
      <alignment vertical="center"/>
    </dxf>
    <dxf>
      <alignment vertical="center"/>
    </dxf>
    <dxf>
      <alignment vertical="center"/>
    </dxf>
    <dxf>
      <alignment vertical="center"/>
    </dxf>
    <dxf>
      <font>
        <sz val="10"/>
        <name val="Segoe UI Semibold"/>
        <scheme val="major"/>
      </font>
    </dxf>
    <dxf>
      <font>
        <sz val="10"/>
        <name val="Segoe UI Semibold"/>
        <scheme val="major"/>
      </font>
    </dxf>
    <dxf>
      <font>
        <sz val="10"/>
        <name val="Segoe UI Semibold"/>
        <scheme val="major"/>
      </font>
    </dxf>
    <dxf>
      <font>
        <sz val="10"/>
        <name val="Segoe UI Semibold"/>
        <scheme val="major"/>
      </font>
    </dxf>
    <dxf>
      <font>
        <sz val="10"/>
        <name val="Segoe UI Semibold"/>
        <scheme val="major"/>
      </font>
    </dxf>
    <dxf>
      <font>
        <sz val="10"/>
        <name val="Segoe UI Semibold"/>
        <scheme val="major"/>
      </font>
    </dxf>
    <dxf>
      <font>
        <b/>
      </font>
    </dxf>
    <dxf>
      <font>
        <b/>
      </font>
    </dxf>
    <dxf>
      <alignment horizontal="right"/>
    </dxf>
    <dxf>
      <numFmt numFmtId="4" formatCode="#,##0.0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b/>
      </font>
    </dxf>
    <dxf>
      <font>
        <b/>
      </font>
    </dxf>
    <dxf>
      <numFmt numFmtId="3" formatCode="#,##0"/>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numFmt numFmtId="4" formatCode="#,##0.00"/>
    </dxf>
    <dxf>
      <numFmt numFmtId="4" formatCode="#,##0.0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rgb="FF505C6D"/>
        <name val="Segoe UI"/>
        <family val="2"/>
        <scheme val="none"/>
      </font>
    </dxf>
    <dxf>
      <font>
        <b val="0"/>
        <i val="0"/>
        <strike val="0"/>
        <condense val="0"/>
        <extend val="0"/>
        <outline val="0"/>
        <shadow val="0"/>
        <u val="none"/>
        <vertAlign val="baseline"/>
        <sz val="10"/>
        <color auto="1"/>
        <name val="Segoe UI Semibold"/>
        <family val="2"/>
        <scheme val="major"/>
      </font>
    </dxf>
    <dxf>
      <numFmt numFmtId="0" formatCode="General"/>
    </dxf>
    <dxf>
      <numFmt numFmtId="0" formatCode="General"/>
    </dxf>
    <dxf>
      <numFmt numFmtId="166" formatCode="d/mm/yyyy"/>
    </dxf>
    <dxf>
      <numFmt numFmtId="166" formatCode="d/mm/yyyy"/>
    </dxf>
    <dxf>
      <numFmt numFmtId="0" formatCode="General"/>
    </dxf>
    <dxf>
      <numFmt numFmtId="0" formatCode="General"/>
    </dxf>
    <dxf>
      <numFmt numFmtId="0" formatCode="Genera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4" formatCode="#,##0.00"/>
    </dxf>
    <dxf>
      <alignment horizontal="right"/>
    </dxf>
    <dxf>
      <font>
        <b/>
      </font>
    </dxf>
    <dxf>
      <font>
        <b/>
      </font>
    </dxf>
    <dxf>
      <font>
        <sz val="10"/>
        <name val="Segoe UI Semibold"/>
        <scheme val="major"/>
      </font>
    </dxf>
    <dxf>
      <font>
        <sz val="10"/>
        <name val="Segoe UI Semibold"/>
        <scheme val="major"/>
      </font>
    </dxf>
    <dxf>
      <font>
        <sz val="10"/>
        <name val="Segoe UI Semibold"/>
        <scheme val="major"/>
      </font>
    </dxf>
    <dxf>
      <font>
        <sz val="10"/>
        <name val="Segoe UI Semibold"/>
        <scheme val="major"/>
      </font>
    </dxf>
    <dxf>
      <font>
        <sz val="10"/>
        <name val="Segoe UI Semibold"/>
        <scheme val="major"/>
      </font>
    </dxf>
    <dxf>
      <font>
        <sz val="10"/>
        <name val="Segoe UI Semibold"/>
        <scheme val="major"/>
      </font>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4" formatCode="#,##0.00"/>
    </dxf>
    <dxf>
      <numFmt numFmtId="4" formatCode="#,##0.00"/>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3" formatCode="#,##0"/>
    </dxf>
    <dxf>
      <font>
        <b/>
      </font>
    </dxf>
    <dxf>
      <font>
        <b/>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ill>
        <patternFill>
          <bgColor theme="0"/>
        </patternFill>
      </fill>
    </dxf>
    <dxf>
      <fill>
        <patternFill>
          <bgColor theme="2"/>
        </patternFill>
      </fill>
    </dxf>
    <dxf>
      <font>
        <color theme="1"/>
      </font>
      <fill>
        <patternFill>
          <bgColor theme="5"/>
        </patternFill>
      </fill>
      <border>
        <horizontal/>
      </border>
    </dxf>
    <dxf>
      <border>
        <top style="thin">
          <color theme="4"/>
        </top>
        <bottom style="thin">
          <color theme="4"/>
        </bottom>
        <horizontal style="thin">
          <color theme="4"/>
        </horizontal>
      </bord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4" defaultTableStyle="Business Central Reports Table Style" defaultPivotStyle="PivotStyleLight16">
    <tableStyle name="Business Central Pivot Table Style (Template)" table="0" count="4" xr9:uid="{5804EFF0-3EFD-4FFE-99B3-DFA3B3BAFC22}">
      <tableStyleElement type="wholeTable" dxfId="216"/>
      <tableStyleElement type="headerRow" dxfId="215"/>
      <tableStyleElement type="totalRow" dxfId="214"/>
      <tableStyleElement type="secondRowStripe" dxfId="213"/>
    </tableStyle>
    <tableStyle name="Business Central PivotTable Style (Template)" table="0" count="4" xr9:uid="{75B860A9-7EBC-42FA-B7BA-96F7FA608B54}">
      <tableStyleElement type="wholeTable" dxfId="212"/>
      <tableStyleElement type="headerRow" dxfId="211"/>
      <tableStyleElement type="totalRow" dxfId="210"/>
      <tableStyleElement type="secondRowStripe" dxfId="209"/>
    </tableStyle>
    <tableStyle name="Business Central Reports Slicer Style (Template)" pivot="0" table="0" count="10" xr9:uid="{D2691BD7-00E1-49CC-9D77-4AEF8FA9E64D}">
      <tableStyleElement type="wholeTable" dxfId="208"/>
      <tableStyleElement type="headerRow" dxfId="207"/>
    </tableStyle>
    <tableStyle name="Business Central Reports Table Style" pivot="0" count="4" xr9:uid="{50C651C7-C524-48F3-A090-266E3BAF4D61}">
      <tableStyleElement type="wholeTable" dxfId="206"/>
      <tableStyleElement type="headerRow" dxfId="205"/>
      <tableStyleElement type="firstRowStripe" dxfId="204"/>
      <tableStyleElement type="secondRowStripe" dxfId="203"/>
    </tableStyle>
  </tableStyles>
  <colors>
    <mruColors>
      <color rgb="FF66D4DB"/>
      <color rgb="FF212121"/>
    </mruColors>
  </color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Business Central Reports Slicer Style (Template)">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20954</xdr:rowOff>
    </xdr:from>
    <xdr:to>
      <xdr:col>0</xdr:col>
      <xdr:colOff>1816730</xdr:colOff>
      <xdr:row>10</xdr:row>
      <xdr:rowOff>106829</xdr:rowOff>
    </xdr:to>
    <mc:AlternateContent xmlns:mc="http://schemas.openxmlformats.org/markup-compatibility/2006" xmlns:a14="http://schemas.microsoft.com/office/drawing/2010/main">
      <mc:Choice Requires="a14">
        <xdr:graphicFrame macro="">
          <xdr:nvGraphicFramePr>
            <xdr:cNvPr id="3" name="$Status_ProductionOrder$">
              <a:extLst>
                <a:ext uri="{FF2B5EF4-FFF2-40B4-BE49-F238E27FC236}">
                  <a16:creationId xmlns:a16="http://schemas.microsoft.com/office/drawing/2014/main" id="{9DC39B4F-7350-0A2D-400A-56499A8CB445}"/>
                </a:ext>
              </a:extLst>
            </xdr:cNvPr>
            <xdr:cNvGraphicFramePr/>
          </xdr:nvGraphicFramePr>
          <xdr:xfrm>
            <a:off x="0" y="0"/>
            <a:ext cx="0" cy="0"/>
          </xdr:xfrm>
          <a:graphic>
            <a:graphicData uri="http://schemas.microsoft.com/office/drawing/2010/slicer">
              <sle:slicer xmlns:sle="http://schemas.microsoft.com/office/drawing/2010/slicer" name="$Status_ProductionOrder$"/>
            </a:graphicData>
          </a:graphic>
        </xdr:graphicFrame>
      </mc:Choice>
      <mc:Fallback xmlns="">
        <xdr:sp macro="" textlink="">
          <xdr:nvSpPr>
            <xdr:cNvPr id="0" name=""/>
            <xdr:cNvSpPr>
              <a:spLocks noTextEdit="1"/>
            </xdr:cNvSpPr>
          </xdr:nvSpPr>
          <xdr:spPr>
            <a:xfrm>
              <a:off x="0" y="9524"/>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1859280</xdr:colOff>
      <xdr:row>0</xdr:row>
      <xdr:rowOff>20954</xdr:rowOff>
    </xdr:from>
    <xdr:to>
      <xdr:col>0</xdr:col>
      <xdr:colOff>3687440</xdr:colOff>
      <xdr:row>10</xdr:row>
      <xdr:rowOff>106829</xdr:rowOff>
    </xdr:to>
    <mc:AlternateContent xmlns:mc="http://schemas.openxmlformats.org/markup-compatibility/2006" xmlns:a14="http://schemas.microsoft.com/office/drawing/2010/main">
      <mc:Choice Requires="a14">
        <xdr:graphicFrame macro="">
          <xdr:nvGraphicFramePr>
            <xdr:cNvPr id="8" name="$No_ProductionOrder$">
              <a:extLst>
                <a:ext uri="{FF2B5EF4-FFF2-40B4-BE49-F238E27FC236}">
                  <a16:creationId xmlns:a16="http://schemas.microsoft.com/office/drawing/2014/main" id="{05289F04-DB55-28F9-6EBE-7F9CFBF58EA6}"/>
                </a:ext>
              </a:extLst>
            </xdr:cNvPr>
            <xdr:cNvGraphicFramePr/>
          </xdr:nvGraphicFramePr>
          <xdr:xfrm>
            <a:off x="0" y="0"/>
            <a:ext cx="0" cy="0"/>
          </xdr:xfrm>
          <a:graphic>
            <a:graphicData uri="http://schemas.microsoft.com/office/drawing/2010/slicer">
              <sle:slicer xmlns:sle="http://schemas.microsoft.com/office/drawing/2010/slicer" name="$No_ProductionOrder$"/>
            </a:graphicData>
          </a:graphic>
        </xdr:graphicFrame>
      </mc:Choice>
      <mc:Fallback xmlns="">
        <xdr:sp macro="" textlink="">
          <xdr:nvSpPr>
            <xdr:cNvPr id="0" name=""/>
            <xdr:cNvSpPr>
              <a:spLocks noTextEdit="1"/>
            </xdr:cNvSpPr>
          </xdr:nvSpPr>
          <xdr:spPr>
            <a:xfrm>
              <a:off x="1847850" y="9524"/>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1859280</xdr:colOff>
      <xdr:row>10</xdr:row>
      <xdr:rowOff>144779</xdr:rowOff>
    </xdr:from>
    <xdr:to>
      <xdr:col>0</xdr:col>
      <xdr:colOff>3687440</xdr:colOff>
      <xdr:row>21</xdr:row>
      <xdr:rowOff>30629</xdr:rowOff>
    </xdr:to>
    <mc:AlternateContent xmlns:mc="http://schemas.openxmlformats.org/markup-compatibility/2006" xmlns:a14="http://schemas.microsoft.com/office/drawing/2010/main">
      <mc:Choice Requires="a14">
        <xdr:graphicFrame macro="">
          <xdr:nvGraphicFramePr>
            <xdr:cNvPr id="9" name="$Desc_ProductionOrder$">
              <a:extLst>
                <a:ext uri="{FF2B5EF4-FFF2-40B4-BE49-F238E27FC236}">
                  <a16:creationId xmlns:a16="http://schemas.microsoft.com/office/drawing/2014/main" id="{4EC4ED32-92B1-159E-40B9-9B223821D6FC}"/>
                </a:ext>
              </a:extLst>
            </xdr:cNvPr>
            <xdr:cNvGraphicFramePr/>
          </xdr:nvGraphicFramePr>
          <xdr:xfrm>
            <a:off x="0" y="0"/>
            <a:ext cx="0" cy="0"/>
          </xdr:xfrm>
          <a:graphic>
            <a:graphicData uri="http://schemas.microsoft.com/office/drawing/2010/slicer">
              <sle:slicer xmlns:sle="http://schemas.microsoft.com/office/drawing/2010/slicer" name="$Desc_ProductionOrder$"/>
            </a:graphicData>
          </a:graphic>
        </xdr:graphicFrame>
      </mc:Choice>
      <mc:Fallback xmlns="">
        <xdr:sp macro="" textlink="">
          <xdr:nvSpPr>
            <xdr:cNvPr id="0" name=""/>
            <xdr:cNvSpPr>
              <a:spLocks noTextEdit="1"/>
            </xdr:cNvSpPr>
          </xdr:nvSpPr>
          <xdr:spPr>
            <a:xfrm>
              <a:off x="1847850" y="2657474"/>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144779</xdr:rowOff>
    </xdr:from>
    <xdr:to>
      <xdr:col>0</xdr:col>
      <xdr:colOff>1816730</xdr:colOff>
      <xdr:row>21</xdr:row>
      <xdr:rowOff>30629</xdr:rowOff>
    </xdr:to>
    <mc:AlternateContent xmlns:mc="http://schemas.openxmlformats.org/markup-compatibility/2006" xmlns:a14="http://schemas.microsoft.com/office/drawing/2010/main">
      <mc:Choice Requires="a14">
        <xdr:graphicFrame macro="">
          <xdr:nvGraphicFramePr>
            <xdr:cNvPr id="10" name="$SrcType_ProductionOrder$">
              <a:extLst>
                <a:ext uri="{FF2B5EF4-FFF2-40B4-BE49-F238E27FC236}">
                  <a16:creationId xmlns:a16="http://schemas.microsoft.com/office/drawing/2014/main" id="{7746AB6D-89B6-A073-58A9-907C93441142}"/>
                </a:ext>
              </a:extLst>
            </xdr:cNvPr>
            <xdr:cNvGraphicFramePr/>
          </xdr:nvGraphicFramePr>
          <xdr:xfrm>
            <a:off x="0" y="0"/>
            <a:ext cx="0" cy="0"/>
          </xdr:xfrm>
          <a:graphic>
            <a:graphicData uri="http://schemas.microsoft.com/office/drawing/2010/slicer">
              <sle:slicer xmlns:sle="http://schemas.microsoft.com/office/drawing/2010/slicer" name="$SrcType_ProductionOrder$"/>
            </a:graphicData>
          </a:graphic>
        </xdr:graphicFrame>
      </mc:Choice>
      <mc:Fallback xmlns="">
        <xdr:sp macro="" textlink="">
          <xdr:nvSpPr>
            <xdr:cNvPr id="0" name=""/>
            <xdr:cNvSpPr>
              <a:spLocks noTextEdit="1"/>
            </xdr:cNvSpPr>
          </xdr:nvSpPr>
          <xdr:spPr>
            <a:xfrm>
              <a:off x="0" y="2657474"/>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21</xdr:row>
      <xdr:rowOff>68579</xdr:rowOff>
    </xdr:from>
    <xdr:to>
      <xdr:col>0</xdr:col>
      <xdr:colOff>1816730</xdr:colOff>
      <xdr:row>31</xdr:row>
      <xdr:rowOff>190649</xdr:rowOff>
    </xdr:to>
    <mc:AlternateContent xmlns:mc="http://schemas.openxmlformats.org/markup-compatibility/2006" xmlns:a14="http://schemas.microsoft.com/office/drawing/2010/main">
      <mc:Choice Requires="a14">
        <xdr:graphicFrame macro="">
          <xdr:nvGraphicFramePr>
            <xdr:cNvPr id="11" name="$SourceNo_ProductionOrder$">
              <a:extLst>
                <a:ext uri="{FF2B5EF4-FFF2-40B4-BE49-F238E27FC236}">
                  <a16:creationId xmlns:a16="http://schemas.microsoft.com/office/drawing/2014/main" id="{C53B8015-96A8-AA79-3DF5-6FBAD75E6362}"/>
                </a:ext>
              </a:extLst>
            </xdr:cNvPr>
            <xdr:cNvGraphicFramePr/>
          </xdr:nvGraphicFramePr>
          <xdr:xfrm>
            <a:off x="0" y="0"/>
            <a:ext cx="0" cy="0"/>
          </xdr:xfrm>
          <a:graphic>
            <a:graphicData uri="http://schemas.microsoft.com/office/drawing/2010/slicer">
              <sle:slicer xmlns:sle="http://schemas.microsoft.com/office/drawing/2010/slicer" name="$SourceNo_ProductionOrder$"/>
            </a:graphicData>
          </a:graphic>
        </xdr:graphicFrame>
      </mc:Choice>
      <mc:Fallback xmlns="">
        <xdr:sp macro="" textlink="">
          <xdr:nvSpPr>
            <xdr:cNvPr id="0" name=""/>
            <xdr:cNvSpPr>
              <a:spLocks noTextEdit="1"/>
            </xdr:cNvSpPr>
          </xdr:nvSpPr>
          <xdr:spPr>
            <a:xfrm>
              <a:off x="0" y="5305424"/>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hikha Verma (Alletec Pty Ltd)" refreshedDate="46251.279430092596" createdVersion="8" refreshedVersion="8" minRefreshableVersion="3" recordCount="1" xr:uid="{F84C067B-8A4E-44B6-8A1C-DBC50FA6A6CD}">
  <cacheSource type="external" connectionId="2"/>
  <cacheFields count="14">
    <cacheField name="StartDate" numFmtId="0">
      <sharedItems containsString="0" containsBlank="1" count="1">
        <m/>
      </sharedItems>
    </cacheField>
    <cacheField name="EndDate" numFmtId="0">
      <sharedItems containsString="0" containsBlank="1" count="1">
        <m/>
      </sharedItems>
    </cacheField>
    <cacheField name="Status_ProductionOrder" numFmtId="0">
      <sharedItems count="1">
        <s v=""/>
      </sharedItems>
    </cacheField>
    <cacheField name="No_ProductionOrder" numFmtId="0">
      <sharedItems count="1">
        <s v=""/>
      </sharedItems>
    </cacheField>
    <cacheField name="Desc_ProductionOrder" numFmtId="0">
      <sharedItems count="1">
        <s v=""/>
      </sharedItems>
    </cacheField>
    <cacheField name="SrcType_ProductionOrder" numFmtId="0">
      <sharedItems count="1">
        <s v=""/>
      </sharedItems>
    </cacheField>
    <cacheField name="SourceNo_ProductionOrder" numFmtId="0">
      <sharedItems count="1">
        <s v=""/>
      </sharedItems>
    </cacheField>
    <cacheField name="LastWIP" numFmtId="0">
      <sharedItems containsSemiMixedTypes="0" containsString="0" containsNumber="1" containsInteger="1" minValue="0" maxValue="0" count="1">
        <n v="0"/>
      </sharedItems>
    </cacheField>
    <cacheField name="ValueOfMatConsump" numFmtId="0">
      <sharedItems containsSemiMixedTypes="0" containsString="0" containsNumber="1" containsInteger="1" minValue="0" maxValue="0" count="1">
        <n v="0"/>
      </sharedItems>
    </cacheField>
    <cacheField name="ValueOfCap" numFmtId="0">
      <sharedItems containsSemiMixedTypes="0" containsString="0" containsNumber="1" containsInteger="1" minValue="0" maxValue="0" count="1">
        <n v="0"/>
      </sharedItems>
    </cacheField>
    <cacheField name="LastOutput" numFmtId="0">
      <sharedItems containsSemiMixedTypes="0" containsString="0" containsNumber="1" containsInteger="1" minValue="0" maxValue="0" count="1">
        <n v="0"/>
      </sharedItems>
    </cacheField>
    <cacheField name="AtLastDate" numFmtId="0">
      <sharedItems containsSemiMixedTypes="0" containsString="0" containsNumber="1" containsInteger="1" minValue="0" maxValue="0" count="1">
        <n v="0"/>
      </sharedItems>
    </cacheField>
    <cacheField name="ValueEntryCostPostedtoGL" numFmtId="0">
      <sharedItems containsSemiMixedTypes="0" containsString="0" containsNumber="1" containsInteger="1" minValue="0" maxValue="0" count="1">
        <n v="0"/>
      </sharedItems>
    </cacheField>
    <cacheField name="ExpensedWIP" numFmtId="0">
      <sharedItems containsSemiMixedTypes="0" containsString="0" containsNumber="1" containsInteger="1" minValue="0" maxValue="0" count="1">
        <n v="0"/>
      </sharedItems>
    </cacheField>
  </cacheFields>
  <extLst>
    <ext xmlns:x14="http://schemas.microsoft.com/office/spreadsheetml/2009/9/main" uri="{725AE2AE-9491-48be-B2B4-4EB974FC3084}">
      <x14:pivotCacheDefinition pivotCacheId="1595405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38B12-5EAC-4E04-8CE6-28F88D50B244}" name="PivotTable1" cacheId="2" applyNumberFormats="0" applyBorderFormats="0" applyFontFormats="0" applyPatternFormats="0" applyAlignmentFormats="0" applyWidthHeightFormats="1" dataCaption="Values" updatedVersion="8" minRefreshableVersion="3" showDrill="0" colGrandTotals="0" itemPrintTitles="1" createdVersion="8" indent="0" compact="0" compactData="0" multipleFieldFilters="0">
  <location ref="B7:M9" firstHeaderRow="0" firstDataRow="1" firstDataCol="5"/>
  <pivotFields count="14">
    <pivotField compact="0" outline="0" subtotalTop="0" showAll="0" defaultSubtotal="0"/>
    <pivotField compact="0" outline="0" subtotalTop="0" showAll="0" defaultSubtotal="0"/>
    <pivotField name="$Status_ProductionOrder$" axis="axisRow" compact="0" outline="0" subtotalTop="0" showAll="0" defaultSubtotal="0">
      <items count="1">
        <item x="0"/>
      </items>
    </pivotField>
    <pivotField name="$No_ProductionOrder$" axis="axisRow" compact="0" outline="0" subtotalTop="0" showAll="0" defaultSubtotal="0">
      <items count="1">
        <item x="0"/>
      </items>
    </pivotField>
    <pivotField name="$Desc_ProductionOrder$" axis="axisRow" compact="0" outline="0" subtotalTop="0" showAll="0" defaultSubtotal="0">
      <items count="1">
        <item x="0"/>
      </items>
    </pivotField>
    <pivotField name="$SrcType_ProductionOrder$" axis="axisRow" compact="0" outline="0" subtotalTop="0" showAll="0" defaultSubtotal="0">
      <items count="1">
        <item x="0"/>
      </items>
    </pivotField>
    <pivotField name="$SourceNo_ProductionOrder$" axis="axisRow" compact="0" outline="0" subtotalTop="0" showAll="0" defaultSubtotal="0">
      <items count="1">
        <item x="0"/>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5">
    <field x="2"/>
    <field x="3"/>
    <field x="4"/>
    <field x="5"/>
    <field x="6"/>
  </rowFields>
  <rowItems count="2">
    <i>
      <x/>
      <x/>
      <x/>
      <x/>
      <x/>
    </i>
    <i t="grand">
      <x/>
    </i>
  </rowItems>
  <colFields count="1">
    <field x="-2"/>
  </colFields>
  <colItems count="7">
    <i>
      <x/>
    </i>
    <i i="1">
      <x v="1"/>
    </i>
    <i i="2">
      <x v="2"/>
    </i>
    <i i="3">
      <x v="3"/>
    </i>
    <i i="4">
      <x v="4"/>
    </i>
    <i i="5">
      <x v="5"/>
    </i>
    <i i="6">
      <x v="6"/>
    </i>
  </colItems>
  <dataFields count="7">
    <dataField name="$AsOfStartDateLbl$" fld="7" baseField="4" baseItem="0"/>
    <dataField name="$ConsumptionLbl$" fld="8" baseField="4" baseItem="0"/>
    <dataField name="$CapacityLbl$" fld="9" baseField="4" baseItem="0"/>
    <dataField name="$OutputLbl$" fld="10" baseField="4" baseItem="0"/>
    <dataField name="$AsOfEndDateLbl$" fld="11" baseField="4" baseItem="0"/>
    <dataField name="$CostPostedToGLLbl$" fld="12" baseField="6" baseItem="0"/>
    <dataField name="Expensed WIP" fld="13" baseField="4" baseItem="0"/>
  </dataFields>
  <formats count="42">
    <format dxfId="202">
      <pivotArea field="6" type="button" dataOnly="0" labelOnly="1" outline="0" axis="axisRow" fieldPosition="4"/>
    </format>
    <format dxfId="201">
      <pivotArea field="4" type="button" dataOnly="0" labelOnly="1" outline="0" axis="axisRow" fieldPosition="2"/>
    </format>
    <format dxfId="200">
      <pivotArea field="5" type="button" dataOnly="0" labelOnly="1" outline="0" axis="axisRow" fieldPosition="3"/>
    </format>
    <format dxfId="199">
      <pivotArea field="2" type="button" dataOnly="0" labelOnly="1" outline="0" axis="axisRow" fieldPosition="0"/>
    </format>
    <format dxfId="198">
      <pivotArea field="3" type="button" dataOnly="0" labelOnly="1" outline="0" axis="axisRow" fieldPosition="1"/>
    </format>
    <format dxfId="197">
      <pivotArea dataOnly="0" labelOnly="1" outline="0" fieldPosition="0">
        <references count="1">
          <reference field="4294967294" count="6">
            <x v="0"/>
            <x v="1"/>
            <x v="2"/>
            <x v="3"/>
            <x v="4"/>
            <x v="5"/>
          </reference>
        </references>
      </pivotArea>
    </format>
    <format dxfId="196">
      <pivotArea grandRow="1" outline="0" collapsedLevelsAreSubtotals="1" fieldPosition="0"/>
    </format>
    <format dxfId="195">
      <pivotArea dataOnly="0" labelOnly="1" grandRow="1" outline="0" fieldPosition="0"/>
    </format>
    <format dxfId="194">
      <pivotArea outline="0" collapsedLevelsAreSubtotals="1" fieldPosition="0"/>
    </format>
    <format dxfId="193">
      <pivotArea dataOnly="0" labelOnly="1" outline="0" fieldPosition="0">
        <references count="1">
          <reference field="4294967294" count="6">
            <x v="0"/>
            <x v="1"/>
            <x v="2"/>
            <x v="3"/>
            <x v="4"/>
            <x v="5"/>
          </reference>
        </references>
      </pivotArea>
    </format>
    <format dxfId="192">
      <pivotArea type="all" dataOnly="0" outline="0" fieldPosition="0"/>
    </format>
    <format dxfId="191">
      <pivotArea outline="0" collapsedLevelsAreSubtotals="1" fieldPosition="0"/>
    </format>
    <format dxfId="190">
      <pivotArea field="2" type="button" dataOnly="0" labelOnly="1" outline="0" axis="axisRow" fieldPosition="0"/>
    </format>
    <format dxfId="189">
      <pivotArea field="3" type="button" dataOnly="0" labelOnly="1" outline="0" axis="axisRow" fieldPosition="1"/>
    </format>
    <format dxfId="188">
      <pivotArea field="4" type="button" dataOnly="0" labelOnly="1" outline="0" axis="axisRow" fieldPosition="2"/>
    </format>
    <format dxfId="187">
      <pivotArea field="5" type="button" dataOnly="0" labelOnly="1" outline="0" axis="axisRow" fieldPosition="3"/>
    </format>
    <format dxfId="186">
      <pivotArea field="6" type="button" dataOnly="0" labelOnly="1" outline="0" axis="axisRow" fieldPosition="4"/>
    </format>
    <format dxfId="185">
      <pivotArea dataOnly="0" labelOnly="1" outline="0" fieldPosition="0">
        <references count="1">
          <reference field="2" count="0"/>
        </references>
      </pivotArea>
    </format>
    <format dxfId="184">
      <pivotArea dataOnly="0" labelOnly="1" grandRow="1" outline="0" fieldPosition="0"/>
    </format>
    <format dxfId="183">
      <pivotArea dataOnly="0" labelOnly="1" outline="0" fieldPosition="0">
        <references count="2">
          <reference field="2" count="0" selected="0"/>
          <reference field="3" count="0"/>
        </references>
      </pivotArea>
    </format>
    <format dxfId="182">
      <pivotArea dataOnly="0" labelOnly="1" outline="0" fieldPosition="0">
        <references count="3">
          <reference field="2" count="0" selected="0"/>
          <reference field="3" count="0" selected="0"/>
          <reference field="4" count="0"/>
        </references>
      </pivotArea>
    </format>
    <format dxfId="181">
      <pivotArea dataOnly="0" labelOnly="1" outline="0" fieldPosition="0">
        <references count="4">
          <reference field="2" count="0" selected="0"/>
          <reference field="3" count="0" selected="0"/>
          <reference field="4" count="0" selected="0"/>
          <reference field="5" count="0"/>
        </references>
      </pivotArea>
    </format>
    <format dxfId="180">
      <pivotArea dataOnly="0" labelOnly="1" outline="0" fieldPosition="0">
        <references count="5">
          <reference field="2" count="0" selected="0"/>
          <reference field="3" count="0" selected="0"/>
          <reference field="4" count="0" selected="0"/>
          <reference field="5" count="0" selected="0"/>
          <reference field="6" count="0"/>
        </references>
      </pivotArea>
    </format>
    <format dxfId="179">
      <pivotArea dataOnly="0" labelOnly="1" outline="0" fieldPosition="0">
        <references count="1">
          <reference field="4294967294" count="6">
            <x v="0"/>
            <x v="1"/>
            <x v="2"/>
            <x v="3"/>
            <x v="4"/>
            <x v="5"/>
          </reference>
        </references>
      </pivotArea>
    </format>
    <format dxfId="178">
      <pivotArea field="2" grandRow="1" outline="0" axis="axisRow" fieldPosition="0">
        <references count="1">
          <reference field="4294967294" count="1" selected="0">
            <x v="1"/>
          </reference>
        </references>
      </pivotArea>
    </format>
    <format dxfId="177">
      <pivotArea grandRow="1" outline="0" collapsedLevelsAreSubtotals="1" fieldPosition="0"/>
    </format>
    <format dxfId="176">
      <pivotArea outline="0" fieldPosition="0">
        <references count="5">
          <reference field="2" count="0" selected="0"/>
          <reference field="3" count="0" selected="0"/>
          <reference field="4" count="0" selected="0"/>
          <reference field="5" count="0" selected="0"/>
          <reference field="6" count="0" selected="0"/>
        </references>
      </pivotArea>
    </format>
    <format dxfId="175">
      <pivotArea type="all" dataOnly="0" outline="0" fieldPosition="0"/>
    </format>
    <format dxfId="174">
      <pivotArea outline="0" collapsedLevelsAreSubtotals="1" fieldPosition="0"/>
    </format>
    <format dxfId="173">
      <pivotArea field="2" type="button" dataOnly="0" labelOnly="1" outline="0" axis="axisRow" fieldPosition="0"/>
    </format>
    <format dxfId="172">
      <pivotArea field="3" type="button" dataOnly="0" labelOnly="1" outline="0" axis="axisRow" fieldPosition="1"/>
    </format>
    <format dxfId="171">
      <pivotArea field="4" type="button" dataOnly="0" labelOnly="1" outline="0" axis="axisRow" fieldPosition="2"/>
    </format>
    <format dxfId="170">
      <pivotArea field="5" type="button" dataOnly="0" labelOnly="1" outline="0" axis="axisRow" fieldPosition="3"/>
    </format>
    <format dxfId="169">
      <pivotArea field="6" type="button" dataOnly="0" labelOnly="1" outline="0" axis="axisRow" fieldPosition="4"/>
    </format>
    <format dxfId="168">
      <pivotArea dataOnly="0" labelOnly="1" outline="0" fieldPosition="0">
        <references count="1">
          <reference field="2" count="0"/>
        </references>
      </pivotArea>
    </format>
    <format dxfId="167">
      <pivotArea dataOnly="0" labelOnly="1" grandRow="1" outline="0" fieldPosition="0"/>
    </format>
    <format dxfId="166">
      <pivotArea dataOnly="0" labelOnly="1" outline="0" fieldPosition="0">
        <references count="2">
          <reference field="2" count="0" selected="0"/>
          <reference field="3" count="0"/>
        </references>
      </pivotArea>
    </format>
    <format dxfId="165">
      <pivotArea dataOnly="0" labelOnly="1" outline="0" fieldPosition="0">
        <references count="3">
          <reference field="2" count="0" selected="0"/>
          <reference field="3" count="0" selected="0"/>
          <reference field="4" count="0"/>
        </references>
      </pivotArea>
    </format>
    <format dxfId="164">
      <pivotArea dataOnly="0" labelOnly="1" outline="0" fieldPosition="0">
        <references count="4">
          <reference field="2" count="0" selected="0"/>
          <reference field="3" count="0" selected="0"/>
          <reference field="4" count="0" selected="0"/>
          <reference field="5" count="0"/>
        </references>
      </pivotArea>
    </format>
    <format dxfId="163">
      <pivotArea dataOnly="0" labelOnly="1" outline="0" fieldPosition="0">
        <references count="5">
          <reference field="2" count="0" selected="0"/>
          <reference field="3" count="0" selected="0"/>
          <reference field="4" count="0" selected="0"/>
          <reference field="5" count="0" selected="0"/>
          <reference field="6" count="0"/>
        </references>
      </pivotArea>
    </format>
    <format dxfId="162">
      <pivotArea dataOnly="0" labelOnly="1" outline="0" fieldPosition="0">
        <references count="1">
          <reference field="4294967294" count="6">
            <x v="0"/>
            <x v="1"/>
            <x v="2"/>
            <x v="3"/>
            <x v="4"/>
            <x v="5"/>
          </reference>
        </references>
      </pivotArea>
    </format>
    <format dxfId="0">
      <pivotArea dataOnly="0" labelOnly="1" outline="0" fieldPosition="0">
        <references count="1">
          <reference field="4294967294" count="1">
            <x v="6"/>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A05390-8050-45E7-A901-24220CEE09D4}" name="PivotTable1" cacheId="2"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location ref="B1:M3" firstHeaderRow="0" firstDataRow="1" firstDataCol="5"/>
  <pivotFields count="14">
    <pivotField compact="0" outline="0" subtotalTop="0" showAll="0" defaultSubtotal="0"/>
    <pivotField compact="0" outline="0" subtotalTop="0" showAll="0" defaultSubtotal="0"/>
    <pivotField name="$Status_ProductionOrder$" axis="axisRow" compact="0" outline="0" showAll="0" defaultSubtotal="0">
      <items count="1">
        <item x="0"/>
      </items>
    </pivotField>
    <pivotField name="$No_ProductionOrder$" axis="axisRow" compact="0" outline="0" showAll="0" defaultSubtotal="0">
      <items count="1">
        <item x="0"/>
      </items>
    </pivotField>
    <pivotField name="$Desc_ProductionOrder$" axis="axisRow" compact="0" outline="0" showAll="0" defaultSubtotal="0">
      <items count="1">
        <item x="0"/>
      </items>
    </pivotField>
    <pivotField name="$SrcType_ProductionOrder$" axis="axisRow" compact="0" outline="0" showAll="0" defaultSubtotal="0">
      <items count="1">
        <item x="0"/>
      </items>
    </pivotField>
    <pivotField name="$SourceNo_ProductionOrder$"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5">
    <field x="2"/>
    <field x="3"/>
    <field x="4"/>
    <field x="5"/>
    <field x="6"/>
  </rowFields>
  <rowItems count="2">
    <i>
      <x/>
      <x/>
      <x/>
      <x/>
      <x/>
    </i>
    <i t="grand">
      <x/>
    </i>
  </rowItems>
  <colFields count="1">
    <field x="-2"/>
  </colFields>
  <colItems count="7">
    <i>
      <x/>
    </i>
    <i i="1">
      <x v="1"/>
    </i>
    <i i="2">
      <x v="2"/>
    </i>
    <i i="3">
      <x v="3"/>
    </i>
    <i i="4">
      <x v="4"/>
    </i>
    <i i="5">
      <x v="5"/>
    </i>
    <i i="6">
      <x v="6"/>
    </i>
  </colItems>
  <dataFields count="7">
    <dataField name="$AsOfStartDateLbl$" fld="7" baseField="4" baseItem="0"/>
    <dataField name="$ConsumptionLbl$" fld="8" baseField="4" baseItem="0"/>
    <dataField name="$CapacityLbl$" fld="9" baseField="4" baseItem="0"/>
    <dataField name="$OutputLbl$" fld="10" baseField="4" baseItem="0"/>
    <dataField name="$AsOfEndDateLbl$" fld="11" baseField="4" baseItem="0"/>
    <dataField name="$CostPostedToGLLbl$" fld="12" baseField="4" baseItem="0"/>
    <dataField name="Expensed WIP" fld="13" baseField="4" baseItem="0"/>
  </dataFields>
  <formats count="44">
    <format dxfId="161">
      <pivotArea field="2" type="button" dataOnly="0" labelOnly="1" outline="0" axis="axisRow" fieldPosition="0"/>
    </format>
    <format dxfId="160">
      <pivotArea field="3" type="button" dataOnly="0" labelOnly="1" outline="0" axis="axisRow" fieldPosition="1"/>
    </format>
    <format dxfId="159">
      <pivotArea field="4" type="button" dataOnly="0" labelOnly="1" outline="0" axis="axisRow" fieldPosition="2"/>
    </format>
    <format dxfId="158">
      <pivotArea field="5" type="button" dataOnly="0" labelOnly="1" outline="0" axis="axisRow" fieldPosition="3"/>
    </format>
    <format dxfId="157">
      <pivotArea field="6" type="button" dataOnly="0" labelOnly="1" outline="0" axis="axisRow" fieldPosition="4"/>
    </format>
    <format dxfId="156">
      <pivotArea dataOnly="0" labelOnly="1" outline="0" fieldPosition="0">
        <references count="1">
          <reference field="4294967294" count="6">
            <x v="0"/>
            <x v="1"/>
            <x v="2"/>
            <x v="3"/>
            <x v="4"/>
            <x v="5"/>
          </reference>
        </references>
      </pivotArea>
    </format>
    <format dxfId="155">
      <pivotArea field="2" type="button" dataOnly="0" labelOnly="1" outline="0" axis="axisRow" fieldPosition="0"/>
    </format>
    <format dxfId="154">
      <pivotArea field="3" type="button" dataOnly="0" labelOnly="1" outline="0" axis="axisRow" fieldPosition="1"/>
    </format>
    <format dxfId="153">
      <pivotArea field="4" type="button" dataOnly="0" labelOnly="1" outline="0" axis="axisRow" fieldPosition="2"/>
    </format>
    <format dxfId="152">
      <pivotArea field="5" type="button" dataOnly="0" labelOnly="1" outline="0" axis="axisRow" fieldPosition="3"/>
    </format>
    <format dxfId="151">
      <pivotArea field="6" type="button" dataOnly="0" labelOnly="1" outline="0" axis="axisRow" fieldPosition="4"/>
    </format>
    <format dxfId="150">
      <pivotArea dataOnly="0" labelOnly="1" outline="0" fieldPosition="0">
        <references count="1">
          <reference field="4294967294" count="6">
            <x v="0"/>
            <x v="1"/>
            <x v="2"/>
            <x v="3"/>
            <x v="4"/>
            <x v="5"/>
          </reference>
        </references>
      </pivotArea>
    </format>
    <format dxfId="149">
      <pivotArea dataOnly="0" labelOnly="1" grandRow="1" outline="0" fieldPosition="0"/>
    </format>
    <format dxfId="148">
      <pivotArea grandRow="1" outline="0" collapsedLevelsAreSubtotals="1" fieldPosition="0"/>
    </format>
    <format dxfId="147">
      <pivotArea dataOnly="0" labelOnly="1" outline="0" fieldPosition="0">
        <references count="1">
          <reference field="4294967294" count="6">
            <x v="0"/>
            <x v="1"/>
            <x v="2"/>
            <x v="3"/>
            <x v="4"/>
            <x v="5"/>
          </reference>
        </references>
      </pivotArea>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field="2" type="button" dataOnly="0" labelOnly="1" outline="0" axis="axisRow" fieldPosition="0"/>
    </format>
    <format dxfId="142">
      <pivotArea field="3" type="button" dataOnly="0" labelOnly="1" outline="0" axis="axisRow" fieldPosition="1"/>
    </format>
    <format dxfId="141">
      <pivotArea field="4" type="button" dataOnly="0" labelOnly="1" outline="0" axis="axisRow" fieldPosition="2"/>
    </format>
    <format dxfId="140">
      <pivotArea field="5" type="button" dataOnly="0" labelOnly="1" outline="0" axis="axisRow" fieldPosition="3"/>
    </format>
    <format dxfId="139">
      <pivotArea field="6" type="button" dataOnly="0" labelOnly="1" outline="0" axis="axisRow" fieldPosition="4"/>
    </format>
    <format dxfId="138">
      <pivotArea dataOnly="0" labelOnly="1" outline="0" fieldPosition="0">
        <references count="1">
          <reference field="2" count="0"/>
        </references>
      </pivotArea>
    </format>
    <format dxfId="137">
      <pivotArea dataOnly="0" labelOnly="1" grandRow="1" outline="0" fieldPosition="0"/>
    </format>
    <format dxfId="136">
      <pivotArea dataOnly="0" labelOnly="1" outline="0" fieldPosition="0">
        <references count="2">
          <reference field="2" count="0" selected="0"/>
          <reference field="3" count="0"/>
        </references>
      </pivotArea>
    </format>
    <format dxfId="135">
      <pivotArea dataOnly="0" labelOnly="1" outline="0" fieldPosition="0">
        <references count="3">
          <reference field="2" count="0" selected="0"/>
          <reference field="3" count="0" selected="0"/>
          <reference field="4" count="0"/>
        </references>
      </pivotArea>
    </format>
    <format dxfId="134">
      <pivotArea dataOnly="0" labelOnly="1" outline="0" fieldPosition="0">
        <references count="4">
          <reference field="2" count="0" selected="0"/>
          <reference field="3" count="0" selected="0"/>
          <reference field="4" count="0" selected="0"/>
          <reference field="5" count="0"/>
        </references>
      </pivotArea>
    </format>
    <format dxfId="133">
      <pivotArea dataOnly="0" labelOnly="1" outline="0" fieldPosition="0">
        <references count="5">
          <reference field="2" count="0" selected="0"/>
          <reference field="3" count="0" selected="0"/>
          <reference field="4" count="0" selected="0"/>
          <reference field="5" count="0" selected="0"/>
          <reference field="6" count="0"/>
        </references>
      </pivotArea>
    </format>
    <format dxfId="132">
      <pivotArea dataOnly="0" labelOnly="1" outline="0" fieldPosition="0">
        <references count="1">
          <reference field="4294967294" count="6">
            <x v="0"/>
            <x v="1"/>
            <x v="2"/>
            <x v="3"/>
            <x v="4"/>
            <x v="5"/>
          </reference>
        </references>
      </pivotArea>
    </format>
    <format dxfId="131">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field="3" type="button" dataOnly="0" labelOnly="1" outline="0" axis="axisRow" fieldPosition="1"/>
    </format>
    <format dxfId="127">
      <pivotArea field="4" type="button" dataOnly="0" labelOnly="1" outline="0" axis="axisRow" fieldPosition="2"/>
    </format>
    <format dxfId="126">
      <pivotArea field="5" type="button" dataOnly="0" labelOnly="1" outline="0" axis="axisRow" fieldPosition="3"/>
    </format>
    <format dxfId="125">
      <pivotArea field="6" type="button" dataOnly="0" labelOnly="1" outline="0" axis="axisRow" fieldPosition="4"/>
    </format>
    <format dxfId="124">
      <pivotArea dataOnly="0" labelOnly="1" outline="0" fieldPosition="0">
        <references count="1">
          <reference field="2" count="0"/>
        </references>
      </pivotArea>
    </format>
    <format dxfId="123">
      <pivotArea dataOnly="0" labelOnly="1" grandRow="1" outline="0" fieldPosition="0"/>
    </format>
    <format dxfId="122">
      <pivotArea dataOnly="0" labelOnly="1" outline="0" fieldPosition="0">
        <references count="2">
          <reference field="2" count="0" selected="0"/>
          <reference field="3" count="0"/>
        </references>
      </pivotArea>
    </format>
    <format dxfId="121">
      <pivotArea dataOnly="0" labelOnly="1" outline="0" fieldPosition="0">
        <references count="3">
          <reference field="2" count="0" selected="0"/>
          <reference field="3" count="0" selected="0"/>
          <reference field="4" count="0"/>
        </references>
      </pivotArea>
    </format>
    <format dxfId="120">
      <pivotArea dataOnly="0" labelOnly="1" outline="0" fieldPosition="0">
        <references count="4">
          <reference field="2" count="0" selected="0"/>
          <reference field="3" count="0" selected="0"/>
          <reference field="4" count="0" selected="0"/>
          <reference field="5" count="0"/>
        </references>
      </pivotArea>
    </format>
    <format dxfId="119">
      <pivotArea dataOnly="0" labelOnly="1" outline="0" fieldPosition="0">
        <references count="5">
          <reference field="2" count="0" selected="0"/>
          <reference field="3" count="0" selected="0"/>
          <reference field="4" count="0" selected="0"/>
          <reference field="5" count="0" selected="0"/>
          <reference field="6" count="0"/>
        </references>
      </pivotArea>
    </format>
    <format dxfId="118">
      <pivotArea dataOnly="0" labelOnly="1" outline="0" fieldPosition="0">
        <references count="1">
          <reference field="4294967294" count="6">
            <x v="0"/>
            <x v="1"/>
            <x v="2"/>
            <x v="3"/>
            <x v="4"/>
            <x v="5"/>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ProductionOrder" xr10:uid="{28C8EC7C-A9A8-4476-A71D-F2A9DA5C605B}" sourceName="Status_ProductionOrder">
  <pivotTables>
    <pivotTable tabId="9" name="PivotTable1"/>
  </pivotTables>
  <data>
    <tabular pivotCacheId="1595405139"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ProductionOrder" xr10:uid="{9850C7D3-5DF5-4D04-9AC3-6BE64DB6801D}" sourceName="No_ProductionOrder">
  <pivotTables>
    <pivotTable tabId="9" name="PivotTable1"/>
  </pivotTables>
  <data>
    <tabular pivotCacheId="1595405139"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_ProductionOrder" xr10:uid="{DB38AB16-C6DC-45B1-8697-BBE309694F79}" sourceName="Desc_ProductionOrder">
  <pivotTables>
    <pivotTable tabId="9" name="PivotTable1"/>
  </pivotTables>
  <data>
    <tabular pivotCacheId="1595405139"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rcType_ProductionOrder" xr10:uid="{9C839CE9-73EC-4B52-AAC1-5297ADBA8A70}" sourceName="SrcType_ProductionOrder">
  <pivotTables>
    <pivotTable tabId="9" name="PivotTable1"/>
  </pivotTables>
  <data>
    <tabular pivotCacheId="1595405139"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No_ProductionOrder" xr10:uid="{D76470F7-92CB-4C67-83E7-5235B4F6C7F1}" sourceName="SourceNo_ProductionOrder">
  <pivotTables>
    <pivotTable tabId="9" name="PivotTable1"/>
  </pivotTables>
  <data>
    <tabular pivotCacheId="1595405139"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ProductionOrder$" xr10:uid="{1905B52F-AC73-49BB-954D-12F01595AA94}" cache="Slicer_Status_ProductionOrder" caption="$Status_ProductionOrder$" rowHeight="241300"/>
  <slicer name="$No_ProductionOrder$" xr10:uid="{DF4D40C5-2DFF-4F38-B05E-95586FA4E10B}" cache="Slicer_No_ProductionOrder" caption="$No_ProductionOrder$" rowHeight="241300"/>
  <slicer name="$Desc_ProductionOrder$" xr10:uid="{F52FBFF6-9CE4-4CFB-B3AC-2994662CBD31}" cache="Slicer_Desc_ProductionOrder" caption="$Desc_ProductionOrder$" rowHeight="241300"/>
  <slicer name="$SrcType_ProductionOrder$" xr10:uid="{8994E63E-FF0C-44AE-9BA8-0D5CC84C877F}" cache="Slicer_SrcType_ProductionOrder" caption="$SrcType_ProductionOrder$" rowHeight="241300"/>
  <slicer name="$SourceNo_ProductionOrder$" xr10:uid="{9B655CE5-92A8-4C85-A04B-01CC9EF07C08}" cache="Slicer_SourceNo_ProductionOrder" caption="$SourceNo_ProductionOr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13" totalsRowShown="0">
  <autoFilter ref="A1:B13"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0" totalsRowShown="0" headerRowDxfId="117">
  <autoFilter ref="A1:B10"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1" totalsRowShown="0" headerRowDxfId="116">
  <autoFilter ref="D1:E11"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15">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114">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2DA7D23-F236-43A2-B249-DB4068F194B3}" name="FixedData" displayName="FixedData" ref="A1:G2" totalsRowShown="0">
  <autoFilter ref="A1:G2" xr:uid="{42DA7D23-F236-43A2-B249-DB4068F194B3}"/>
  <tableColumns count="7">
    <tableColumn id="1" xr3:uid="{0CA4CB59-8927-4171-8A6E-25DA4940B47F}" name="CompanyName" dataDxfId="113"/>
    <tableColumn id="2" xr3:uid="{BE602AFA-7ACF-4E4B-A734-856563B98473}" name="TodayFormatted" dataDxfId="112"/>
    <tableColumn id="3" xr3:uid="{612995B3-8CCD-4701-8331-F7A3EB4B3A13}" name="ProdOrderFilter" dataDxfId="111"/>
    <tableColumn id="6" xr3:uid="{6A4B0559-1167-4504-8040-08CC98F69F75}" name="StartDate" dataDxfId="110"/>
    <tableColumn id="7" xr3:uid="{5C0D27B6-C996-4C19-B120-8F68A67E5C7A}" name="EndDate" dataDxfId="109"/>
    <tableColumn id="4" xr3:uid="{69128E39-8DF6-4746-8094-E7C3C276DA2B}" name="AsOfStartDateText" dataDxfId="108"/>
    <tableColumn id="5" xr3:uid="{539BCB5D-55EE-4772-B2B7-E70F109B865E}" name="AsofEndDate" dataDxfId="107"/>
  </tableColumns>
  <tableStyleInfo name="Business Central Reports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S2" totalsRowShown="0" headerRowDxfId="106" dataDxfId="105" headerRowCellStyle="Normal 2" dataCellStyle="Normal 2">
  <autoFilter ref="A1:S2" xr:uid="{41D726F2-778D-4B1C-A5EA-875FED73D050}"/>
  <tableColumns count="19">
    <tableColumn id="3" xr3:uid="{21867904-D69E-41E3-B5BE-D9B124B8D7E4}" name="ProdOrderFilter" dataDxfId="104" dataCellStyle="Normal 2"/>
    <tableColumn id="37" xr3:uid="{C5AD409D-BC1D-49A7-88EB-00F3D9B3DCDA}" name="StartDate" dataDxfId="103" dataCellStyle="Normal 2"/>
    <tableColumn id="38" xr3:uid="{09FCBE87-4DD2-4B4B-9DB7-376335E272D9}" name="EndDate" dataDxfId="102" dataCellStyle="Normal 2"/>
    <tableColumn id="4" xr3:uid="{21867904-D69E-41E3-B5BE-D9B124B8D7E4}" name="AsOfStartDateText" dataDxfId="101" dataCellStyle="Normal 2"/>
    <tableColumn id="5" xr3:uid="{21867904-D69E-41E3-B5BE-D9B124B8D7E4}" name="AsofEndDate" dataDxfId="100" dataCellStyle="Normal 2"/>
    <tableColumn id="6" xr3:uid="{21867904-D69E-41E3-B5BE-D9B124B8D7E4}" name="No_ProductionOrder" dataDxfId="99" dataCellStyle="Normal 2"/>
    <tableColumn id="7" xr3:uid="{21867904-D69E-41E3-B5BE-D9B124B8D7E4}" name="SourceNo_ProductionOrder" dataDxfId="98" dataCellStyle="Normal 2"/>
    <tableColumn id="8" xr3:uid="{21867904-D69E-41E3-B5BE-D9B124B8D7E4}" name="SrcType_ProductionOrder" dataDxfId="97" dataCellStyle="Normal 2"/>
    <tableColumn id="9" xr3:uid="{21867904-D69E-41E3-B5BE-D9B124B8D7E4}" name="Desc_ProductionOrder" dataDxfId="96" dataCellStyle="Normal 2"/>
    <tableColumn id="10" xr3:uid="{21867904-D69E-41E3-B5BE-D9B124B8D7E4}" name="Status_ProductionOrder" dataDxfId="95" dataCellStyle="Normal 2"/>
    <tableColumn id="23" xr3:uid="{21867904-D69E-41E3-B5BE-D9B124B8D7E4}" name="ValueEntryCostPostedtoGL" dataDxfId="94" dataCellStyle="Normal 2"/>
    <tableColumn id="24" xr3:uid="{21867904-D69E-41E3-B5BE-D9B124B8D7E4}" name="ValueOfOutput" dataDxfId="93" dataCellStyle="Normal 2"/>
    <tableColumn id="25" xr3:uid="{21867904-D69E-41E3-B5BE-D9B124B8D7E4}" name="ValueOfCap" dataDxfId="92" dataCellStyle="Normal 2"/>
    <tableColumn id="26" xr3:uid="{21867904-D69E-41E3-B5BE-D9B124B8D7E4}" name="ValueOfMatConsump" dataDxfId="91" dataCellStyle="Normal 2"/>
    <tableColumn id="27" xr3:uid="{21867904-D69E-41E3-B5BE-D9B124B8D7E4}" name="ValueOfWIP" dataDxfId="90" dataCellStyle="Normal 2"/>
    <tableColumn id="28" xr3:uid="{21867904-D69E-41E3-B5BE-D9B124B8D7E4}" name="LastOutput" dataDxfId="89" dataCellStyle="Normal 2"/>
    <tableColumn id="29" xr3:uid="{21867904-D69E-41E3-B5BE-D9B124B8D7E4}" name="AtLastDate" dataDxfId="88" dataCellStyle="Normal 2"/>
    <tableColumn id="30" xr3:uid="{21867904-D69E-41E3-B5BE-D9B124B8D7E4}" name="LastWIP" dataDxfId="87" dataCellStyle="Normal 2"/>
    <tableColumn id="31" xr3:uid="{7C4A9B01-2E33-4E77-9F10-2A5B6C1D9E42}" name="ExpensedWIP" dataDxfId="86" dataCellStyle="Normal 2"/>
  </tableColumns>
  <tableStyleInfo name="Business Central Reports Table Style"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A9EE-5F06-4ABE-93F5-94B8BFFBEC2E}">
  <sheetPr>
    <pageSetUpPr fitToPage="1"/>
  </sheetPr>
  <dimension ref="A2:R29"/>
  <sheetViews>
    <sheetView showGridLines="0" tabSelected="1" showRuler="0" topLeftCell="J1" zoomScaleNormal="100" workbookViewId="0">
      <selection activeCell="M8" sqref="M8"/>
    </sheetView>
  </sheetViews>
  <sheetFormatPr defaultColWidth="9" defaultRowHeight="20.149999999999999" customHeight="1" x14ac:dyDescent="0.45"/>
  <cols>
    <col min="1" max="1" width="9.08203125" style="12" customWidth="1"/>
    <col min="2" max="2" width="10.75" style="5" customWidth="1"/>
    <col min="3" max="3" width="15.25" style="5" bestFit="1" customWidth="1"/>
    <col min="4" max="4" width="27.08203125" style="5" bestFit="1" customWidth="1"/>
    <col min="5" max="5" width="14.1640625" style="5" customWidth="1"/>
    <col min="6" max="6" width="14.9140625" style="5" customWidth="1"/>
    <col min="7" max="11" width="14.58203125" style="5" bestFit="1" customWidth="1"/>
    <col min="12" max="12" width="25.58203125" style="5" customWidth="1"/>
    <col min="13" max="13" width="12.33203125" style="5" bestFit="1" customWidth="1"/>
    <col min="14" max="14" width="27.83203125" style="5" bestFit="1" customWidth="1"/>
    <col min="15" max="15" width="16.5" style="5" bestFit="1" customWidth="1"/>
    <col min="16" max="16" width="19.08203125" style="5" bestFit="1" customWidth="1"/>
    <col min="17" max="17" width="15.75" style="5" bestFit="1" customWidth="1"/>
    <col min="18" max="18" width="29.25" style="5" bestFit="1" customWidth="1"/>
    <col min="19" max="19" width="9.75" style="5" bestFit="1" customWidth="1"/>
    <col min="20" max="20" width="15.25" style="5" bestFit="1" customWidth="1"/>
    <col min="21" max="21" width="12" style="5" bestFit="1" customWidth="1"/>
    <col min="22" max="22" width="15.25" style="5" bestFit="1" customWidth="1"/>
    <col min="23" max="23" width="10.5" style="5" bestFit="1" customWidth="1"/>
    <col min="24" max="24" width="15.25" style="5" bestFit="1" customWidth="1"/>
    <col min="25" max="25" width="12" style="5" bestFit="1" customWidth="1"/>
    <col min="26" max="26" width="17.25" style="5" bestFit="1" customWidth="1"/>
    <col min="27" max="27" width="10.5" style="5" bestFit="1" customWidth="1"/>
    <col min="28" max="28" width="17.25" style="5" bestFit="1" customWidth="1"/>
    <col min="29" max="29" width="12" style="5" bestFit="1" customWidth="1"/>
    <col min="30" max="30" width="17.25" style="5" bestFit="1" customWidth="1"/>
    <col min="31" max="31" width="9.75" style="5" bestFit="1" customWidth="1"/>
    <col min="32" max="32" width="17.25" style="5" bestFit="1" customWidth="1"/>
    <col min="33" max="33" width="18.33203125" style="5" bestFit="1" customWidth="1"/>
    <col min="34" max="34" width="15.33203125" style="5" bestFit="1" customWidth="1"/>
    <col min="35" max="35" width="12.75" style="5" bestFit="1" customWidth="1"/>
    <col min="36" max="36" width="15.33203125" style="5" bestFit="1" customWidth="1"/>
    <col min="37" max="37" width="12.75" style="5" bestFit="1" customWidth="1"/>
    <col min="38" max="38" width="22.25" style="5" customWidth="1"/>
    <col min="39" max="39" width="13.33203125" style="5" customWidth="1"/>
    <col min="40" max="41" width="13" style="5" customWidth="1"/>
    <col min="42" max="42" width="27.25" style="5" customWidth="1"/>
    <col min="43" max="43" width="16.5" style="5" customWidth="1"/>
    <col min="44" max="44" width="13.75" style="5" customWidth="1"/>
    <col min="45" max="45" width="27.58203125" style="5" customWidth="1"/>
    <col min="46" max="46" width="24.83203125" style="5" customWidth="1"/>
    <col min="47" max="47" width="29.5" style="5" customWidth="1"/>
    <col min="48" max="49" width="28" style="5" customWidth="1"/>
    <col min="50" max="50" width="14.33203125" style="5" customWidth="1"/>
    <col min="51" max="51" width="27.25" style="5" customWidth="1"/>
    <col min="52" max="52" width="16.5" style="5" customWidth="1"/>
    <col min="53" max="53" width="13.33203125" style="5" customWidth="1"/>
    <col min="54" max="54" width="22.25" style="5" customWidth="1"/>
    <col min="55" max="55" width="13.75" style="5" bestFit="1" customWidth="1"/>
    <col min="56" max="57" width="13" style="5" bestFit="1" customWidth="1"/>
    <col min="58" max="58" width="10.33203125" style="5" bestFit="1" customWidth="1"/>
    <col min="59" max="60" width="13" style="5" bestFit="1" customWidth="1"/>
    <col min="61" max="62" width="10.33203125" style="5" bestFit="1" customWidth="1"/>
    <col min="63" max="16384" width="9" style="5"/>
  </cols>
  <sheetData>
    <row r="2" spans="2:18" ht="20.149999999999999" customHeight="1" thickBot="1" x14ac:dyDescent="0.5">
      <c r="B2" s="8" t="s">
        <v>106</v>
      </c>
      <c r="L2" s="17" t="str" cm="1">
        <f t="array" ref="L2">ReportRequest.CompanyName</f>
        <v>Company name Value</v>
      </c>
      <c r="M2" s="9"/>
      <c r="N2" s="9"/>
      <c r="O2" s="9"/>
      <c r="P2" s="9"/>
      <c r="Q2" s="9"/>
      <c r="R2" s="9"/>
    </row>
    <row r="3" spans="2:18" ht="20.149999999999999" customHeight="1" thickTop="1" x14ac:dyDescent="0.45">
      <c r="K3" s="10" t="s">
        <v>90</v>
      </c>
      <c r="M3" s="2"/>
      <c r="N3" s="2"/>
      <c r="O3" s="2"/>
      <c r="P3" s="2"/>
      <c r="Q3" s="2"/>
      <c r="R3" s="2"/>
    </row>
    <row r="4" spans="2:18" ht="20.149999999999999" customHeight="1" x14ac:dyDescent="0.45">
      <c r="B4" s="18" t="e" cm="1">
        <f t="array" ref="B4">IF(StartDateHeading="", Caption.UntilLbl, Caption.PeriodLbl)</f>
        <v>#N/A</v>
      </c>
      <c r="C4" s="18" t="e" cm="1">
        <f t="array" ref="C4">IF(StartDateHeading="", EndDateHeading, _xlfn.CONCAT(StartDateHeading, " - ", EndDateHeading))</f>
        <v>#N/A</v>
      </c>
      <c r="E4" s="27"/>
      <c r="K4" s="7" t="e" cm="1">
        <f t="array" ref="K4">Caption.DataRetrievedLbl</f>
        <v>#NAME?</v>
      </c>
      <c r="L4" s="19" t="e" cm="1">
        <f t="array" ref="L4">ReportRequest.DateLocal</f>
        <v>#NAME?</v>
      </c>
    </row>
    <row r="5" spans="2:18" ht="20.149999999999999" customHeight="1" x14ac:dyDescent="0.45">
      <c r="B5" s="18" t="e" cm="1">
        <f t="array" ref="B5">ProdOrderFilterHeading</f>
        <v>#N/A</v>
      </c>
      <c r="C5"/>
      <c r="D5"/>
      <c r="E5"/>
      <c r="F5"/>
      <c r="G5"/>
      <c r="H5"/>
      <c r="I5"/>
      <c r="J5"/>
      <c r="K5"/>
      <c r="L5"/>
    </row>
    <row r="6" spans="2:18" ht="20.149999999999999" customHeight="1" x14ac:dyDescent="0.45">
      <c r="B6"/>
      <c r="C6"/>
      <c r="D6"/>
      <c r="E6"/>
      <c r="F6"/>
      <c r="G6"/>
      <c r="H6"/>
      <c r="I6"/>
      <c r="J6"/>
      <c r="K6"/>
      <c r="L6"/>
    </row>
    <row r="7" spans="2:18" ht="20.149999999999999" customHeight="1" x14ac:dyDescent="0.45">
      <c r="B7" s="25" t="s">
        <v>91</v>
      </c>
      <c r="C7" s="25" t="s">
        <v>92</v>
      </c>
      <c r="D7" s="25" t="s">
        <v>93</v>
      </c>
      <c r="E7" s="25" t="s">
        <v>94</v>
      </c>
      <c r="F7" s="25" t="s">
        <v>95</v>
      </c>
      <c r="G7" s="26" t="s">
        <v>107</v>
      </c>
      <c r="H7" s="26" t="s">
        <v>105</v>
      </c>
      <c r="I7" s="26" t="s">
        <v>108</v>
      </c>
      <c r="J7" s="26" t="s">
        <v>109</v>
      </c>
      <c r="K7" s="26" t="s">
        <v>110</v>
      </c>
      <c r="L7" s="26" t="s">
        <v>111</v>
      </c>
      <c r="M7" s="28" t="s">
        <v>113</v>
      </c>
    </row>
    <row r="8" spans="2:18" ht="20.149999999999999" customHeight="1" x14ac:dyDescent="0.45">
      <c r="B8" s="11"/>
      <c r="C8" s="11"/>
      <c r="D8" s="11"/>
      <c r="E8" s="11"/>
      <c r="F8" s="11"/>
      <c r="G8" s="14">
        <v>0</v>
      </c>
      <c r="H8" s="14">
        <v>0</v>
      </c>
      <c r="I8" s="14">
        <v>0</v>
      </c>
      <c r="J8" s="14">
        <v>0</v>
      </c>
      <c r="K8" s="14">
        <v>0</v>
      </c>
      <c r="L8" s="14">
        <v>0</v>
      </c>
      <c r="M8" s="14">
        <v>0</v>
      </c>
    </row>
    <row r="9" spans="2:18" ht="20.149999999999999" customHeight="1" x14ac:dyDescent="0.45">
      <c r="B9" s="15" t="s">
        <v>98</v>
      </c>
      <c r="C9" s="15"/>
      <c r="D9" s="15"/>
      <c r="E9" s="15"/>
      <c r="F9" s="15"/>
      <c r="G9" s="16">
        <v>0</v>
      </c>
      <c r="H9" s="16">
        <v>0</v>
      </c>
      <c r="I9" s="16">
        <v>0</v>
      </c>
      <c r="J9" s="16">
        <v>0</v>
      </c>
      <c r="K9" s="16">
        <v>0</v>
      </c>
      <c r="L9" s="16">
        <v>0</v>
      </c>
      <c r="M9" s="16">
        <v>0</v>
      </c>
    </row>
    <row r="10" spans="2:18" ht="20.149999999999999" customHeight="1" x14ac:dyDescent="0.45">
      <c r="B10"/>
      <c r="C10"/>
      <c r="D10"/>
      <c r="E10"/>
      <c r="F10"/>
      <c r="G10"/>
      <c r="H10"/>
      <c r="I10"/>
      <c r="J10"/>
      <c r="K10"/>
      <c r="L10"/>
    </row>
    <row r="12" spans="2:18" ht="20.149999999999999" customHeight="1" x14ac:dyDescent="0.45">
      <c r="B12"/>
      <c r="C12"/>
      <c r="D12"/>
      <c r="E12"/>
      <c r="F12"/>
      <c r="G12"/>
      <c r="H12"/>
      <c r="I12"/>
      <c r="J12"/>
      <c r="K12"/>
      <c r="L12"/>
    </row>
    <row r="13" spans="2:18" ht="20.149999999999999" customHeight="1" x14ac:dyDescent="0.45">
      <c r="B13"/>
      <c r="C13"/>
      <c r="D13"/>
      <c r="E13"/>
      <c r="F13"/>
      <c r="G13"/>
      <c r="H13"/>
      <c r="I13"/>
      <c r="J13"/>
      <c r="K13"/>
      <c r="L13"/>
    </row>
    <row r="14" spans="2:18" ht="20.149999999999999" customHeight="1" x14ac:dyDescent="0.45">
      <c r="B14"/>
      <c r="C14"/>
      <c r="D14"/>
      <c r="E14"/>
      <c r="F14"/>
      <c r="G14"/>
      <c r="H14"/>
      <c r="I14"/>
      <c r="J14"/>
      <c r="K14"/>
      <c r="L14"/>
    </row>
    <row r="15" spans="2:18" ht="20.149999999999999" customHeight="1" x14ac:dyDescent="0.45">
      <c r="B15"/>
      <c r="C15"/>
      <c r="D15"/>
      <c r="E15"/>
      <c r="F15"/>
      <c r="G15"/>
      <c r="H15"/>
    </row>
    <row r="16" spans="2:18" ht="20.149999999999999" customHeight="1" x14ac:dyDescent="0.45">
      <c r="B16"/>
      <c r="C16"/>
      <c r="D16"/>
      <c r="E16"/>
      <c r="F16"/>
      <c r="G16"/>
      <c r="H16"/>
    </row>
    <row r="17" spans="2:8" ht="20.149999999999999" customHeight="1" x14ac:dyDescent="0.45">
      <c r="B17"/>
      <c r="C17"/>
      <c r="D17"/>
      <c r="E17"/>
      <c r="F17"/>
      <c r="G17"/>
      <c r="H17"/>
    </row>
    <row r="18" spans="2:8" ht="20.149999999999999" customHeight="1" x14ac:dyDescent="0.45">
      <c r="B18"/>
      <c r="C18"/>
      <c r="D18"/>
      <c r="E18"/>
      <c r="F18"/>
      <c r="G18"/>
      <c r="H18"/>
    </row>
    <row r="19" spans="2:8" ht="20.149999999999999" customHeight="1" x14ac:dyDescent="0.45">
      <c r="B19"/>
      <c r="C19"/>
      <c r="D19"/>
    </row>
    <row r="20" spans="2:8" ht="20.149999999999999" customHeight="1" x14ac:dyDescent="0.45">
      <c r="B20"/>
      <c r="C20"/>
      <c r="D20"/>
    </row>
    <row r="21" spans="2:8" ht="20.149999999999999" customHeight="1" x14ac:dyDescent="0.45">
      <c r="B21"/>
      <c r="C21"/>
      <c r="D21"/>
    </row>
    <row r="22" spans="2:8" ht="20.149999999999999" customHeight="1" x14ac:dyDescent="0.45">
      <c r="B22"/>
      <c r="C22"/>
      <c r="D22"/>
    </row>
    <row r="23" spans="2:8" ht="20.149999999999999" customHeight="1" x14ac:dyDescent="0.45">
      <c r="B23"/>
      <c r="C23"/>
      <c r="D23"/>
    </row>
    <row r="24" spans="2:8" ht="20.149999999999999" customHeight="1" x14ac:dyDescent="0.45">
      <c r="B24"/>
      <c r="C24"/>
      <c r="D24"/>
    </row>
    <row r="25" spans="2:8" ht="20.149999999999999" customHeight="1" x14ac:dyDescent="0.45">
      <c r="B25"/>
      <c r="C25"/>
      <c r="D25"/>
    </row>
    <row r="26" spans="2:8" ht="20.149999999999999" customHeight="1" x14ac:dyDescent="0.45">
      <c r="B26"/>
      <c r="C26"/>
      <c r="D26"/>
    </row>
    <row r="27" spans="2:8" ht="20.149999999999999" customHeight="1" x14ac:dyDescent="0.45">
      <c r="B27"/>
      <c r="C27"/>
      <c r="D27"/>
    </row>
    <row r="28" spans="2:8" ht="20.149999999999999" customHeight="1" x14ac:dyDescent="0.45">
      <c r="B28"/>
      <c r="C28"/>
      <c r="D28"/>
    </row>
    <row r="29" spans="2:8" ht="20.149999999999999" customHeight="1" x14ac:dyDescent="0.45">
      <c r="B29"/>
      <c r="C29"/>
      <c r="D29"/>
    </row>
  </sheetData>
  <phoneticPr fontId="4" type="noConversion"/>
  <printOptions horizontalCentered="1"/>
  <pageMargins left="0.23622047244094491" right="0.23622047244094491" top="0.74803149606299213" bottom="0.74803149606299213" header="0.31496062992125984" footer="0.31496062992125984"/>
  <pageSetup paperSize="9" scale="68"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16BE-6CF0-4644-B75A-14A7607C9E7A}">
  <dimension ref="A1:M10"/>
  <sheetViews>
    <sheetView showGridLines="0" zoomScaleNormal="100" workbookViewId="0"/>
  </sheetViews>
  <sheetFormatPr defaultColWidth="9" defaultRowHeight="20.149999999999999" customHeight="1" x14ac:dyDescent="0.45"/>
  <cols>
    <col min="1" max="1" width="50.58203125" style="12" customWidth="1"/>
    <col min="2" max="2" width="13" style="5" bestFit="1" customWidth="1"/>
    <col min="3" max="3" width="15.25" style="5" bestFit="1" customWidth="1"/>
    <col min="4" max="4" width="27.08203125" style="5" bestFit="1" customWidth="1"/>
    <col min="5" max="5" width="14.1640625" style="5" customWidth="1"/>
    <col min="6" max="6" width="25.6640625" style="5" bestFit="1" customWidth="1"/>
    <col min="7" max="7" width="15.58203125" style="5" bestFit="1" customWidth="1"/>
    <col min="8" max="8" width="15.1640625" style="5" bestFit="1" customWidth="1"/>
    <col min="9" max="9" width="11.08203125" style="5" bestFit="1" customWidth="1"/>
    <col min="10" max="10" width="10.25" style="5" bestFit="1" customWidth="1"/>
    <col min="11" max="11" width="14.9140625" style="5" bestFit="1" customWidth="1"/>
    <col min="12" max="12" width="17.5" style="5" bestFit="1" customWidth="1"/>
    <col min="13" max="13" width="10.9140625" style="5" bestFit="1" customWidth="1"/>
    <col min="14" max="14" width="22.25" style="5" bestFit="1" customWidth="1"/>
    <col min="15" max="15" width="24.75" style="5" bestFit="1" customWidth="1"/>
    <col min="16" max="16384" width="9" style="5"/>
  </cols>
  <sheetData>
    <row r="1" spans="2:13" ht="21" x14ac:dyDescent="0.45">
      <c r="B1" s="25" t="s">
        <v>91</v>
      </c>
      <c r="C1" s="25" t="s">
        <v>92</v>
      </c>
      <c r="D1" s="25" t="s">
        <v>93</v>
      </c>
      <c r="E1" s="25" t="s">
        <v>94</v>
      </c>
      <c r="F1" s="25" t="s">
        <v>95</v>
      </c>
      <c r="G1" s="26" t="s">
        <v>107</v>
      </c>
      <c r="H1" s="26" t="s">
        <v>105</v>
      </c>
      <c r="I1" s="26" t="s">
        <v>108</v>
      </c>
      <c r="J1" s="26" t="s">
        <v>109</v>
      </c>
      <c r="K1" s="26" t="s">
        <v>110</v>
      </c>
      <c r="L1" s="26" t="s">
        <v>111</v>
      </c>
      <c r="M1" s="11" t="s">
        <v>113</v>
      </c>
    </row>
    <row r="2" spans="2:13" ht="21" x14ac:dyDescent="0.45">
      <c r="B2" s="11"/>
      <c r="C2" s="11"/>
      <c r="D2" s="11"/>
      <c r="E2" s="11"/>
      <c r="F2" s="11"/>
      <c r="G2" s="14">
        <v>0</v>
      </c>
      <c r="H2" s="14">
        <v>0</v>
      </c>
      <c r="I2" s="14">
        <v>0</v>
      </c>
      <c r="J2" s="14">
        <v>0</v>
      </c>
      <c r="K2" s="14">
        <v>0</v>
      </c>
      <c r="L2" s="14">
        <v>0</v>
      </c>
      <c r="M2" s="14">
        <v>0</v>
      </c>
    </row>
    <row r="3" spans="2:13" ht="21" x14ac:dyDescent="0.45">
      <c r="B3" s="15" t="s">
        <v>98</v>
      </c>
      <c r="C3" s="15"/>
      <c r="D3" s="15"/>
      <c r="E3" s="15"/>
      <c r="F3" s="15"/>
      <c r="G3" s="16">
        <v>0</v>
      </c>
      <c r="H3" s="16">
        <v>0</v>
      </c>
      <c r="I3" s="16">
        <v>0</v>
      </c>
      <c r="J3" s="16">
        <v>0</v>
      </c>
      <c r="K3" s="16">
        <v>0</v>
      </c>
      <c r="L3" s="16">
        <v>0</v>
      </c>
      <c r="M3" s="16">
        <v>0</v>
      </c>
    </row>
    <row r="4" spans="2:13" ht="20.149999999999999" customHeight="1" x14ac:dyDescent="0.45">
      <c r="B4"/>
      <c r="C4"/>
      <c r="D4"/>
      <c r="E4"/>
      <c r="F4"/>
      <c r="G4"/>
      <c r="H4"/>
      <c r="I4"/>
      <c r="J4"/>
      <c r="K4"/>
    </row>
    <row r="8" spans="2:13" ht="21" x14ac:dyDescent="0.45"/>
    <row r="10" spans="2:13" ht="21" x14ac:dyDescent="0.4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13"/>
  <sheetViews>
    <sheetView zoomScaleNormal="100" workbookViewId="0">
      <selection activeCell="B13" sqref="B13"/>
    </sheetView>
  </sheetViews>
  <sheetFormatPr defaultRowHeight="16.5" x14ac:dyDescent="0.45"/>
  <cols>
    <col min="1" max="1" width="23.25" customWidth="1"/>
    <col min="2" max="2" width="22.25" customWidth="1"/>
  </cols>
  <sheetData>
    <row r="1" spans="1:2" x14ac:dyDescent="0.45">
      <c r="A1" t="s">
        <v>3</v>
      </c>
      <c r="B1" t="s">
        <v>1</v>
      </c>
    </row>
    <row r="2" spans="1:2" x14ac:dyDescent="0.45">
      <c r="A2" t="s">
        <v>77</v>
      </c>
      <c r="B2" t="s">
        <v>86</v>
      </c>
    </row>
    <row r="3" spans="1:2" x14ac:dyDescent="0.45">
      <c r="A3" t="s">
        <v>78</v>
      </c>
      <c r="B3" t="s">
        <v>87</v>
      </c>
    </row>
    <row r="4" spans="1:2" x14ac:dyDescent="0.45">
      <c r="A4" t="s">
        <v>68</v>
      </c>
      <c r="B4" t="s">
        <v>68</v>
      </c>
    </row>
    <row r="5" spans="1:2" x14ac:dyDescent="0.45">
      <c r="A5" t="s">
        <v>69</v>
      </c>
      <c r="B5" t="s">
        <v>69</v>
      </c>
    </row>
    <row r="6" spans="1:2" x14ac:dyDescent="0.45">
      <c r="A6" t="s">
        <v>79</v>
      </c>
      <c r="B6" t="s">
        <v>70</v>
      </c>
    </row>
    <row r="7" spans="1:2" x14ac:dyDescent="0.45">
      <c r="A7" t="s">
        <v>71</v>
      </c>
      <c r="B7" t="s">
        <v>71</v>
      </c>
    </row>
    <row r="8" spans="1:2" x14ac:dyDescent="0.45">
      <c r="A8" t="s">
        <v>80</v>
      </c>
      <c r="B8" t="s">
        <v>72</v>
      </c>
    </row>
    <row r="9" spans="1:2" x14ac:dyDescent="0.45">
      <c r="A9" t="s">
        <v>81</v>
      </c>
      <c r="B9" t="s">
        <v>73</v>
      </c>
    </row>
    <row r="10" spans="1:2" x14ac:dyDescent="0.45">
      <c r="A10" t="s">
        <v>82</v>
      </c>
      <c r="B10" t="s">
        <v>74</v>
      </c>
    </row>
    <row r="11" spans="1:2" x14ac:dyDescent="0.45">
      <c r="A11" t="s">
        <v>83</v>
      </c>
      <c r="B11" t="s">
        <v>75</v>
      </c>
    </row>
    <row r="12" spans="1:2" x14ac:dyDescent="0.45">
      <c r="A12" t="s">
        <v>84</v>
      </c>
      <c r="B12" t="s">
        <v>76</v>
      </c>
    </row>
    <row r="13" spans="1:2" x14ac:dyDescent="0.45">
      <c r="A13" t="s">
        <v>85</v>
      </c>
      <c r="B13" t="s">
        <v>85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zoomScaleNormal="100" workbookViewId="0">
      <selection activeCell="C1" sqref="C1"/>
    </sheetView>
  </sheetViews>
  <sheetFormatPr defaultRowHeight="16.5" x14ac:dyDescent="0.45"/>
  <cols>
    <col min="1" max="1" width="16.83203125" customWidth="1"/>
    <col min="2" max="2" width="11.33203125" customWidth="1"/>
  </cols>
  <sheetData>
    <row r="1" spans="1:3" x14ac:dyDescent="0.45">
      <c r="A1" t="s">
        <v>2</v>
      </c>
      <c r="B1" t="s">
        <v>0</v>
      </c>
      <c r="C1" t="s">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1"/>
  <sheetViews>
    <sheetView zoomScaleNormal="100" workbookViewId="0">
      <selection activeCell="C1" sqref="C1"/>
    </sheetView>
  </sheetViews>
  <sheetFormatPr defaultRowHeight="16.5" x14ac:dyDescent="0.45"/>
  <cols>
    <col min="1" max="1" width="25.58203125" customWidth="1"/>
    <col min="2" max="2" width="40.58203125" customWidth="1"/>
    <col min="3" max="3" width="5.58203125" customWidth="1"/>
    <col min="4" max="4" width="25.58203125" customWidth="1"/>
    <col min="5" max="5" width="40.58203125" customWidth="1"/>
    <col min="6" max="6" width="5.58203125" customWidth="1"/>
    <col min="7" max="7" width="25.58203125" customWidth="1"/>
    <col min="8" max="8" width="40.58203125" customWidth="1"/>
    <col min="9" max="9" width="5.58203125" customWidth="1"/>
    <col min="10" max="10" width="40.58203125" customWidth="1"/>
    <col min="11" max="11" width="25.582031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47</v>
      </c>
      <c r="E2" t="s">
        <v>48</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36</v>
      </c>
      <c r="E7" t="s">
        <v>37</v>
      </c>
    </row>
    <row r="8" spans="1:11" x14ac:dyDescent="0.45">
      <c r="A8" t="s">
        <v>20</v>
      </c>
      <c r="B8" t="s">
        <v>21</v>
      </c>
      <c r="D8" t="s">
        <v>38</v>
      </c>
      <c r="E8" t="s">
        <v>39</v>
      </c>
    </row>
    <row r="9" spans="1:11" x14ac:dyDescent="0.45">
      <c r="A9" t="s">
        <v>22</v>
      </c>
      <c r="B9" t="s">
        <v>23</v>
      </c>
      <c r="D9" t="s">
        <v>40</v>
      </c>
      <c r="E9" t="s">
        <v>41</v>
      </c>
    </row>
    <row r="10" spans="1:11" x14ac:dyDescent="0.45">
      <c r="A10" t="s">
        <v>24</v>
      </c>
      <c r="B10" t="s">
        <v>25</v>
      </c>
      <c r="D10" t="s">
        <v>0</v>
      </c>
      <c r="E10" t="s">
        <v>42</v>
      </c>
    </row>
    <row r="11" spans="1:11" x14ac:dyDescent="0.45">
      <c r="D11" t="s">
        <v>43</v>
      </c>
      <c r="E11" t="s">
        <v>44</v>
      </c>
    </row>
  </sheetData>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6124-38B9-43B5-BE75-4DD2070EE95F}">
  <dimension ref="A1:C7"/>
  <sheetViews>
    <sheetView showGridLines="0" zoomScaleNormal="100" workbookViewId="0"/>
  </sheetViews>
  <sheetFormatPr defaultColWidth="9" defaultRowHeight="20.149999999999999" customHeight="1" x14ac:dyDescent="0.45"/>
  <cols>
    <col min="1" max="1" width="17.33203125" style="11" bestFit="1" customWidth="1"/>
    <col min="2" max="2" width="25.58203125" style="11" customWidth="1"/>
    <col min="3" max="16384" width="9" style="11"/>
  </cols>
  <sheetData>
    <row r="1" spans="1:3" ht="20.149999999999999" customHeight="1" x14ac:dyDescent="0.45">
      <c r="A1" s="4" t="s">
        <v>99</v>
      </c>
      <c r="B1" s="20" t="str" cm="1">
        <f t="array" ref="B1">ReportRequest.EnvironmentName</f>
        <v>Environment name Value</v>
      </c>
    </row>
    <row r="2" spans="1:3" ht="20.149999999999999" customHeight="1" x14ac:dyDescent="0.45">
      <c r="A2" s="4" t="s">
        <v>100</v>
      </c>
      <c r="B2" s="20" t="str" cm="1">
        <f t="array" ref="B2">ReportRequest.CompanyName</f>
        <v>Company name Value</v>
      </c>
    </row>
    <row r="3" spans="1:3" ht="20.149999999999999" customHeight="1" x14ac:dyDescent="0.45">
      <c r="A3" s="4" t="s">
        <v>101</v>
      </c>
      <c r="B3" s="20" t="str" cm="1">
        <f t="array" ref="B3">ReportRequest.UserName</f>
        <v>User name Value</v>
      </c>
    </row>
    <row r="4" spans="1:3" ht="20.149999999999999" customHeight="1" x14ac:dyDescent="0.45">
      <c r="A4" s="4" t="s">
        <v>102</v>
      </c>
      <c r="B4" s="21" t="e" cm="1">
        <f t="array" ref="B4">ReportRequest.DateLocal</f>
        <v>#NAME?</v>
      </c>
    </row>
    <row r="5" spans="1:3" ht="20.149999999999999" customHeight="1" x14ac:dyDescent="0.45">
      <c r="A5" s="4"/>
      <c r="B5" s="24" t="e" cm="1">
        <f t="array" ref="B5">ReportRequest.DateLocal</f>
        <v>#NAME?</v>
      </c>
      <c r="C5" s="23"/>
    </row>
    <row r="6" spans="1:3" ht="20.149999999999999" customHeight="1" x14ac:dyDescent="0.45">
      <c r="A6" s="4" t="s">
        <v>103</v>
      </c>
      <c r="B6" s="20" t="e" cm="1">
        <f t="array" ref="B6">ReportMetadata.ObjectCaption</f>
        <v>#NAME?</v>
      </c>
    </row>
    <row r="7" spans="1:3" ht="20.149999999999999" customHeight="1" x14ac:dyDescent="0.45">
      <c r="A7" s="4" t="s">
        <v>104</v>
      </c>
      <c r="B7" s="22" t="str">
        <f>HYPERLINK(_xlfn.CONCAT("https://learn.microsoft.com/dynamics365/business-central/reports/report-",ReportMetadata.ObjectID))</f>
        <v>https://learn.microsoft.com/dynamics365/business-central/reports/report-Object ID Value</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5E576-7189-4EEB-93B3-46FDEF204471}">
  <dimension ref="A1:G2"/>
  <sheetViews>
    <sheetView zoomScaleNormal="100" workbookViewId="0">
      <selection sqref="A1:G2"/>
    </sheetView>
  </sheetViews>
  <sheetFormatPr defaultRowHeight="16.5" x14ac:dyDescent="0.45"/>
  <cols>
    <col min="1" max="1" width="16" bestFit="1" customWidth="1"/>
    <col min="2" max="2" width="16.83203125" bestFit="1" customWidth="1"/>
    <col min="3" max="3" width="15.83203125" bestFit="1" customWidth="1"/>
    <col min="4" max="4" width="10.83203125" bestFit="1" customWidth="1"/>
    <col min="5" max="5" width="10.08203125" bestFit="1" customWidth="1"/>
    <col min="6" max="6" width="18.5" bestFit="1" customWidth="1"/>
    <col min="7" max="7" width="13.83203125" bestFit="1" customWidth="1"/>
    <col min="8" max="8" width="16.33203125" bestFit="1" customWidth="1"/>
    <col min="9" max="9" width="9.25" bestFit="1" customWidth="1"/>
    <col min="10" max="10" width="15.83203125" bestFit="1" customWidth="1"/>
    <col min="11" max="11" width="16.75" bestFit="1" customWidth="1"/>
    <col min="12" max="12" width="15.75" bestFit="1" customWidth="1"/>
    <col min="13" max="13" width="18.33203125" bestFit="1" customWidth="1"/>
    <col min="14" max="14" width="13.75" bestFit="1" customWidth="1"/>
    <col min="15" max="15" width="12.33203125" bestFit="1" customWidth="1"/>
    <col min="16" max="16" width="27.83203125" bestFit="1" customWidth="1"/>
    <col min="17" max="17" width="16.5" bestFit="1" customWidth="1"/>
    <col min="18" max="18" width="19.08203125" bestFit="1" customWidth="1"/>
    <col min="19" max="19" width="15.75" bestFit="1" customWidth="1"/>
    <col min="20" max="20" width="29.25" bestFit="1" customWidth="1"/>
  </cols>
  <sheetData>
    <row r="1" spans="1:7" x14ac:dyDescent="0.45">
      <c r="A1" t="s">
        <v>49</v>
      </c>
      <c r="B1" t="s">
        <v>50</v>
      </c>
      <c r="C1" t="s">
        <v>51</v>
      </c>
      <c r="D1" t="s">
        <v>96</v>
      </c>
      <c r="E1" t="s">
        <v>97</v>
      </c>
      <c r="F1" t="s">
        <v>52</v>
      </c>
      <c r="G1" t="s">
        <v>53</v>
      </c>
    </row>
    <row r="2" spans="1:7" x14ac:dyDescent="0.45">
      <c r="A2" t="s">
        <v>67</v>
      </c>
      <c r="B2" t="s">
        <v>67</v>
      </c>
      <c r="C2" t="s">
        <v>67</v>
      </c>
      <c r="D2" s="13"/>
      <c r="E2" s="13"/>
      <c r="F2" t="s">
        <v>88</v>
      </c>
      <c r="G2" t="s">
        <v>89</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
  <sheetViews>
    <sheetView zoomScaleNormal="100" workbookViewId="0">
      <pane ySplit="1" topLeftCell="A2" activePane="bottomLeft" state="frozen"/>
      <selection activeCell="C1" sqref="C1"/>
      <selection pane="bottomLeft"/>
    </sheetView>
  </sheetViews>
  <sheetFormatPr defaultRowHeight="20.149999999999999" customHeight="1" x14ac:dyDescent="0.45"/>
  <cols>
    <col min="1" max="1" width="14.75" bestFit="1" customWidth="1"/>
    <col min="2" max="2" width="10.08203125" bestFit="1" customWidth="1"/>
    <col min="3" max="3" width="9.33203125" bestFit="1" customWidth="1"/>
    <col min="4" max="4" width="17.08203125" bestFit="1" customWidth="1"/>
    <col min="5" max="5" width="12.75" bestFit="1" customWidth="1"/>
    <col min="6" max="6" width="18.75" bestFit="1" customWidth="1"/>
    <col min="7" max="7" width="24.08203125" bestFit="1" customWidth="1"/>
    <col min="8" max="8" width="22.5" bestFit="1" customWidth="1"/>
    <col min="9" max="9" width="20.08203125" bestFit="1" customWidth="1"/>
    <col min="10" max="10" width="21.33203125" bestFit="1" customWidth="1"/>
    <col min="11" max="11" width="23.58203125" bestFit="1" customWidth="1"/>
    <col min="12" max="12" width="14.33203125" bestFit="1" customWidth="1"/>
    <col min="13" max="13" width="11.75" bestFit="1" customWidth="1"/>
    <col min="14" max="14" width="19.33203125" bestFit="1" customWidth="1"/>
    <col min="15" max="15" width="12" bestFit="1" customWidth="1"/>
    <col min="16" max="16" width="11.5" bestFit="1" customWidth="1"/>
    <col min="17" max="17" width="11.25" bestFit="1" customWidth="1"/>
    <col min="18" max="18" width="9.08203125" bestFit="1" customWidth="1"/>
    <col min="19" max="19" width="12" customWidth="1"/>
  </cols>
  <sheetData>
    <row r="1" spans="1:19" s="6" customFormat="1" ht="20.149999999999999" customHeight="1" x14ac:dyDescent="0.45">
      <c r="A1" s="6" t="s">
        <v>51</v>
      </c>
      <c r="B1" s="6" t="s">
        <v>96</v>
      </c>
      <c r="C1" s="6" t="s">
        <v>97</v>
      </c>
      <c r="D1" s="6" t="s">
        <v>52</v>
      </c>
      <c r="E1" s="6" t="s">
        <v>53</v>
      </c>
      <c r="F1" s="6" t="s">
        <v>54</v>
      </c>
      <c r="G1" s="6" t="s">
        <v>55</v>
      </c>
      <c r="H1" s="6" t="s">
        <v>56</v>
      </c>
      <c r="I1" s="6" t="s">
        <v>57</v>
      </c>
      <c r="J1" s="6" t="s">
        <v>58</v>
      </c>
      <c r="K1" s="6" t="s">
        <v>59</v>
      </c>
      <c r="L1" s="6" t="s">
        <v>60</v>
      </c>
      <c r="M1" s="6" t="s">
        <v>61</v>
      </c>
      <c r="N1" s="6" t="s">
        <v>62</v>
      </c>
      <c r="O1" s="6" t="s">
        <v>63</v>
      </c>
      <c r="P1" s="6" t="s">
        <v>64</v>
      </c>
      <c r="Q1" s="6" t="s">
        <v>65</v>
      </c>
      <c r="R1" s="6" t="s">
        <v>66</v>
      </c>
      <c r="S1" s="6" t="s">
        <v>112</v>
      </c>
    </row>
    <row r="2" spans="1:19" s="3" customFormat="1" ht="20.149999999999999" customHeight="1" x14ac:dyDescent="0.45">
      <c r="A2" s="3" t="s">
        <v>67</v>
      </c>
      <c r="D2" s="3" t="s">
        <v>88</v>
      </c>
      <c r="E2" s="3" t="s">
        <v>89</v>
      </c>
      <c r="F2" s="3" t="s">
        <v>67</v>
      </c>
      <c r="G2" s="3" t="s">
        <v>67</v>
      </c>
      <c r="H2" s="3" t="s">
        <v>67</v>
      </c>
      <c r="I2" s="3" t="s">
        <v>67</v>
      </c>
      <c r="J2" s="3" t="s">
        <v>67</v>
      </c>
      <c r="K2" s="3">
        <v>0</v>
      </c>
      <c r="L2" s="3">
        <v>0</v>
      </c>
      <c r="M2" s="3">
        <v>0</v>
      </c>
      <c r="N2" s="3">
        <v>0</v>
      </c>
      <c r="O2" s="3">
        <v>0</v>
      </c>
      <c r="P2" s="3">
        <v>0</v>
      </c>
      <c r="Q2" s="3">
        <v>0</v>
      </c>
      <c r="R2" s="3">
        <v>0</v>
      </c>
      <c r="S2" s="3">
        <v>0</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8EBDE1-7228-4C63-B324-3A06281C4FB0}">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$ProdOrderWipPrintLbl$</vt:lpstr>
      <vt:lpstr>$ProdOrderWipAnalysisLbl$</vt:lpstr>
      <vt:lpstr>CaptionData</vt:lpstr>
      <vt:lpstr>TranslationData</vt:lpstr>
      <vt:lpstr>Aggregated Metadata</vt:lpstr>
      <vt:lpstr>$AboutTheReportLbl$</vt:lpstr>
      <vt:lpstr>FixedData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Shikha Verma (Alletec Pty Ltd)</cp:lastModifiedBy>
  <cp:lastPrinted>2025-02-14T06:34:18Z</cp:lastPrinted>
  <dcterms:modified xsi:type="dcterms:W3CDTF">2026-08-17T06:42:32Z</dcterms:modified>
</cp:coreProperties>
</file>